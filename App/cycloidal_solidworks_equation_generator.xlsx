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e8507804d40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ycloidal_Disc" sheetId="1" r:id="Reb4cf0326aa3417b"/>
    <x:sheet xmlns:r="http://schemas.openxmlformats.org/officeDocument/2006/relationships" name="HowTo" sheetId="2" r:id="Rebf07e1095994b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############"/>
    <x:numFmt numFmtId="165" formatCode="0.000000"/>
  </x:numFmts>
  <x:fonts count="8">
    <x:font>
      <x:sz val="11"/>
      <x:color theme="1"/>
      <x:name val="Calibri"/>
      <x:family val="2"/>
      <x:scheme val="minor"/>
    </x:font>
    <x:font>
      <x:b/>
      <x:sz val="16"/>
    </x:font>
    <x:font>
      <x:b/>
      <x:sz val="11"/>
      <x:color rgb="00FFFFFF"/>
    </x:font>
    <x:font>
      <x:b/>
    </x:font>
    <x:font>
      <x:color rgb="000000FF"/>
    </x:font>
    <x:font>
      <x:i/>
      <x:color rgb="00555555"/>
    </x:font>
    <x:font>
      <x:name val="Consolas"/>
    </x:font>
    <x:font>
      <x:sz val="11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1F2"/>
      </x:patternFill>
    </x:fill>
    <x:fill>
      <x:patternFill patternType="solid">
        <x:fgColor rgb="00FFF2CC"/>
      </x:patternFill>
    </x:fill>
    <x:fill>
      <x:patternFill patternType="solid">
        <x:fgColor rgb="00F2F2F2"/>
      </x:patternFill>
    </x:fill>
    <x:fill>
      <x:patternFill patternType="solid">
        <x:fgColor rgb="00E2EFDA"/>
      </x:patternFill>
    </x:fill>
  </x:fills>
  <x:borders count="2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Alignment="1">
      <x:alignment horizontal="center" vertical="center" wrapText="1"/>
    </x:xf>
    <x:xf numFmtId="0" fontId="2" fillId="2" borderId="0" xfId="0" applyAlignment="1">
      <x:alignment horizontal="center" vertical="center" wrapText="1"/>
    </x:xf>
    <x:xf numFmtId="0" fontId="3" fillId="3" borderId="1" xfId="0" applyAlignment="1">
      <x:alignment horizontal="left" vertical="center" wrapText="1"/>
    </x:xf>
    <x:xf numFmtId="0" fontId="4" fillId="4" borderId="1" xfId="0" applyAlignment="1">
      <x:alignment horizontal="left" vertical="center" wrapText="1"/>
    </x:xf>
    <x:xf numFmtId="0" fontId="0" fillId="0" borderId="1" xfId="0"/>
    <x:xf numFmtId="164" fontId="0" fillId="6" borderId="1" xfId="0" applyAlignment="1">
      <x:alignment horizontal="left" vertical="center" wrapText="1"/>
    </x:xf>
    <x:xf numFmtId="0" fontId="0" fillId="6" borderId="1" xfId="0" applyAlignment="1">
      <x:alignment horizontal="left" vertical="center" wrapText="1"/>
    </x:xf>
    <x:xf numFmtId="0" fontId="3" fillId="3" borderId="1" xfId="0" applyAlignment="1">
      <x:alignment horizontal="right" vertical="center" wrapText="1"/>
    </x:xf>
    <x:xf numFmtId="0" fontId="6" fillId="0" borderId="1" xfId="0" applyAlignment="1">
      <x:alignment horizontal="left" vertical="center" wrapText="1"/>
    </x:xf>
    <x:xf numFmtId="0" fontId="5" fillId="5" borderId="1" xfId="0" applyAlignment="1">
      <x:alignment horizontal="left" vertical="top" wrapText="1"/>
    </x:xf>
    <x:xf numFmtId="0" fontId="5" fillId="5" borderId="1" xfId="0" applyAlignment="1">
      <x:alignment horizontal="left" vertical="center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165" fontId="0" fillId="0" borderId="1" xfId="0"/>
    <x:xf numFmtId="0" fontId="1" fillId="0" borderId="1" xfId="0"/>
    <x:xf numFmtId="0" fontId="7" fillId="5" borderId="1" xfId="0" applyAlignment="1">
      <x:alignment horizontal="left" vertical="top" wrapText="1"/>
    </x:xf>
  </x:cellXfs>
  <x:cellStyles count="1">
    <x:cellStyle name="Normal" xfId="0"/>
  </x:cellStyles>
  <x:dxfs count="2">
    <x:dxf>
      <x:fill>
        <x:patternFill>
          <x:bgColor rgb="00F8CBAD"/>
        </x:patternFill>
      </x:fill>
    </x:dxf>
    <x:dxf>
      <x:fill>
        <x:patternFill>
          <x:bgColor rgb="00E2EFDA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d0abfef6748ff" /><Relationship Type="http://schemas.openxmlformats.org/officeDocument/2006/relationships/theme" Target="/xl/theme/theme1.xml" Id="Rdc50712c0fb14710" /><Relationship Type="http://schemas.openxmlformats.org/officeDocument/2006/relationships/sharedStrings" Target="/xl/sharedStrings.xml" Id="R0116e079a6cc4fbc" /><Relationship Type="http://schemas.openxmlformats.org/officeDocument/2006/relationships/worksheet" Target="/xl/worksheets/sheet1.xml" Id="Reb4cf0326aa3417b" /><Relationship Type="http://schemas.openxmlformats.org/officeDocument/2006/relationships/worksheet" Target="/xl/worksheets/sheet2.xml" Id="Rebf07e1095994b4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customWidth="1"/>
    <x:col min="2" max="2" width="22" customWidth="1"/>
    <x:col min="3" max="3" width="18" customWidth="1"/>
    <x:col min="4" max="4" width="3" customWidth="1"/>
    <x:col min="5" max="5" width="30" customWidth="1"/>
    <x:col min="6" max="6" width="62" customWidth="1"/>
    <x:col min="7" max="7" width="18" customWidth="1"/>
    <x:col min="8" max="8" width="18" customWidth="1"/>
  </x:cols>
  <x:sheetData>
    <x:row r="1" ht="26" customHeight="1">
      <x:c r="A1" s="1" t="inlineStr">
        <x:is>
          <x:t xml:space="preserve">Cycloidal Disc → SolidWorks Equation Generator</x:t>
        </x:is>
      </x:c>
    </x:row>
    <x:row r="3" ht="18" customHeight="1">
      <x:c r="A3" s="2" t="inlineStr">
        <x:is>
          <x:t xml:space="preserve">INPUTS (edit blue cells)</x:t>
        </x:is>
      </x:c>
      <x:c r="E3" s="2" t="inlineStr">
        <x:is>
          <x:t xml:space="preserve">OUTPUTS (auto-calculated)</x:t>
        </x:is>
      </x:c>
    </x:row>
    <x:row r="4" ht="18" customHeight="1">
      <x:c r="A4" s="3" t="inlineStr">
        <x:is>
          <x:t xml:space="preserve">Units</x:t>
        </x:is>
      </x:c>
      <x:c r="B4" s="4" t="inlineStr">
        <x:is>
          <x:t xml:space="preserve">mm</x:t>
        </x:is>
      </x:c>
      <x:c r="C4" s="5" t="n"/>
      <x:c r="E4" s="3" t="inlineStr">
        <x:is>
          <x:t xml:space="preserve">Computed ring radius R</x:t>
        </x:is>
      </x:c>
      <x:c r="F4" s="6">
        <x:f>B5/2</x:f>
        <x:v>80</x:v>
      </x:c>
    </x:row>
    <x:row r="5" ht="18" customHeight="1">
      <x:c r="A5" s="3" t="inlineStr">
        <x:is>
          <x:t xml:space="preserve">Pitch circle diameter D (roller centres)</x:t>
        </x:is>
      </x:c>
      <x:c r="B5" s="4" t="n">
        <x:v>160</x:v>
      </x:c>
      <x:c r="C5" s="5" t="n"/>
      <x:c r="E5" s="3" t="inlineStr">
        <x:is>
          <x:t xml:space="preserve">Effective N (rollers/pins)</x:t>
        </x:is>
      </x:c>
      <x:c r="F5" s="7">
        <x:f>IF($B$8="Rollers (N)",$B$9,$B$10+1)</x:f>
        <x:v>10</x:v>
      </x:c>
    </x:row>
    <x:row r="6" ht="18" customHeight="1">
      <x:c r="A6" s="3" t="inlineStr">
        <x:is>
          <x:t xml:space="preserve">Roller/Pin diameter d</x:t>
        </x:is>
      </x:c>
      <x:c r="B6" s="4" t="n">
        <x:v>20</x:v>
      </x:c>
      <x:c r="C6" s="5" t="n"/>
      <x:c r="E6" s="3" t="inlineStr">
        <x:is>
          <x:t xml:space="preserve">Effective n (lobes)</x:t>
        </x:is>
      </x:c>
      <x:c r="F6" s="7">
        <x:f>IF($B$8="Rollers (N)",$B$9-1,$B$10)</x:f>
        <x:v>9</x:v>
      </x:c>
    </x:row>
    <x:row r="7" ht="18" customHeight="1">
      <x:c r="A7" s="3" t="inlineStr">
        <x:is>
          <x:t xml:space="preserve">Eccentricity e</x:t>
        </x:is>
      </x:c>
      <x:c r="B7" s="4" t="n">
        <x:v>4</x:v>
      </x:c>
      <x:c r="C7" s="5" t="n"/>
      <x:c r="E7" s="3" t="inlineStr">
        <x:is>
          <x:t xml:space="preserve">Rolling circle radius r = R/N</x:t>
        </x:is>
      </x:c>
      <x:c r="F7" s="6">
        <x:f>$F$4/$F$5</x:f>
        <x:v>8</x:v>
      </x:c>
    </x:row>
    <x:row r="8" ht="18" customHeight="1">
      <x:c r="A8" s="3" t="inlineStr">
        <x:is>
          <x:t xml:space="preserve">Design by</x:t>
        </x:is>
      </x:c>
      <x:c r="B8" s="4" t="inlineStr">
        <x:is>
          <x:t xml:space="preserve">Rollers (N)</x:t>
        </x:is>
      </x:c>
      <x:c r="C8" s="5" t="n"/>
      <x:c r="E8" s="3" t="inlineStr">
        <x:is>
          <x:t xml:space="preserve">(R - r)</x:t>
        </x:is>
      </x:c>
      <x:c r="F8" s="6">
        <x:f>$F$4-$F$7</x:f>
        <x:v>72</x:v>
      </x:c>
    </x:row>
    <x:row r="9" ht="18" customHeight="1">
      <x:c r="A9" s="3" t="inlineStr">
        <x:is>
          <x:t xml:space="preserve">Rollers / Pins count N</x:t>
        </x:is>
      </x:c>
      <x:c r="B9" s="4" t="n">
        <x:v>10</x:v>
      </x:c>
      <x:c r="C9" s="5" t="n"/>
      <x:c r="E9" s="3" t="inlineStr">
        <x:is>
          <x:t xml:space="preserve">Pin radius rp = d/2</x:t>
        </x:is>
      </x:c>
      <x:c r="F9" s="6">
        <x:f>$B$6/2</x:f>
        <x:v>10</x:v>
      </x:c>
    </x:row>
    <x:row r="10" ht="18" customHeight="1">
      <x:c r="A10" s="3" t="inlineStr">
        <x:is>
          <x:t xml:space="preserve">Lobes count n</x:t>
        </x:is>
      </x:c>
      <x:c r="B10" s="4" t="n">
        <x:v>9</x:v>
      </x:c>
      <x:c r="C10" s="5" t="n"/>
      <x:c r="E10" s="3" t="inlineStr">
        <x:is>
          <x:t xml:space="preserve">Reduction i = n/(N-n)</x:t>
        </x:is>
      </x:c>
      <x:c r="F10" s="6">
        <x:f>IF(($F$5-$F$6)=0,"",$F$6/($F$5-$F$6))</x:f>
        <x:v>9</x:v>
      </x:c>
    </x:row>
    <x:row r="11" ht="18" customHeight="1">
      <x:c r="A11" s="3" t="inlineStr">
        <x:is>
          <x:t xml:space="preserve">Offset direction (points only)</x:t>
        </x:is>
      </x:c>
      <x:c r="B11" s="4" t="inlineStr">
        <x:is>
          <x:t xml:space="preserve">Inward (-)</x:t>
        </x:is>
      </x:c>
      <x:c r="C11" s="5" t="n"/>
      <x:c r="E11" s="3" t="inlineStr">
        <x:is>
          <x:t xml:space="preserve">Check: N = n + 1 ?</x:t>
        </x:is>
      </x:c>
      <x:c r="F11" s="7" t="str">
        <x:f>IF($F$5=$F$6+1,"OK","Mismatch")</x:f>
        <x:v>OK</x:v>
      </x:c>
    </x:row>
    <x:row r="12" ht="18" customHeight="1">
      <x:c r="A12" s="3" t="inlineStr">
        <x:is>
          <x:t xml:space="preserve">Points / samples (max 2000)</x:t>
        </x:is>
      </x:c>
      <x:c r="B12" s="4" t="n">
        <x:v>720</x:v>
      </x:c>
      <x:c r="C12" s="5" t="n"/>
      <x:c r="E12" s="3" t="inlineStr">
        <x:is>
          <x:t xml:space="preserve">Offset sign s (points)</x:t>
        </x:is>
      </x:c>
      <x:c r="F12" s="7">
        <x:f>IF($B$11="Outward (+)",1,-1)</x:f>
        <x:v>-1</x:v>
      </x:c>
    </x:row>
    <x:row r="13" ht="18" customHeight="1">
      <x:c r="A13" s="3" t="inlineStr">
        <x:is>
          <x:t xml:space="preserve">t start (radians)</x:t>
        </x:is>
      </x:c>
      <x:c r="B13" s="4">
        <x:f>0.0001</x:f>
        <x:v>0.0001</x:v>
      </x:c>
      <x:c r="C13" s="5" t="n"/>
      <x:c r="E13" s="2" t="inlineStr">
        <x:is>
          <x:t xml:space="preserve">SOLIDWORKS: Equation Driven Curve (Parametric)</x:t>
        </x:is>
      </x:c>
    </x:row>
    <x:row r="14" ht="18" customHeight="1">
      <x:c r="A14" s="3" t="inlineStr">
        <x:is>
          <x:t xml:space="preserve">t end (radians)</x:t>
        </x:is>
      </x:c>
      <x:c r="B14" s="4">
        <x:f>(2*PI())-0.0001</x:f>
        <x:v>6.2830853071795865</x:v>
      </x:c>
      <x:c r="C14" s="5" t="n"/>
      <x:c r="E14" s="8" t="inlineStr">
        <x:is>
          <x:t xml:space="preserve">X(t) =</x:t>
        </x:is>
      </x:c>
      <x:c r="F14" s="9" t="str">
        <x:f>$F$8&amp;"*cos(t)+"&amp;$B$7&amp;"*cos("&amp;$F$6&amp;"*t)"</x:f>
        <x:v>72*cos(t)+4*cos(9*t)</x:v>
      </x:c>
    </x:row>
    <x:row r="15" ht="18" customHeight="1">
      <x:c r="E15" s="8" t="inlineStr">
        <x:is>
          <x:t xml:space="preserve">Y(t) =</x:t>
        </x:is>
      </x:c>
      <x:c r="F15" s="9" t="str">
        <x:f>$F$8&amp;"*sin(t)-"&amp;$B$7&amp;"*sin("&amp;$F$6&amp;"*t)"</x:f>
        <x:v>72*sin(t)-4*sin(9*t)</x:v>
      </x:c>
    </x:row>
    <x:row r="16" ht="18" customHeight="1">
      <x:c r="A16" s="10" t="inlineStr">
        <x:is>
          <x:t xml:space="preserve">Tip: SolidWorks equation-driven curves use radians. Avoid t = 0 and t = 2π exactly (coincident endpoints); use the t start/end above.</x:t>
        </x:is>
      </x:c>
      <x:c r="B16" s="5" t="n"/>
      <x:c r="C16" s="5" t="n"/>
      <x:c r="E16" s="8" t="inlineStr">
        <x:is>
          <x:t xml:space="preserve">Z(t) =</x:t>
        </x:is>
      </x:c>
      <x:c r="F16" s="9" t="inlineStr">
        <x:is>
          <x:t xml:space="preserve">0</x:t>
        </x:is>
      </x:c>
    </x:row>
    <x:row r="17" ht="18" customHeight="1">
      <x:c r="A17" s="5" t="n"/>
      <x:c r="B17" s="5" t="n"/>
      <x:c r="C17" s="5" t="n"/>
    </x:row>
    <x:row r="18" ht="18" customHeight="1">
      <x:c r="E18" s="11" t="inlineStr">
        <x:is>
          <x:t xml:space="preserve">To get the real disc profile that fits around rollers, offset the curve by the pin radius rp (Sketch &gt; Offset Entities), or use the 'x_offset/y_offset' point list below.</x:t>
        </x:is>
      </x:c>
      <x:c r="F18" s="5" t="n"/>
      <x:c r="G18" s="5" t="n"/>
      <x:c r="H18" s="5" t="n"/>
    </x:row>
    <x:row r="19">
      <x:c r="A19" s="12" t="inlineStr">
        <x:is>
          <x:t xml:space="preserve">i</x:t>
        </x:is>
      </x:c>
      <x:c r="B19" s="12" t="inlineStr">
        <x:is>
          <x:t xml:space="preserve">t (rad)</x:t>
        </x:is>
      </x:c>
      <x:c r="C19" s="12" t="inlineStr">
        <x:is>
          <x:t xml:space="preserve">x_ref</x:t>
        </x:is>
      </x:c>
      <x:c r="D19" s="12" t="inlineStr">
        <x:is>
          <x:t xml:space="preserve">y_ref</x:t>
        </x:is>
      </x:c>
      <x:c r="E19" s="12" t="inlineStr">
        <x:is>
          <x:t xml:space="preserve">x_offset</x:t>
        </x:is>
      </x:c>
      <x:c r="F19" s="12" t="inlineStr">
        <x:is>
          <x:t xml:space="preserve">y_offset</x:t>
        </x:is>
      </x:c>
      <x:c r="G19" s="12" t="inlineStr">
        <x:is>
          <x:t xml:space="preserve">dx/dt</x:t>
        </x:is>
      </x:c>
      <x:c r="H19" s="12" t="inlineStr">
        <x:is>
          <x:t xml:space="preserve">dy/dt</x:t>
        </x:is>
      </x:c>
    </x:row>
    <x:row r="20">
      <x:c r="A20" s="13" t="n">
        <x:v>1</x:v>
      </x:c>
      <x:c r="B20" s="14">
        <x:f>IF($B$12&lt;1,"",$B$13+(1-1)*($B$14-$B$13)/($B$12-1))</x:f>
        <x:v>0.0001</x:v>
      </x:c>
      <x:c r="C20" s="14">
        <x:f>IF(B20="","",$F$8*COS(B20) + $B$7*COS($F$6*B20))</x:f>
        <x:v>75.9999980200001</x:v>
      </x:c>
      <x:c r="D20" s="14">
        <x:f>IF(B20="","",$F$8*SIN(B20) - $B$7*SIN($F$6*B20))</x:f>
        <x:v>0.0036000004739999807</x:v>
      </x:c>
      <x:c r="E20" s="14">
        <x:f>IF(B20="","", C20 + $F$12*$F$9*(-H20)/IF(SQRT(G20^2+H20^2)=0,1,SQRT(G20^2+H20^2)))</x:f>
        <x:v>85.99999197001172</x:v>
      </x:c>
      <x:c r="F20" s="14">
        <x:f>IF(B20="","", D20 + $F$12*$F$9*(G20)/IF(SQRT(G20^2+H20^2)=0,1,SQRT(G20^2+H20^2)))</x:f>
        <x:v>0.014599988255685334</x:v>
      </x:c>
      <x:c r="G20" s="14">
        <x:f>IF(B20="","", -$F$8*SIN(B20) - $B$7*$F$6*SIN($F$6*B20))</x:f>
        <x:v>-0.03959999561400018</x:v>
      </x:c>
      <x:c r="H20" s="14">
        <x:f>IF(B20="","", $F$8*COS(B20) - $B$7*$F$6*COS($F$6*B20))</x:f>
        <x:v>36.00001421999902</x:v>
      </x:c>
    </x:row>
    <x:row r="21">
      <x:c r="A21" s="13" t="n">
        <x:v>2</x:v>
      </x:c>
      <x:c r="B21" s="14">
        <x:f>IF($B$12&lt;2,"",$B$13+(2-1)*($B$14-$B$13)/($B$12-1))</x:f>
        <x:v>0.008838505295103737</x:v>
      </x:c>
      <x:c r="C21" s="14">
        <x:f>IF(B21="","",$F$8*COS(B21) + $B$7*COS($F$6*B21))</x:f>
        <x:v>75.98453909328104</x:v>
      </x:c>
      <x:c r="D21" s="14">
        <x:f>IF(B21="","",$F$8*SIN(B21) - $B$7*SIN($F$6*B21))</x:f>
        <x:v>0.31851336100531974</x:v>
      </x:c>
      <x:c r="E21" s="14">
        <x:f>IF(B21="","", C21 + $F$12*$F$9*(-H21)/IF(SQRT(G21^2+H21^2)=0,1,SQRT(G21^2+H21^2)))</x:f>
        <x:v>85.93797564164213</x:v>
      </x:c>
      <x:c r="F21" s="14">
        <x:f>IF(B21="","", D21 + $F$12*$F$9*(G21)/IF(SQRT(G21^2+H21^2)=0,1,SQRT(G21^2+H21^2)))</x:f>
        <x:v>1.2824121512057003</x:v>
      </x:c>
      <x:c r="G21" s="14">
        <x:f>IF(B21="","", -$F$8*SIN(B21) - $B$7*$F$6*SIN($F$6*B21))</x:f>
        <x:v>-3.497020708940509</x:v>
      </x:c>
      <x:c r="H21" s="14">
        <x:f>IF(B21="","", $F$8*COS(B21) - $B$7*$F$6*COS($F$6*B21))</x:f>
        <x:v>36.11102544024162</x:v>
      </x:c>
    </x:row>
    <x:row r="22">
      <x:c r="A22" s="13" t="n">
        <x:v>3</x:v>
      </x:c>
      <x:c r="B22" s="14">
        <x:f>IF($B$12&lt;3,"",$B$13+(3-1)*($B$14-$B$13)/($B$12-1))</x:f>
        <x:v>0.017577010590207474</x:v>
      </x:c>
      <x:c r="C22" s="14">
        <x:f>IF(B22="","",$F$8*COS(B22) + $B$7*COS($F$6*B22))</x:f>
        <x:v>75.93893221723312</x:v>
      </x:c>
      <x:c r="D22" s="14">
        <x:f>IF(B22="","",$F$8*SIN(B22) - $B$7*SIN($F$6*B22))</x:f>
        <x:v>0.6353431106219058</x:v>
      </x:c>
      <x:c r="E22" s="14">
        <x:f>IF(B22="","", C22 + $F$12*$F$9*(-H22)/IF(SQRT(G22^2+H22^2)=0,1,SQRT(G22^2+H22^2)))</x:f>
        <x:v>85.76251296010633</x:v>
      </x:c>
      <x:c r="F22" s="14">
        <x:f>IF(B22="","", D22 + $F$12*$F$9*(G22)/IF(SQRT(G22^2+H22^2)=0,1,SQRT(G22^2+H22^2)))</x:f>
        <x:v>2.505439736000014</x:v>
      </x:c>
      <x:c r="G22" s="14">
        <x:f>IF(B22="","", -$F$8*SIN(B22) - $B$7*$F$6*SIN($F$6*B22))</x:f>
        <x:v>-6.936707986583252</x:v>
      </x:c>
      <x:c r="H22" s="14">
        <x:f>IF(B22="","", $F$8*COS(B22) - $B$7*$F$6*COS($F$6*B22))</x:f>
        <x:v>36.438390439935915</x:v>
      </x:c>
    </x:row>
    <x:row r="23">
      <x:c r="A23" s="13" t="n">
        <x:v>4</x:v>
      </x:c>
      <x:c r="B23" s="14">
        <x:f>IF($B$12&lt;4,"",$B$13+(4-1)*($B$14-$B$13)/($B$12-1))</x:f>
        <x:v>0.02631551588531121</x:v>
      </x:c>
      <x:c r="C23" s="14">
        <x:f>IF(B23="","",$F$8*COS(B23) + $B$7*COS($F$6*B23))</x:f>
        <x:v>75.86340860103631</x:v>
      </x:c>
      <x:c r="D23" s="14">
        <x:f>IF(B23="","",$F$8*SIN(B23) - $B$7*SIN($F$6*B23))</x:f>
        <x:v>0.9559717886882737</x:v>
      </x:c>
      <x:c r="E23" s="14">
        <x:f>IF(B23="","", C23 + $F$12*$F$9*(-H23)/IF(SQRT(G23^2+H23^2)=0,1,SQRT(G23^2+H23^2)))</x:f>
        <x:v>85.49393887608068</x:v>
      </x:c>
      <x:c r="F23" s="14">
        <x:f>IF(B23="","", D23 + $F$12*$F$9*(G23)/IF(SQRT(G23^2+H23^2)=0,1,SQRT(G23^2+H23^2)))</x:f>
        <x:v>3.649090171057295</x:v>
      </x:c>
      <x:c r="G23" s="14">
        <x:f>IF(B23="","", -$F$8*SIN(B23) - $B$7*$F$6*SIN($F$6*B23))</x:f>
        <x:v>-10.341238575442802</x:v>
      </x:c>
      <x:c r="H23" s="14">
        <x:f>IF(B23="","", $F$8*COS(B23) - $B$7*$F$6*COS($F$6*B23))</x:f>
        <x:v>36.98003468182191</x:v>
      </x:c>
    </x:row>
    <x:row r="24">
      <x:c r="A24" s="13" t="n">
        <x:v>5</x:v>
      </x:c>
      <x:c r="B24" s="14">
        <x:f>IF($B$12&lt;5,"",$B$13+(5-1)*($B$14-$B$13)/($B$12-1))</x:f>
        <x:v>0.03505402118041495</x:v>
      </x:c>
      <x:c r="C24" s="14">
        <x:f>IF(B24="","",$F$8*COS(B24) + $B$7*COS($F$6*B24))</x:f>
        <x:v>75.75835083784015</x:v>
      </x:c>
      <x:c r="D24" s="14">
        <x:f>IF(B24="","",$F$8*SIN(B24) - $B$7*SIN($F$6*B24))</x:f>
        <x:v>1.282257859227083</x:v>
      </x:c>
      <x:c r="E24" s="14">
        <x:f>IF(B24="","", C24 + $F$12*$F$9*(-H24)/IF(SQRT(G24^2+H24^2)=0,1,SQRT(G24^2+H24^2)))</x:f>
        <x:v>85.15848441593951</x:v>
      </x:c>
      <x:c r="F24" s="14">
        <x:f>IF(B24="","", D24 + $F$12*$F$9*(G24)/IF(SQRT(G24^2+H24^2)=0,1,SQRT(G24^2+H24^2)))</x:f>
        <x:v>4.693634225723313</x:v>
      </x:c>
      <x:c r="G24" s="14">
        <x:f>IF(B24="","", -$F$8*SIN(B24) - $B$7*$F$6*SIN($F$6*B24))</x:f>
        <x:v>-13.693405974286554</x:v>
      </x:c>
      <x:c r="H24" s="14">
        <x:f>IF(B24="","", $F$8*COS(B24) - $B$7*$F$6*COS($F$6*B24))</x:f>
        <x:v>37.73252537058625</x:v>
      </x:c>
    </x:row>
    <x:row r="25">
      <x:c r="A25" s="13" t="n">
        <x:v>6</x:v>
      </x:c>
      <x:c r="B25" s="14">
        <x:f>IF($B$12&lt;6,"",$B$13+(6-1)*($B$14-$B$13)/($B$12-1))</x:f>
        <x:v>0.04379252647551869</x:v>
      </x:c>
      <x:c r="C25" s="14">
        <x:f>IF(B25="","",$F$8*COS(B25) + $B$7*COS($F$6*B25))</x:f>
        <x:v>75.62429054597489</x:v>
      </x:c>
      <x:c r="D25" s="14">
        <x:f>IF(B25="","",$F$8*SIN(B25) - $B$7*SIN($F$6*B25))</x:f>
        <x:v>1.6160239284500744</x:v>
      </x:c>
      <x:c r="E25" s="14">
        <x:f>IF(B25="","", C25 + $F$12*$F$9*(-H25)/IF(SQRT(G25^2+H25^2)=0,1,SQRT(G25^2+H25^2)))</x:f>
        <x:v>84.78160239230141</x:v>
      </x:c>
      <x:c r="F25" s="14">
        <x:f>IF(B25="","", D25 + $F$12*$F$9*(G25)/IF(SQRT(G25^2+H25^2)=0,1,SQRT(G25^2+H25^2)))</x:f>
        <x:v>5.633938779355698</x:v>
      </x:c>
      <x:c r="G25" s="14">
        <x:f>IF(B25="","", -$F$8*SIN(B25) - $B$7*$F$6*SIN($F$6*B25))</x:f>
        <x:v>-16.9763265126484</x:v>
      </x:c>
      <x:c r="H25" s="14">
        <x:f>IF(B25="","", $F$8*COS(B25) - $B$7*$F$6*COS($F$6*B25))</x:f>
        <x:v>38.6910926811559</x:v>
      </x:c>
    </x:row>
    <x:row r="26">
      <x:c r="A26" s="13" t="n">
        <x:v>7</x:v>
      </x:c>
      <x:c r="B26" s="14">
        <x:f>IF($B$12&lt;7,"",$B$13+(7-1)*($B$14-$B$13)/($B$12-1))</x:f>
        <x:v>0.052531031770622426</x:v>
      </x:c>
      <x:c r="C26" s="14">
        <x:f>IF(B26="","",$F$8*COS(B26) + $B$7*COS($F$6*B26))</x:f>
        <x:v>75.46190509143784</x:v>
      </x:c>
      <x:c r="D26" s="14">
        <x:f>IF(B26="","",$F$8*SIN(B26) - $B$7*SIN($F$6*B26))</x:f>
        <x:v>1.9590451840327425</x:v>
      </x:c>
      <x:c r="E26" s="14">
        <x:f>IF(B26="","", C26 + $F$12*$F$9*(-H26)/IF(SQRT(G26^2+H26^2)=0,1,SQRT(G26^2+H26^2)))</x:f>
        <x:v>84.38379238410246</x:v>
      </x:c>
      <x:c r="F26" s="14">
        <x:f>IF(B26="","", D26 + $F$12*$F$9*(G26)/IF(SQRT(G26^2+H26^2)=0,1,SQRT(G26^2+H26^2)))</x:f>
        <x:v>6.4756730342092075</x:v>
      </x:c>
      <x:c r="G26" s="14">
        <x:f>IF(B26="","", -$F$8*SIN(B26) - $B$7*$F$6*SIN($F$6*B26))</x:f>
        <x:v>-20.173543434026307</x:v>
      </x:c>
      <x:c r="H26" s="14">
        <x:f>IF(B26="","", $F$8*COS(B26) - $B$7*$F$6*COS($F$6*B26))</x:f>
        <x:v>39.8496592551952</x:v>
      </x:c>
    </x:row>
    <x:row r="27">
      <x:c r="A27" s="13" t="n">
        <x:v>8</x:v>
      </x:c>
      <x:c r="B27" s="14">
        <x:f>IF($B$12&lt;8,"",$B$13+(8-1)*($B$14-$B$13)/($B$12-1))</x:f>
        <x:v>0.06126953706572616</x:v>
      </x:c>
      <x:c r="C27" s="14">
        <x:f>IF(B27="","",$F$8*COS(B27) + $B$7*COS($F$6*B27))</x:f>
        <x:v>75.27201341191615</x:v>
      </x:c>
      <x:c r="D27" s="14">
        <x:f>IF(B27="","",$F$8*SIN(B27) - $B$7*SIN($F$6*B27))</x:f>
        <x:v>2.313038127624599</x:v>
      </x:c>
      <x:c r="E27" s="14">
        <x:f>IF(B27="","", C27 + $F$12*$F$9*(-H27)/IF(SQRT(G27^2+H27^2)=0,1,SQRT(G27^2+H27^2)))</x:f>
        <x:v>83.97930020365894</x:v>
      </x:c>
      <x:c r="F27" s="14">
        <x:f>IF(B27="","", D27 + $F$12*$F$9*(G27)/IF(SQRT(G27^2+H27^2)=0,1,SQRT(G27^2+H27^2)))</x:f>
        <x:v>7.23067543901119</x:v>
      </x:c>
      <x:c r="G27" s="14">
        <x:f>IF(B27="","", -$F$8*SIN(B27) - $B$7*$F$6*SIN($F$6*B27))</x:f>
        <x:v>-23.26912833994841</x:v>
      </x:c>
      <x:c r="H27" s="14">
        <x:f>IF(B27="","", $F$8*COS(B27) - $B$7*$F$6*COS($F$6*B27))</x:f>
        <x:v>41.20087778345571</x:v>
      </x:c>
    </x:row>
    <x:row r="28">
      <x:c r="A28" s="13" t="n">
        <x:v>9</x:v>
      </x:c>
      <x:c r="B28" s="14">
        <x:f>IF($B$12&lt;9,"",$B$13+(9-1)*($B$14-$B$13)/($B$12-1))</x:f>
        <x:v>0.0700080423608299</x:v>
      </x:c>
      <x:c r="C28" s="14">
        <x:f>IF(B28="","",$F$8*COS(B28) + $B$7*COS($F$6*B28))</x:f>
        <x:v>75.05557096816113</x:v>
      </x:c>
      <x:c r="D28" s="14">
        <x:f>IF(B28="","",$F$8*SIN(B28) - $B$7*SIN($F$6*B28))</x:f>
        <x:v>2.6796496702740664</x:v>
      </x:c>
      <x:c r="E28" s="14">
        <x:f>IF(B28="","", C28 + $F$12*$F$9*(-H28)/IF(SQRT(G28^2+H28^2)=0,1,SQRT(G28^2+H28^2)))</x:f>
        <x:v>83.57672593317722</x:v>
      </x:c>
      <x:c r="F28" s="14">
        <x:f>IF(B28="","", D28 + $F$12*$F$9*(G28)/IF(SQRT(G28^2+H28^2)=0,1,SQRT(G28^2+H28^2)))</x:f>
        <x:v>7.913187485383634</x:v>
      </x:c>
      <x:c r="G28" s="14">
        <x:f>IF(B28="","", -$F$8*SIN(B28) - $B$7*$F$6*SIN($F$6*B28))</x:f>
        <x:v>-26.247779367793324</x:v>
      </x:c>
      <x:c r="H28" s="14">
        <x:f>IF(B28="","", $F$8*COS(B28) - $B$7*$F$6*COS($F$6*B28))</x:f>
        <x:v>42.736176441640204</x:v>
      </x:c>
    </x:row>
    <x:row r="29">
      <x:c r="A29" s="13" t="n">
        <x:v>10</x:v>
      </x:c>
      <x:c r="B29" s="14">
        <x:f>IF($B$12&lt;10,"",$B$13+(10-1)*($B$14-$B$13)/($B$12-1))</x:f>
        <x:v>0.07874654765593364</x:v>
      </x:c>
      <x:c r="C29" s="14">
        <x:f>IF(B29="","",$F$8*COS(B29) + $B$7*COS($F$6*B29))</x:f>
        <x:v>74.81366385392445</x:v>
      </x:c>
      <x:c r="D29" s="14">
        <x:f>IF(B29="","",$F$8*SIN(B29) - $B$7*SIN($F$6*B29))</x:f>
        <x:v>3.0604466582034635</x:v>
      </x:c>
      <x:c r="E29" s="14">
        <x:f>IF(B29="","", C29 + $F$12*$F$9*(-H29)/IF(SQRT(G29^2+H29^2)=0,1,SQRT(G29^2+H29^2)))</x:f>
        <x:v>83.18041063003308</x:v>
      </x:c>
      <x:c r="F29" s="14">
        <x:f>IF(B29="","", D29 + $F$12*$F$9*(G29)/IF(SQRT(G29^2+H29^2)=0,1,SQRT(G29^2+H29^2)))</x:f>
        <x:v>8.537448427828506</x:v>
      </x:c>
      <x:c r="G29" s="14">
        <x:f>IF(B29="","", -$F$8*SIN(B29) - $B$7*$F$6*SIN($F$6*B29))</x:f>
        <x:v>-29.094915495442834</x:v>
      </x:c>
      <x:c r="H29" s="14">
        <x:f>IF(B29="","", $F$8*COS(B29) - $B$7*$F$6*COS($F$6*B29))</x:f>
        <x:v>44.44581189889128</x:v>
      </x:c>
    </x:row>
    <x:row r="30">
      <x:c r="A30" s="13" t="n">
        <x:v>11</x:v>
      </x:c>
      <x:c r="B30" s="14">
        <x:f>IF($B$12&lt;11,"",$B$13+(11-1)*($B$14-$B$13)/($B$12-1))</x:f>
        <x:v>0.08748505295103738</x:v>
      </x:c>
      <x:c r="C30" s="14">
        <x:f>IF(B30="","",$F$8*COS(B30) + $B$7*COS($F$6*B30))</x:f>
        <x:v>74.54750210086762</x:v>
      </x:c>
      <x:c r="D30" s="14">
        <x:f>IF(B30="","",$F$8*SIN(B30) - $B$7*SIN($F$6*B30))</x:f>
        <x:v>3.456905893709072</x:v>
      </x:c>
      <x:c r="E30" s="14">
        <x:f>IF(B30="","", C30 + $F$12*$F$9*(-H30)/IF(SQRT(G30^2+H30^2)=0,1,SQRT(G30^2+H30^2)))</x:f>
        <x:v>82.791866118967</x:v>
      </x:c>
      <x:c r="F30" s="14">
        <x:f>IF(B30="","", D30 + $F$12*$F$9*(G30)/IF(SQRT(G30^2+H30^2)=0,1,SQRT(G30^2+H30^2)))</x:f>
        <x:v>9.116451983022973</x:v>
      </x:c>
      <x:c r="G30" s="14">
        <x:f>IF(B30="","", -$F$8*SIN(B30) - $B$7*$F$6*SIN($F$6*B30))</x:f>
        <x:v>-31.79676638978923</x:v>
      </x:c>
      <x:c r="H30" s="14">
        <x:f>IF(B30="","", $F$8*COS(B30) - $B$7*$F$6*COS($F$6*B30))</x:f>
        <x:v>46.31892957119982</x:v>
      </x:c>
    </x:row>
    <x:row r="31">
      <x:c r="A31" s="13" t="n">
        <x:v>12</x:v>
      </x:c>
      <x:c r="B31" s="14">
        <x:f>IF($B$12&lt;12,"",$B$13+(12-1)*($B$14-$B$13)/($B$12-1))</x:f>
        <x:v>0.09622355824614111</x:v>
      </x:c>
      <x:c r="C31" s="14">
        <x:f>IF(B31="","",$F$8*COS(B31) + $B$7*COS($F$6*B31))</x:f>
        <x:v>74.25841221983285</x:v>
      </x:c>
      <x:c r="D31" s="14">
        <x:f>IF(B31="","",$F$8*SIN(B31) - $B$7*SIN($F$6*B31))</x:f>
        <x:v>3.8704047129003385</x:v>
      </x:c>
      <x:c r="E31" s="14">
        <x:f>IF(B31="","", C31 + $F$12*$F$9*(-H31)/IF(SQRT(G31^2+H31^2)=0,1,SQRT(G31^2+H31^2)))</x:f>
        <x:v>82.41093003179682</x:v>
      </x:c>
      <x:c r="F31" s="14">
        <x:f>IF(B31="","", D31 + $F$12*$F$9*(G31)/IF(SQRT(G31^2+H31^2)=0,1,SQRT(G31^2+H31^2)))</x:f>
        <x:v>9.66147139578443</x:v>
      </x:c>
      <x:c r="G31" s="14">
        <x:f>IF(B31="","", -$F$8*SIN(B31) - $B$7*$F$6*SIN($F$6*B31))</x:f>
        <x:v>-34.340457243667984</x:v>
      </x:c>
      <x:c r="H31" s="14">
        <x:f>IF(B31="","", $F$8*COS(B31) - $B$7*$F$6*COS($F$6*B31))</x:f>
        <x:v>48.34363074723964</x:v>
      </x:c>
    </x:row>
    <x:row r="32">
      <x:c r="A32" s="13" t="n">
        <x:v>13</x:v>
      </x:c>
      <x:c r="B32" s="14">
        <x:f>IF($B$12&lt;13,"",$B$13+(13-1)*($B$14-$B$13)/($B$12-1))</x:f>
        <x:v>0.10496206354124485</x:v>
      </x:c>
      <x:c r="C32" s="14">
        <x:f>IF(B32="","",$F$8*COS(B32) + $B$7*COS($F$6*B32))</x:f>
        <x:v>73.94782902458466</x:v>
      </x:c>
      <x:c r="D32" s="14">
        <x:f>IF(B32="","",$F$8*SIN(B32) - $B$7*SIN($F$6*B32))</x:f>
        <x:v>4.302212178549854</x:v>
      </x:c>
      <x:c r="E32" s="14">
        <x:f>IF(B32="","", C32 + $F$12*$F$9*(-H32)/IF(SQRT(G32^2+H32^2)=0,1,SQRT(G32^2+H32^2)))</x:f>
        <x:v>82.03658442948922</x:v>
      </x:c>
      <x:c r="F32" s="14">
        <x:f>IF(B32="","", D32 + $F$12*$F$9*(G32)/IF(SQRT(G32^2+H32^2)=0,1,SQRT(G32^2+H32^2)))</x:f>
        <x:v>10.182011154673713</x:v>
      </x:c>
      <x:c r="G32" s="14">
        <x:f>IF(B32="","", -$F$8*SIN(B32) - $B$7*$F$6*SIN($F$6*B32))</x:f>
        <x:v>-36.71408807676823</x:v>
      </x:c>
      <x:c r="H32" s="14">
        <x:f>IF(B32="","", $F$8*COS(B32) - $B$7*$F$6*COS($F$6*B32))</x:f>
        <x:v>50.50704617164884</x:v>
      </x:c>
    </x:row>
    <x:row r="33">
      <x:c r="A33" s="13" t="n">
        <x:v>14</x:v>
      </x:c>
      <x:c r="B33" s="14">
        <x:f>IF($B$12&lt;14,"",$B$13+(14-1)*($B$14-$B$13)/($B$12-1))</x:f>
        <x:v>0.11370056883634859</x:v>
      </x:c>
      <x:c r="C33" s="14">
        <x:f>IF(B33="","",$F$8*COS(B33) + $B$7*COS($F$6*B33))</x:f>
        <x:v>73.61728678856625</x:v>
      </x:c>
      <x:c r="D33" s="14">
        <x:f>IF(B33="","",$F$8*SIN(B33) - $B$7*SIN($F$6*B33))</x:f>
        <x:v>4.753480942523014</x:v>
      </x:c>
      <x:c r="E33" s="14">
        <x:f>IF(B33="","", C33 + $F$12*$F$9*(-H33)/IF(SQRT(G33^2+H33^2)=0,1,SQRT(G33^2+H33^2)))</x:f>
        <x:v>81.66748675267377</x:v>
      </x:c>
      <x:c r="F33" s="14">
        <x:f>IF(B33="","", D33 + $F$12*$F$9*(G33)/IF(SQRT(G33^2+H33^2)=0,1,SQRT(G33^2+H33^2)))</x:f>
        <x:v>10.68595770504669</x:v>
      </x:c>
      <x:c r="G33" s="14">
        <x:f>IF(B33="","", -$F$8*SIN(B33) - $B$7*$F$6*SIN($F$6*B33))</x:f>
        <x:v>-38.90680701029805</x:v>
      </x:c>
      <x:c r="H33" s="14">
        <x:f>IF(B33="","", $F$8*COS(B33) - $B$7*$F$6*COS($F$6*B33))</x:f>
        <x:v>52.79541563085715</x:v>
      </x:c>
    </x:row>
    <x:row r="34">
      <x:c r="A34" s="13" t="n">
        <x:v>15</x:v>
      </x:c>
      <x:c r="B34" s="14">
        <x:f>IF($B$12&lt;15,"",$B$13+(15-1)*($B$14-$B$13)/($B$12-1))</x:f>
        <x:v>0.12243907413145232</x:v>
      </x:c>
      <x:c r="C34" s="14">
        <x:f>IF(B34="","",$F$8*COS(B34) + $B$7*COS($F$6*B34))</x:f>
        <x:v>73.2684097893384</x:v>
      </x:c>
      <x:c r="D34" s="14">
        <x:f>IF(B34="","",$F$8*SIN(B34) - $B$7*SIN($F$6*B34))</x:f>
        <x:v>5.225239828116911</x:v>
      </x:c>
      <x:c r="E34" s="14">
        <x:f>IF(B34="","", C34 + $F$12*$F$9*(-H34)/IF(SQRT(G34^2+H34^2)=0,1,SQRT(G34^2+H34^2)))</x:f>
        <x:v>81.30228933171041</x:v>
      </x:c>
      <x:c r="F34" s="14">
        <x:f>IF(B34="","", D34 + $F$12*$F$9*(G34)/IF(SQRT(G34^2+H34^2)=0,1,SQRT(G34^2+H34^2)))</x:f>
        <x:v>11.17979938350441</x:v>
      </x:c>
      <x:c r="G34" s="14">
        <x:f>IF(B34="","", -$F$8*SIN(B34) - $B$7*$F$6*SIN($F$6*B34))</x:f>
        <x:v>-40.908877062435984</x:v>
      </x:c>
      <x:c r="H34" s="14">
        <x:f>IF(B34="","", $F$8*COS(B34) - $B$7*$F$6*COS($F$6*B34))</x:f>
        <x:v>55.194173049450384</x:v>
      </x:c>
    </x:row>
    <x:row r="35">
      <x:c r="A35" s="13" t="n">
        <x:v>16</x:v>
      </x:c>
      <x:c r="B35" s="14">
        <x:f>IF($B$12&lt;16,"",$B$13+(16-1)*($B$14-$B$13)/($B$12-1))</x:f>
        <x:v>0.13117757942655606</x:v>
      </x:c>
      <x:c r="C35" s="14">
        <x:f>IF(B35="","",$F$8*COS(B35) + $B$7*COS($F$6*B35))</x:f>
        <x:v>72.9029022991542</x:v>
      </x:c>
      <x:c r="D35" s="14">
        <x:f>IF(B35="","",$F$8*SIN(B35) - $B$7*SIN($F$6*B35))</x:f>
        <x:v>5.718387178187374</x:v>
      </x:c>
      <x:c r="E35" s="14">
        <x:f>IF(B35="","", C35 + $F$12*$F$9*(-H35)/IF(SQRT(G35^2+H35^2)=0,1,SQRT(G35^2+H35^2)))</x:f>
        <x:v>80.93981625278201</x:v>
      </x:c>
      <x:c r="F35" s="14">
        <x:f>IF(B35="","", D35 + $F$12*$F$9*(G35)/IF(SQRT(G35^2+H35^2)=0,1,SQRT(G35^2+H35^2)))</x:f>
        <x:v>11.668850530060293</x:v>
      </x:c>
      <x:c r="G35" s="14">
        <x:f>IF(B35="","", -$F$8*SIN(B35) - $B$7*$F$6*SIN($F$6*B35))</x:f>
        <x:v>-42.71173605165547</x:v>
      </x:c>
      <x:c r="H35" s="14">
        <x:f>IF(B35="","", $F$8*COS(B35) - $B$7*$F$6*COS($F$6*B35))</x:f>
        <x:v>57.6880365709962</x:v>
      </x:c>
    </x:row>
    <x:row r="36">
      <x:c r="A36" s="13" t="n">
        <x:v>17</x:v>
      </x:c>
      <x:c r="B36" s="14">
        <x:f>IF($B$12&lt;17,"",$B$13+(17-1)*($B$14-$B$13)/($B$12-1))</x:f>
        <x:v>0.13991608472165978</x:v>
      </x:c>
      <x:c r="C36" s="14">
        <x:f>IF(B36="","",$F$8*COS(B36) + $B$7*COS($F$6*B36))</x:f>
        <x:v>72.52253808354583</x:v>
      </x:c>
      <x:c r="D36" s="14">
        <x:f>IF(B36="","",$F$8*SIN(B36) - $B$7*SIN($F$6*B36))</x:f>
        <x:v>6.233685010208932</x:v>
      </x:c>
      <x:c r="E36" s="14">
        <x:f>IF(B36="","", C36 + $F$12*$F$9*(-H36)/IF(SQRT(G36^2+H36^2)=0,1,SQRT(G36^2+H36^2)))</x:f>
        <x:v>80.57914936704186</x:v>
      </x:c>
      <x:c r="F36" s="14">
        <x:f>IF(B36="","", D36 + $F$12*$F$9*(G36)/IF(SQRT(G36^2+H36^2)=0,1,SQRT(G36^2+H36^2)))</x:f>
        <x:v>12.157451939000476</x:v>
      </x:c>
      <x:c r="G36" s="14">
        <x:f>IF(B36="","", -$F$8*SIN(B36) - $B$7*$F$6*SIN($F$6*B36))</x:f>
        <x:v>-44.30804923761673</x:v>
      </x:c>
      <x:c r="H36" s="14">
        <x:f>IF(B36="","", $F$8*COS(B36) - $B$7*$F$6*COS($F$6*B36))</x:f>
        <x:v>60.26110306644081</x:v>
      </x:c>
    </x:row>
    <x:row r="37">
      <x:c r="A37" s="13" t="n">
        <x:v>18</x:v>
      </x:c>
      <x:c r="B37" s="14">
        <x:f>IF($B$12&lt;18,"",$B$13+(18-1)*($B$14-$B$13)/($B$12-1))</x:f>
        <x:v>0.1486545900167635</x:v>
      </x:c>
      <x:c r="C37" s="14">
        <x:f>IF(B37="","",$F$8*COS(B37) + $B$7*COS($F$6*B37))</x:f>
        <x:v>72.1291494728418</x:v>
      </x:c>
      <x:c r="D37" s="14">
        <x:f>IF(B37="","",$F$8*SIN(B37) - $B$7*SIN($F$6*B37))</x:f>
        <x:v>6.7717540144239035</x:v>
      </x:c>
      <x:c r="E37" s="14">
        <x:f>IF(B37="","", C37 + $F$12*$F$9*(-H37)/IF(SQRT(G37^2+H37^2)=0,1,SQRT(G37^2+H37^2)))</x:f>
        <x:v>80.21965901445782</x:v>
      </x:c>
      <x:c r="F37" s="14">
        <x:f>IF(B37="","", D37 + $F$12*$F$9*(G37)/IF(SQRT(G37^2+H37^2)=0,1,SQRT(G37^2+H37^2)))</x:f>
        <x:v>12.649139092587514</x:v>
      </x:c>
      <x:c r="G37" s="14">
        <x:f>IF(B37="","", -$F$8*SIN(B37) - $B$7*$F$6*SIN($F$6*B37))</x:f>
        <x:v>-45.69175437421735</x:v>
      </x:c>
      <x:c r="H37" s="14">
        <x:f>IF(B37="","", $F$8*COS(B37) - $B$7*$F$6*COS($F$6*B37))</x:f>
        <x:v>62.89694648581439</x:v>
      </x:c>
    </x:row>
    <x:row r="38">
      <x:c r="A38" s="13" t="n">
        <x:v>19</x:v>
      </x:c>
      <x:c r="B38" s="14">
        <x:f>IF($B$12&lt;19,"",$B$13+(19-1)*($B$14-$B$13)/($B$12-1))</x:f>
        <x:v>0.15739309531186726</x:v>
      </x:c>
      <x:c r="C38" s="14">
        <x:f>IF(B38="","",$F$8*COS(B38) + $B$7*COS($F$6*B38))</x:f>
        <x:v>71.72461607417254</x:v>
      </x:c>
      <x:c r="D38" s="14">
        <x:f>IF(B38="","",$F$8*SIN(B38) - $B$7*SIN($F$6*B38))</x:f>
        <x:v>7.333069426024723</x:v>
      </x:c>
      <x:c r="E38" s="14">
        <x:f>IF(B38="","", C38 + $F$12*$F$9*(-H38)/IF(SQRT(G38^2+H38^2)=0,1,SQRT(G38^2+H38^2)))</x:f>
        <x:v>79.86100258591787</x:v>
      </x:c>
      <x:c r="F38" s="14">
        <x:f>IF(B38="","", D38 + $F$12*$F$9*(G38)/IF(SQRT(G38^2+H38^2)=0,1,SQRT(G38^2+H38^2)))</x:f>
        <x:v>13.146778614786115</x:v>
      </x:c>
      <x:c r="G38" s="14">
        <x:f>IF(B38="","", -$F$8*SIN(B38) - $B$7*$F$6*SIN($F$6*B38))</x:f>
        <x:v>-46.85809889630174</x:v>
      </x:c>
      <x:c r="H38" s="14">
        <x:f>IF(B38="","", $F$8*COS(B38) - $B$7*$F$6*COS($F$6*B38))</x:f>
        <x:v>65.57871944522299</x:v>
      </x:c>
    </x:row>
    <x:row r="39">
      <x:c r="A39" s="13" t="n">
        <x:v>20</x:v>
      </x:c>
      <x:c r="B39" s="14">
        <x:f>IF($B$12&lt;20,"",$B$13+(20-1)*($B$14-$B$13)/($B$12-1))</x:f>
        <x:v>0.166131600606971</x:v>
      </x:c>
      <x:c r="C39" s="14">
        <x:f>IF(B39="","",$F$8*COS(B39) + $B$7*COS($F$6*B39))</x:f>
        <x:v>71.3108531937448</x:v>
      </x:c>
      <x:c r="D39" s="14">
        <x:f>IF(B39="","",$F$8*SIN(B39) - $B$7*SIN($F$6*B39))</x:f>
        <x:v>7.917957796910237</x:v>
      </x:c>
      <x:c r="E39" s="14">
        <x:f>IF(B39="","", C39 + $F$12*$F$9*(-H39)/IF(SQRT(G39^2+H39^2)=0,1,SQRT(G39^2+H39^2)))</x:f>
        <x:v>79.50310539801966</x:v>
      </x:c>
      <x:c r="F39" s="14">
        <x:f>IF(B39="","", D39 + $F$12*$F$9*(G39)/IF(SQRT(G39^2+H39^2)=0,1,SQRT(G39^2+H39^2)))</x:f>
        <x:v>13.652676954947001</x:v>
      </x:c>
      <x:c r="G39" s="14">
        <x:f>IF(B39="","", -$F$8*SIN(B39) - $B$7*$F$6*SIN($F$6*B39))</x:f>
        <x:v>-47.80366901016001</x:v>
      </x:c>
      <x:c r="H39" s="14">
        <x:f>IF(B39="","", $F$8*COS(B39) - $B$7*$F$6*COS($F$6*B39))</x:f>
        <x:v>68.28925742110384</x:v>
      </x:c>
    </x:row>
    <x:row r="40">
      <x:c r="A40" s="13" t="n">
        <x:v>21</x:v>
      </x:c>
      <x:c r="B40" s="14">
        <x:f>IF($B$12&lt;21,"",$B$13+(21-1)*($B$14-$B$13)/($B$12-1))</x:f>
        <x:v>0.17487010590207475</x:v>
      </x:c>
      <x:c r="C40" s="14">
        <x:f>IF(B40="","",$F$8*COS(B40) + $B$7*COS($F$6*B40))</x:f>
        <x:v>70.88980004095625</x:v>
      </x:c>
      <x:c r="D40" s="14">
        <x:f>IF(B40="","",$F$8*SIN(B40) - $B$7*SIN($F$6*B40))</x:f>
        <x:v>8.526594686995507</x:v>
      </x:c>
      <x:c r="E40" s="14">
        <x:f>IF(B40="","", C40 + $F$12*$F$9*(-H40)/IF(SQRT(G40^2+H40^2)=0,1,SQRT(G40^2+H40^2)))</x:f>
        <x:v>79.14613267362765</x:v>
      </x:c>
      <x:c r="F40" s="14">
        <x:f>IF(B40="","", D40 + $F$12*$F$9*(G40)/IF(SQRT(G40^2+H40^2)=0,1,SQRT(G40^2+H40^2)))</x:f>
        <x:v>14.168666244383388</x:v>
      </x:c>
      <x:c r="G40" s="14">
        <x:f>IF(B40="","", -$F$8*SIN(B40) - $B$7*$F$6*SIN($F$6*B40))</x:f>
        <x:v>-48.52641050799835</x:v>
      </x:c>
      <x:c r="H40" s="14">
        <x:f>IF(B40="","", $F$8*COS(B40) - $B$7*$F$6*COS($F$6*B40))</x:f>
        <x:v>71.01118490760241</x:v>
      </x:c>
    </x:row>
    <x:row r="41">
      <x:c r="A41" s="13" t="n">
        <x:v>22</x:v>
      </x:c>
      <x:c r="B41" s="14">
        <x:f>IF($B$12&lt;22,"",$B$13+(22-1)*($B$14-$B$13)/($B$12-1))</x:f>
        <x:v>0.18360861119717847</x:v>
      </x:c>
      <x:c r="C41" s="14">
        <x:f>IF(B41="","",$F$8*COS(B41) + $B$7*COS($F$6*B41))</x:f>
        <x:v>70.46340778726983</x:v>
      </x:c>
      <x:c r="D41" s="14">
        <x:f>IF(B41="","",$F$8*SIN(B41) - $B$7*SIN($F$6*B41))</x:f>
        <x:v>9.159003289369661</x:v>
      </x:c>
      <x:c r="E41" s="14">
        <x:f>IF(B41="","", C41 + $F$12*$F$9*(-H41)/IF(SQRT(G41^2+H41^2)=0,1,SQRT(G41^2+H41^2)))</x:f>
        <x:v>78.79045782038857</x:v>
      </x:c>
      <x:c r="F41" s="14">
        <x:f>IF(B41="","", D41 + $F$12*$F$9*(G41)/IF(SQRT(G41^2+H41^2)=0,1,SQRT(G41^2+H41^2)))</x:f>
        <x:v>14.696172037560121</x:v>
      </x:c>
      <x:c r="G41" s="14">
        <x:f>IF(B41="","", -$F$8*SIN(B41) - $B$7*$F$6*SIN($F$6*B41))</x:f>
        <x:v>-49.02564117772597</x:v>
      </x:c>
      <x:c r="H41" s="14">
        <x:f>IF(B41="","", $F$8*COS(B41) - $B$7*$F$6*COS($F$6*B41))</x:f>
        <x:v>73.72702288079313</x:v>
      </x:c>
    </x:row>
    <x:row r="42">
      <x:c r="A42" s="13" t="n">
        <x:v>23</x:v>
      </x:c>
      <x:c r="B42" s="14">
        <x:f>IF($B$12&lt;23,"",$B$13+(23-1)*($B$14-$B$13)/($B$12-1))</x:f>
        <x:v>0.1923471164922822</x:v>
      </x:c>
      <x:c r="C42" s="14">
        <x:f>IF(B42="","",$F$8*COS(B42) + $B$7*COS($F$6*B42))</x:f>
        <x:v>70.03362755366601</x:v>
      </x:c>
      <x:c r="D42" s="14">
        <x:f>IF(B42="","",$F$8*SIN(B42) - $B$7*SIN($F$6*B42))</x:f>
        <x:v>9.815053997823448</x:v>
      </x:c>
      <x:c r="E42" s="14">
        <x:f>IF(B42="","", C42 + $F$12*$F$9*(-H42)/IF(SQRT(G42^2+H42^2)=0,1,SQRT(G42^2+H42^2)))</x:f>
        <x:v>78.43662997473594</x:v>
      </x:c>
      <x:c r="F42" s="14">
        <x:f>IF(B42="","", D42 + $F$12*$F$9*(G42)/IF(SQRT(G42^2+H42^2)=0,1,SQRT(G42^2+H42^2)))</x:f>
        <x:v>15.23626699045645</x:v>
      </x:c>
      <x:c r="G42" s="14">
        <x:f>IF(B42="","", -$F$8*SIN(B42) - $B$7*$F$6*SIN($F$6*B42))</x:f>
        <x:v>-49.30205473136232</x:v>
      </x:c>
      <x:c r="H42" s="14">
        <x:f>IF(B42="","", $F$8*COS(B42) - $B$7*$F$6*COS($F$6*B42))</x:f>
        <x:v>76.41929690538639</x:v>
      </x:c>
    </x:row>
    <x:row r="43">
      <x:c r="A43" s="13" t="n">
        <x:v>24</x:v>
      </x:c>
      <x:c r="B43" s="14">
        <x:f>IF($B$12&lt;24,"",$B$13+(24-1)*($B$14-$B$13)/($B$12-1))</x:f>
        <x:v>0.20108562178738595</x:v>
      </x:c>
      <x:c r="C43" s="14">
        <x:f>IF(B43="","",$F$8*COS(B43) + $B$7*COS($F$6*B43))</x:f>
        <x:v>69.60239840093092</x:v>
      </x:c>
      <x:c r="D43" s="14">
        <x:f>IF(B43="","",$F$8*SIN(B43) - $B$7*SIN($F$6*B43))</x:f>
        <x:v>10.494464919442045</x:v>
      </x:c>
      <x:c r="E43" s="14">
        <x:f>IF(B43="","", C43 + $F$12*$F$9*(-H43)/IF(SQRT(G43^2+H43^2)=0,1,SQRT(G43^2+H43^2)))</x:f>
        <x:v>78.08534243339783</x:v>
      </x:c>
      <x:c r="F43" s="14">
        <x:f>IF(B43="","", D43 + $F$12*$F$9*(G43)/IF(SQRT(G43^2+H43^2)=0,1,SQRT(G43^2+H43^2)))</x:f>
        <x:v>15.789713784418465</x:v>
      </x:c>
      <x:c r="G43" s="14">
        <x:f>IF(B43="","", -$F$8*SIN(B43) - $B$7*$F$6*SIN($F$6*B43))</x:f>
        <x:v>-49.35771622780088</x:v>
      </x:c>
      <x:c r="H43" s="14">
        <x:f>IF(B43="","", $F$8*COS(B43) - $B$7*$F$6*COS($F$6*B43))</x:f>
        <x:v>79.07064521559232</x:v>
      </x:c>
    </x:row>
    <x:row r="44">
      <x:c r="A44" s="13" t="n">
        <x:v>25</x:v>
      </x:c>
      <x:c r="B44" s="14">
        <x:f>IF($B$12&lt;25,"",$B$13+(25-1)*($B$14-$B$13)/($B$12-1))</x:f>
        <x:v>0.20982412708248968</x:v>
      </x:c>
      <x:c r="C44" s="14">
        <x:f>IF(B44="","",$F$8*COS(B44) + $B$7*COS($F$6*B44))</x:f>
        <x:v>69.17163539702251</x:v>
      </x:c>
      <x:c r="D44" s="14">
        <x:f>IF(B44="","",$F$8*SIN(B44) - $B$7*SIN($F$6*B44))</x:f>
        <x:v>11.196803329116314</x:v>
      </x:c>
      <x:c r="E44" s="14">
        <x:f>IF(B44="","", C44 + $F$12*$F$9*(-H44)/IF(SQRT(G44^2+H44^2)=0,1,SQRT(G44^2+H44^2)))</x:f>
        <x:v>77.73740279767823</x:v>
      </x:c>
      <x:c r="F44" s="14">
        <x:f>IF(B44="","", D44 + $F$12*$F$9*(G44)/IF(SQRT(G44^2+H44^2)=0,1,SQRT(G44^2+H44^2)))</x:f>
        <x:v>16.356999918187693</x:v>
      </x:c>
      <x:c r="G44" s="14">
        <x:f>IF(B44="","", -$F$8*SIN(B44) - $B$7*$F$6*SIN($F$6*B44))</x:f>
        <x:v>-49.1960490182485</x:v>
      </x:c>
      <x:c r="H44" s="14">
        <x:f>IF(B44="","", $F$8*COS(B44) - $B$7*$F$6*COS($F$6*B44))</x:f>
        <x:v>81.66392610197205</x:v>
      </x:c>
    </x:row>
    <x:row r="45">
      <x:c r="A45" s="13" t="n">
        <x:v>26</x:v>
      </x:c>
      <x:c r="B45" s="14">
        <x:f>IF($B$12&lt;26,"",$B$13+(26-1)*($B$14-$B$13)/($B$12-1))</x:f>
        <x:v>0.2185626323775934</x:v>
      </x:c>
      <x:c r="C45" s="14">
        <x:f>IF(B45="","",$F$8*COS(B45) + $B$7*COS($F$6*B45))</x:f>
        <x:v>68.74321783527819</x:v>
      </x:c>
      <x:c r="D45" s="14">
        <x:f>IF(B45="","",$F$8*SIN(B45) - $B$7*SIN($F$6*B45))</x:f>
        <x:v>11.921488057002604</x:v>
      </x:c>
      <x:c r="E45" s="14">
        <x:f>IF(B45="","", C45 + $F$12*$F$9*(-H45)/IF(SQRT(G45^2+H45^2)=0,1,SQRT(G45^2+H45^2)))</x:f>
        <x:v>77.39370519577312</x:v>
      </x:c>
      <x:c r="F45" s="14">
        <x:f>IF(B45="","", D45 + $F$12*$F$9*(G45)/IF(SQRT(G45^2+H45^2)=0,1,SQRT(G45^2+H45^2)))</x:f>
        <x:v>16.938366411708575</x:v>
      </x:c>
      <x:c r="G45" s="14">
        <x:f>IF(B45="","", -$F$8*SIN(B45) - $B$7*$F$6*SIN($F$6*B45))</x:f>
        <x:v>-48.82181329506676</x:v>
      </x:c>
      <x:c r="H45" s="14">
        <x:f>IF(B45="","", $F$8*COS(B45) - $B$7*$F$6*COS($F$6*B45))</x:f>
        <x:v>84.18232394039597</x:v>
      </x:c>
    </x:row>
    <x:row r="46">
      <x:c r="A46" s="13" t="n">
        <x:v>27</x:v>
      </x:c>
      <x:c r="B46" s="14">
        <x:f>IF($B$12&lt;27,"",$B$13+(27-1)*($B$14-$B$13)/($B$12-1))</x:f>
        <x:v>0.22730113767269716</x:v>
      </x:c>
      <x:c r="C46" s="14">
        <x:f>IF(B46="","",$F$8*COS(B46) + $B$7*COS($F$6*B46))</x:f>
        <x:v>68.31897767629664</x:v>
      </x:c>
      <x:c r="D46" s="14">
        <x:f>IF(B46="","",$F$8*SIN(B46) - $B$7*SIN($F$6*B46))</x:f>
        <x:v>12.6677927941935</x:v>
      </x:c>
      <x:c r="E46" s="14">
        <x:f>IF(B46="","", C46 + $F$12*$F$9*(-H46)/IF(SQRT(G46^2+H46^2)=0,1,SQRT(G46^2+H46^2)))</x:f>
        <x:v>77.05520469197326</x:v>
      </x:c>
      <x:c r="F46" s="14">
        <x:f>IF(B46="","", D46 + $F$12*$F$9*(G46)/IF(SQRT(G46^2+H46^2)=0,1,SQRT(G46^2+H46^2)))</x:f>
        <x:v>17.53383199775135</x:v>
      </x:c>
      <x:c r="G46" s="14">
        <x:f>IF(B46="","", -$F$8*SIN(B46) - $B$7*$F$6*SIN($F$6*B46))</x:f>
        <x:v>-48.241076376650255</x:v>
      </x:c>
      <x:c r="H46" s="14">
        <x:f>IF(B46="","", $F$8*COS(B46) - $B$7*$F$6*COS($F$6*B46))</x:f>
        <x:v>86.60945320762477</x:v>
      </x:c>
    </x:row>
    <x:row r="47">
      <x:c r="A47" s="13" t="n">
        <x:v>28</x:v>
      </x:c>
      <x:c r="B47" s="14">
        <x:f>IF($B$12&lt;28,"",$B$13+(28-1)*($B$14-$B$13)/($B$12-1))</x:f>
        <x:v>0.2360396429678009</x:v>
      </x:c>
      <x:c r="C47" s="14">
        <x:f>IF(B47="","",$F$8*COS(B47) + $B$7*COS($F$6*B47))</x:f>
        <x:v>67.90068828494185</x:v>
      </x:c>
      <x:c r="D47" s="14">
        <x:f>IF(B47="","",$F$8*SIN(B47) - $B$7*SIN($F$6*B47))</x:f>
        <x:v>13.434850296185587</x:v>
      </x:c>
      <x:c r="E47" s="14">
        <x:f>IF(B47="","", C47 + $F$12*$F$9*(-H47)/IF(SQRT(G47^2+H47^2)=0,1,SQRT(G47^2+H47^2)))</x:f>
        <x:v>76.7228938564103</x:v>
      </x:c>
      <x:c r="F47" s="14">
        <x:f>IF(B47="","", D47 + $F$12*$F$9*(G47)/IF(SQRT(G47^2+H47^2)=0,1,SQRT(G47^2+H47^2)))</x:f>
        <x:v>18.14321400927649</x:v>
      </x:c>
      <x:c r="G47" s="14">
        <x:f>IF(B47="","", -$F$8*SIN(B47) - $B$7*$F$6*SIN($F$6*B47))</x:f>
        <x:v>-47.461174912065545</x:v>
      </x:c>
      <x:c r="H47" s="14">
        <x:f>IF(B47="","", $F$8*COS(B47) - $B$7*$F$6*COS($F$6*B47))</x:f>
        <x:v>88.9294598404741</x:v>
      </x:c>
    </x:row>
    <x:row r="48">
      <x:c r="A48" s="13" t="n">
        <x:v>29</x:v>
      </x:c>
      <x:c r="B48" s="14">
        <x:f>IF($B$12&lt;29,"",$B$13+(29-1)*($B$14-$B$13)/($B$12-1))</x:f>
        <x:v>0.24477814826290462</x:v>
      </x:c>
      <x:c r="C48" s="14">
        <x:f>IF(B48="","",$F$8*COS(B48) + $B$7*COS($F$6*B48))</x:f>
        <x:v>67.49005353209388</x:v>
      </x:c>
      <x:c r="D48" s="14">
        <x:f>IF(B48="","",$F$8*SIN(B48) - $B$7*SIN($F$6*B48))</x:f>
        <x:v>14.221657458179795</x:v>
      </x:c>
      <x:c r="E48" s="14">
        <x:f>IF(B48="","", C48 + $F$12*$F$9*(-H48)/IF(SQRT(G48^2+H48^2)=0,1,SQRT(G48^2+H48^2)))</x:f>
        <x:v>76.39778140462592</x:v>
      </x:c>
      <x:c r="F48" s="14">
        <x:f>IF(B48="","", D48 + $F$12*$F$9*(G48)/IF(SQRT(G48^2+H48^2)=0,1,SQRT(G48^2+H48^2)))</x:f>
        <x:v>18.766146884827855</x:v>
      </x:c>
      <x:c r="G48" s="14">
        <x:f>IF(B48="","", -$F$8*SIN(B48) - $B$7*$F$6*SIN($F$6*B48))</x:f>
        <x:v>-46.49066923912693</x:v>
      </x:c>
      <x:c r="H48" s="14">
        <x:f>IF(B48="","", $F$8*COS(B48) - $B$7*$F$6*COS($F$6*B48))</x:f>
        <x:v>91.12711931194683</x:v>
      </x:c>
    </x:row>
    <x:row r="49">
      <x:c r="A49" s="13" t="n">
        <x:v>30</x:v>
      </x:c>
      <x:c r="B49" s="14">
        <x:f>IF($B$12&lt;30,"",$B$13+(30-1)*($B$14-$B$13)/($B$12-1))</x:f>
        <x:v>0.25351665355800834</x:v>
      </x:c>
      <x:c r="C49" s="14">
        <x:f>IF(B49="","",$F$8*COS(B49) + $B$7*COS($F$6*B49))</x:f>
        <x:v>67.08869732851525</x:v>
      </x:c>
      <x:c r="D49" s="14">
        <x:f>IF(B49="","",$F$8*SIN(B49) - $B$7*SIN($F$6*B49))</x:f>
        <x:v>15.02708123086028</x:v>
      </x:c>
      <x:c r="E49" s="14">
        <x:f>IF(B49="","", C49 + $F$12*$F$9*(-H49)/IF(SQRT(G49^2+H49^2)=0,1,SQRT(G49^2+H49^2)))</x:f>
        <x:v>76.08087279213886</x:v>
      </x:c>
      <x:c r="F49" s="14">
        <x:f>IF(B49="","", D49 + $F$12*$F$9*(G49)/IF(SQRT(G49^2+H49^2)=0,1,SQRT(G49^2+H49^2)))</x:f>
        <x:v>19.402098994413407</x:v>
      </x:c>
      <x:c r="G49" s="14">
        <x:f>IF(B49="","", -$F$8*SIN(B49) - $B$7*$F$6*SIN($F$6*B49))</x:f>
        <x:v>-45.339290178093464</x:v>
      </x:c>
      <x:c r="H49" s="14">
        <x:f>IF(B49="","", $F$8*COS(B49) - $B$7*$F$6*COS($F$6*B49))</x:f>
        <x:v>93.18793081801215</x:v>
      </x:c>
    </x:row>
    <x:row r="50">
      <x:c r="A50" s="13" t="n">
        <x:v>31</x:v>
      </x:c>
      <x:c r="B50" s="14">
        <x:f>IF($B$12&lt;31,"",$B$13+(31-1)*($B$14-$B$13)/($B$12-1))</x:f>
        <x:v>0.2622551588531121</x:v>
      </x:c>
      <x:c r="C50" s="14">
        <x:f>IF(B50="","",$F$8*COS(B50) + $B$7*COS($F$6*B50))</x:f>
        <x:v>66.69815365553036</x:v>
      </x:c>
      <x:c r="D50" s="14">
        <x:f>IF(B50="","",$F$8*SIN(B50) - $B$7*SIN($F$6*B50))</x:f>
        <x:v>15.84986534010169</x:v>
      </x:c>
      <x:c r="E50" s="14">
        <x:f>IF(B50="","", C50 + $F$12*$F$9*(-H50)/IF(SQRT(G50^2+H50^2)=0,1,SQRT(G50^2+H50^2)))</x:f>
        <x:v>75.77315264704744</x:v>
      </x:c>
      <x:c r="F50" s="14">
        <x:f>IF(B50="","", D50 + $F$12*$F$9*(G50)/IF(SQRT(G50^2+H50^2)=0,1,SQRT(G50^2+H50^2)))</x:f>
        <x:v>20.050388319917886</x:v>
      </x:c>
      <x:c r="G50" s="14">
        <x:f>IF(B50="","", -$F$8*SIN(B50) - $B$7*$F$6*SIN($F$6*B50))</x:f>
        <x:v>-44.017878589935286</x:v>
      </x:c>
      <x:c r="H50" s="14">
        <x:f>IF(B50="","", $F$8*COS(B50) - $B$7*$F$6*COS($F$6*B50))</x:f>
        <x:v>95.09820699275491</x:v>
      </x:c>
    </x:row>
    <x:row r="51">
      <x:c r="A51" s="13" t="n">
        <x:v>32</x:v>
      </x:c>
      <x:c r="B51" s="14">
        <x:f>IF($B$12&lt;32,"",$B$13+(32-1)*($B$14-$B$13)/($B$12-1))</x:f>
      </x:c>
      <x:c r="C51" s="14">
        <x:f>IF(B51="","",$F$8*COS(B51) + $B$7*COS($F$6*B51))</x:f>
      </x:c>
      <x:c r="D51" s="14">
        <x:f>IF(B51="","",$F$8*SIN(B51) - $B$7*SIN($F$6*B51))</x:f>
      </x:c>
      <x:c r="E51" s="14">
        <x:f>IF(B51="","", C51 + $F$12*$F$9*(-H51)/IF(SQRT(G51^2+H51^2)=0,1,SQRT(G51^2+H51^2)))</x:f>
      </x:c>
      <x:c r="F51" s="14">
        <x:f>IF(B51="","", D51 + $F$12*$F$9*(G51)/IF(SQRT(G51^2+H51^2)=0,1,SQRT(G51^2+H51^2)))</x:f>
      </x:c>
      <x:c r="G51" s="14">
        <x:f>IF(B51="","", -$F$8*SIN(B51) - $B$7*$F$6*SIN($F$6*B51))</x:f>
      </x:c>
      <x:c r="H51" s="14">
        <x:f>IF(B51="","", $F$8*COS(B51) - $B$7*$F$6*COS($F$6*B51))</x:f>
      </x:c>
    </x:row>
    <x:row r="52">
      <x:c r="A52" s="13" t="n">
        <x:v>33</x:v>
      </x:c>
      <x:c r="B52" s="14">
        <x:f>IF($B$12&lt;33,"",$B$13+(33-1)*($B$14-$B$13)/($B$12-1))</x:f>
      </x:c>
      <x:c r="C52" s="14">
        <x:f>IF(B52="","",$F$8*COS(B52) + $B$7*COS($F$6*B52))</x:f>
      </x:c>
      <x:c r="D52" s="14">
        <x:f>IF(B52="","",$F$8*SIN(B52) - $B$7*SIN($F$6*B52))</x:f>
      </x:c>
      <x:c r="E52" s="14">
        <x:f>IF(B52="","", C52 + $F$12*$F$9*(-H52)/IF(SQRT(G52^2+H52^2)=0,1,SQRT(G52^2+H52^2)))</x:f>
      </x:c>
      <x:c r="F52" s="14">
        <x:f>IF(B52="","", D52 + $F$12*$F$9*(G52)/IF(SQRT(G52^2+H52^2)=0,1,SQRT(G52^2+H52^2)))</x:f>
      </x:c>
      <x:c r="G52" s="14">
        <x:f>IF(B52="","", -$F$8*SIN(B52) - $B$7*$F$6*SIN($F$6*B52))</x:f>
      </x:c>
      <x:c r="H52" s="14">
        <x:f>IF(B52="","", $F$8*COS(B52) - $B$7*$F$6*COS($F$6*B52))</x:f>
      </x:c>
    </x:row>
    <x:row r="53">
      <x:c r="A53" s="13" t="n">
        <x:v>34</x:v>
      </x:c>
      <x:c r="B53" s="14">
        <x:f>IF($B$12&lt;34,"",$B$13+(34-1)*($B$14-$B$13)/($B$12-1))</x:f>
      </x:c>
      <x:c r="C53" s="14">
        <x:f>IF(B53="","",$F$8*COS(B53) + $B$7*COS($F$6*B53))</x:f>
      </x:c>
      <x:c r="D53" s="14">
        <x:f>IF(B53="","",$F$8*SIN(B53) - $B$7*SIN($F$6*B53))</x:f>
      </x:c>
      <x:c r="E53" s="14">
        <x:f>IF(B53="","", C53 + $F$12*$F$9*(-H53)/IF(SQRT(G53^2+H53^2)=0,1,SQRT(G53^2+H53^2)))</x:f>
      </x:c>
      <x:c r="F53" s="14">
        <x:f>IF(B53="","", D53 + $F$12*$F$9*(G53)/IF(SQRT(G53^2+H53^2)=0,1,SQRT(G53^2+H53^2)))</x:f>
      </x:c>
      <x:c r="G53" s="14">
        <x:f>IF(B53="","", -$F$8*SIN(B53) - $B$7*$F$6*SIN($F$6*B53))</x:f>
      </x:c>
      <x:c r="H53" s="14">
        <x:f>IF(B53="","", $F$8*COS(B53) - $B$7*$F$6*COS($F$6*B53))</x:f>
      </x:c>
    </x:row>
    <x:row r="54">
      <x:c r="A54" s="13" t="n">
        <x:v>35</x:v>
      </x:c>
      <x:c r="B54" s="14">
        <x:f>IF($B$12&lt;35,"",$B$13+(35-1)*($B$14-$B$13)/($B$12-1))</x:f>
      </x:c>
      <x:c r="C54" s="14">
        <x:f>IF(B54="","",$F$8*COS(B54) + $B$7*COS($F$6*B54))</x:f>
      </x:c>
      <x:c r="D54" s="14">
        <x:f>IF(B54="","",$F$8*SIN(B54) - $B$7*SIN($F$6*B54))</x:f>
      </x:c>
      <x:c r="E54" s="14">
        <x:f>IF(B54="","", C54 + $F$12*$F$9*(-H54)/IF(SQRT(G54^2+H54^2)=0,1,SQRT(G54^2+H54^2)))</x:f>
      </x:c>
      <x:c r="F54" s="14">
        <x:f>IF(B54="","", D54 + $F$12*$F$9*(G54)/IF(SQRT(G54^2+H54^2)=0,1,SQRT(G54^2+H54^2)))</x:f>
      </x:c>
      <x:c r="G54" s="14">
        <x:f>IF(B54="","", -$F$8*SIN(B54) - $B$7*$F$6*SIN($F$6*B54))</x:f>
      </x:c>
      <x:c r="H54" s="14">
        <x:f>IF(B54="","", $F$8*COS(B54) - $B$7*$F$6*COS($F$6*B54))</x:f>
      </x:c>
    </x:row>
    <x:row r="55">
      <x:c r="A55" s="13" t="n">
        <x:v>36</x:v>
      </x:c>
      <x:c r="B55" s="14">
        <x:f>IF($B$12&lt;36,"",$B$13+(36-1)*($B$14-$B$13)/($B$12-1))</x:f>
      </x:c>
      <x:c r="C55" s="14">
        <x:f>IF(B55="","",$F$8*COS(B55) + $B$7*COS($F$6*B55))</x:f>
      </x:c>
      <x:c r="D55" s="14">
        <x:f>IF(B55="","",$F$8*SIN(B55) - $B$7*SIN($F$6*B55))</x:f>
      </x:c>
      <x:c r="E55" s="14">
        <x:f>IF(B55="","", C55 + $F$12*$F$9*(-H55)/IF(SQRT(G55^2+H55^2)=0,1,SQRT(G55^2+H55^2)))</x:f>
      </x:c>
      <x:c r="F55" s="14">
        <x:f>IF(B55="","", D55 + $F$12*$F$9*(G55)/IF(SQRT(G55^2+H55^2)=0,1,SQRT(G55^2+H55^2)))</x:f>
      </x:c>
      <x:c r="G55" s="14">
        <x:f>IF(B55="","", -$F$8*SIN(B55) - $B$7*$F$6*SIN($F$6*B55))</x:f>
      </x:c>
      <x:c r="H55" s="14">
        <x:f>IF(B55="","", $F$8*COS(B55) - $B$7*$F$6*COS($F$6*B55))</x:f>
      </x:c>
    </x:row>
    <x:row r="56">
      <x:c r="A56" s="13" t="n">
        <x:v>37</x:v>
      </x:c>
      <x:c r="B56" s="14">
        <x:f>IF($B$12&lt;37,"",$B$13+(37-1)*($B$14-$B$13)/($B$12-1))</x:f>
      </x:c>
      <x:c r="C56" s="14">
        <x:f>IF(B56="","",$F$8*COS(B56) + $B$7*COS($F$6*B56))</x:f>
      </x:c>
      <x:c r="D56" s="14">
        <x:f>IF(B56="","",$F$8*SIN(B56) - $B$7*SIN($F$6*B56))</x:f>
      </x:c>
      <x:c r="E56" s="14">
        <x:f>IF(B56="","", C56 + $F$12*$F$9*(-H56)/IF(SQRT(G56^2+H56^2)=0,1,SQRT(G56^2+H56^2)))</x:f>
      </x:c>
      <x:c r="F56" s="14">
        <x:f>IF(B56="","", D56 + $F$12*$F$9*(G56)/IF(SQRT(G56^2+H56^2)=0,1,SQRT(G56^2+H56^2)))</x:f>
      </x:c>
      <x:c r="G56" s="14">
        <x:f>IF(B56="","", -$F$8*SIN(B56) - $B$7*$F$6*SIN($F$6*B56))</x:f>
      </x:c>
      <x:c r="H56" s="14">
        <x:f>IF(B56="","", $F$8*COS(B56) - $B$7*$F$6*COS($F$6*B56))</x:f>
      </x:c>
    </x:row>
    <x:row r="57">
      <x:c r="A57" s="13" t="n">
        <x:v>38</x:v>
      </x:c>
      <x:c r="B57" s="14">
        <x:f>IF($B$12&lt;38,"",$B$13+(38-1)*($B$14-$B$13)/($B$12-1))</x:f>
      </x:c>
      <x:c r="C57" s="14">
        <x:f>IF(B57="","",$F$8*COS(B57) + $B$7*COS($F$6*B57))</x:f>
      </x:c>
      <x:c r="D57" s="14">
        <x:f>IF(B57="","",$F$8*SIN(B57) - $B$7*SIN($F$6*B57))</x:f>
      </x:c>
      <x:c r="E57" s="14">
        <x:f>IF(B57="","", C57 + $F$12*$F$9*(-H57)/IF(SQRT(G57^2+H57^2)=0,1,SQRT(G57^2+H57^2)))</x:f>
      </x:c>
      <x:c r="F57" s="14">
        <x:f>IF(B57="","", D57 + $F$12*$F$9*(G57)/IF(SQRT(G57^2+H57^2)=0,1,SQRT(G57^2+H57^2)))</x:f>
      </x:c>
      <x:c r="G57" s="14">
        <x:f>IF(B57="","", -$F$8*SIN(B57) - $B$7*$F$6*SIN($F$6*B57))</x:f>
      </x:c>
      <x:c r="H57" s="14">
        <x:f>IF(B57="","", $F$8*COS(B57) - $B$7*$F$6*COS($F$6*B57))</x:f>
      </x:c>
    </x:row>
    <x:row r="58">
      <x:c r="A58" s="13" t="n">
        <x:v>39</x:v>
      </x:c>
      <x:c r="B58" s="14">
        <x:f>IF($B$12&lt;39,"",$B$13+(39-1)*($B$14-$B$13)/($B$12-1))</x:f>
      </x:c>
      <x:c r="C58" s="14">
        <x:f>IF(B58="","",$F$8*COS(B58) + $B$7*COS($F$6*B58))</x:f>
      </x:c>
      <x:c r="D58" s="14">
        <x:f>IF(B58="","",$F$8*SIN(B58) - $B$7*SIN($F$6*B58))</x:f>
      </x:c>
      <x:c r="E58" s="14">
        <x:f>IF(B58="","", C58 + $F$12*$F$9*(-H58)/IF(SQRT(G58^2+H58^2)=0,1,SQRT(G58^2+H58^2)))</x:f>
      </x:c>
      <x:c r="F58" s="14">
        <x:f>IF(B58="","", D58 + $F$12*$F$9*(G58)/IF(SQRT(G58^2+H58^2)=0,1,SQRT(G58^2+H58^2)))</x:f>
      </x:c>
      <x:c r="G58" s="14">
        <x:f>IF(B58="","", -$F$8*SIN(B58) - $B$7*$F$6*SIN($F$6*B58))</x:f>
      </x:c>
      <x:c r="H58" s="14">
        <x:f>IF(B58="","", $F$8*COS(B58) - $B$7*$F$6*COS($F$6*B58))</x:f>
      </x:c>
    </x:row>
    <x:row r="59">
      <x:c r="A59" s="13" t="n">
        <x:v>40</x:v>
      </x:c>
      <x:c r="B59" s="14">
        <x:f>IF($B$12&lt;40,"",$B$13+(40-1)*($B$14-$B$13)/($B$12-1))</x:f>
      </x:c>
      <x:c r="C59" s="14">
        <x:f>IF(B59="","",$F$8*COS(B59) + $B$7*COS($F$6*B59))</x:f>
      </x:c>
      <x:c r="D59" s="14">
        <x:f>IF(B59="","",$F$8*SIN(B59) - $B$7*SIN($F$6*B59))</x:f>
      </x:c>
      <x:c r="E59" s="14">
        <x:f>IF(B59="","", C59 + $F$12*$F$9*(-H59)/IF(SQRT(G59^2+H59^2)=0,1,SQRT(G59^2+H59^2)))</x:f>
      </x:c>
      <x:c r="F59" s="14">
        <x:f>IF(B59="","", D59 + $F$12*$F$9*(G59)/IF(SQRT(G59^2+H59^2)=0,1,SQRT(G59^2+H59^2)))</x:f>
      </x:c>
      <x:c r="G59" s="14">
        <x:f>IF(B59="","", -$F$8*SIN(B59) - $B$7*$F$6*SIN($F$6*B59))</x:f>
      </x:c>
      <x:c r="H59" s="14">
        <x:f>IF(B59="","", $F$8*COS(B59) - $B$7*$F$6*COS($F$6*B59))</x:f>
      </x:c>
    </x:row>
    <x:row r="60">
      <x:c r="A60" s="13" t="n">
        <x:v>41</x:v>
      </x:c>
      <x:c r="B60" s="14">
        <x:f>IF($B$12&lt;41,"",$B$13+(41-1)*($B$14-$B$13)/($B$12-1))</x:f>
      </x:c>
      <x:c r="C60" s="14">
        <x:f>IF(B60="","",$F$8*COS(B60) + $B$7*COS($F$6*B60))</x:f>
      </x:c>
      <x:c r="D60" s="14">
        <x:f>IF(B60="","",$F$8*SIN(B60) - $B$7*SIN($F$6*B60))</x:f>
      </x:c>
      <x:c r="E60" s="14">
        <x:f>IF(B60="","", C60 + $F$12*$F$9*(-H60)/IF(SQRT(G60^2+H60^2)=0,1,SQRT(G60^2+H60^2)))</x:f>
      </x:c>
      <x:c r="F60" s="14">
        <x:f>IF(B60="","", D60 + $F$12*$F$9*(G60)/IF(SQRT(G60^2+H60^2)=0,1,SQRT(G60^2+H60^2)))</x:f>
      </x:c>
      <x:c r="G60" s="14">
        <x:f>IF(B60="","", -$F$8*SIN(B60) - $B$7*$F$6*SIN($F$6*B60))</x:f>
      </x:c>
      <x:c r="H60" s="14">
        <x:f>IF(B60="","", $F$8*COS(B60) - $B$7*$F$6*COS($F$6*B60))</x:f>
      </x:c>
    </x:row>
    <x:row r="61">
      <x:c r="A61" s="13" t="n">
        <x:v>42</x:v>
      </x:c>
      <x:c r="B61" s="14">
        <x:f>IF($B$12&lt;42,"",$B$13+(42-1)*($B$14-$B$13)/($B$12-1))</x:f>
      </x:c>
      <x:c r="C61" s="14">
        <x:f>IF(B61="","",$F$8*COS(B61) + $B$7*COS($F$6*B61))</x:f>
      </x:c>
      <x:c r="D61" s="14">
        <x:f>IF(B61="","",$F$8*SIN(B61) - $B$7*SIN($F$6*B61))</x:f>
      </x:c>
      <x:c r="E61" s="14">
        <x:f>IF(B61="","", C61 + $F$12*$F$9*(-H61)/IF(SQRT(G61^2+H61^2)=0,1,SQRT(G61^2+H61^2)))</x:f>
      </x:c>
      <x:c r="F61" s="14">
        <x:f>IF(B61="","", D61 + $F$12*$F$9*(G61)/IF(SQRT(G61^2+H61^2)=0,1,SQRT(G61^2+H61^2)))</x:f>
      </x:c>
      <x:c r="G61" s="14">
        <x:f>IF(B61="","", -$F$8*SIN(B61) - $B$7*$F$6*SIN($F$6*B61))</x:f>
      </x:c>
      <x:c r="H61" s="14">
        <x:f>IF(B61="","", $F$8*COS(B61) - $B$7*$F$6*COS($F$6*B61))</x:f>
      </x:c>
    </x:row>
    <x:row r="62">
      <x:c r="A62" s="13" t="n">
        <x:v>43</x:v>
      </x:c>
      <x:c r="B62" s="14">
        <x:f>IF($B$12&lt;43,"",$B$13+(43-1)*($B$14-$B$13)/($B$12-1))</x:f>
      </x:c>
      <x:c r="C62" s="14">
        <x:f>IF(B62="","",$F$8*COS(B62) + $B$7*COS($F$6*B62))</x:f>
      </x:c>
      <x:c r="D62" s="14">
        <x:f>IF(B62="","",$F$8*SIN(B62) - $B$7*SIN($F$6*B62))</x:f>
      </x:c>
      <x:c r="E62" s="14">
        <x:f>IF(B62="","", C62 + $F$12*$F$9*(-H62)/IF(SQRT(G62^2+H62^2)=0,1,SQRT(G62^2+H62^2)))</x:f>
      </x:c>
      <x:c r="F62" s="14">
        <x:f>IF(B62="","", D62 + $F$12*$F$9*(G62)/IF(SQRT(G62^2+H62^2)=0,1,SQRT(G62^2+H62^2)))</x:f>
      </x:c>
      <x:c r="G62" s="14">
        <x:f>IF(B62="","", -$F$8*SIN(B62) - $B$7*$F$6*SIN($F$6*B62))</x:f>
      </x:c>
      <x:c r="H62" s="14">
        <x:f>IF(B62="","", $F$8*COS(B62) - $B$7*$F$6*COS($F$6*B62))</x:f>
      </x:c>
    </x:row>
    <x:row r="63">
      <x:c r="A63" s="13" t="n">
        <x:v>44</x:v>
      </x:c>
      <x:c r="B63" s="14">
        <x:f>IF($B$12&lt;44,"",$B$13+(44-1)*($B$14-$B$13)/($B$12-1))</x:f>
      </x:c>
      <x:c r="C63" s="14">
        <x:f>IF(B63="","",$F$8*COS(B63) + $B$7*COS($F$6*B63))</x:f>
      </x:c>
      <x:c r="D63" s="14">
        <x:f>IF(B63="","",$F$8*SIN(B63) - $B$7*SIN($F$6*B63))</x:f>
      </x:c>
      <x:c r="E63" s="14">
        <x:f>IF(B63="","", C63 + $F$12*$F$9*(-H63)/IF(SQRT(G63^2+H63^2)=0,1,SQRT(G63^2+H63^2)))</x:f>
      </x:c>
      <x:c r="F63" s="14">
        <x:f>IF(B63="","", D63 + $F$12*$F$9*(G63)/IF(SQRT(G63^2+H63^2)=0,1,SQRT(G63^2+H63^2)))</x:f>
      </x:c>
      <x:c r="G63" s="14">
        <x:f>IF(B63="","", -$F$8*SIN(B63) - $B$7*$F$6*SIN($F$6*B63))</x:f>
      </x:c>
      <x:c r="H63" s="14">
        <x:f>IF(B63="","", $F$8*COS(B63) - $B$7*$F$6*COS($F$6*B63))</x:f>
      </x:c>
    </x:row>
    <x:row r="64">
      <x:c r="A64" s="13" t="n">
        <x:v>45</x:v>
      </x:c>
      <x:c r="B64" s="14">
        <x:f>IF($B$12&lt;45,"",$B$13+(45-1)*($B$14-$B$13)/($B$12-1))</x:f>
      </x:c>
      <x:c r="C64" s="14">
        <x:f>IF(B64="","",$F$8*COS(B64) + $B$7*COS($F$6*B64))</x:f>
      </x:c>
      <x:c r="D64" s="14">
        <x:f>IF(B64="","",$F$8*SIN(B64) - $B$7*SIN($F$6*B64))</x:f>
      </x:c>
      <x:c r="E64" s="14">
        <x:f>IF(B64="","", C64 + $F$12*$F$9*(-H64)/IF(SQRT(G64^2+H64^2)=0,1,SQRT(G64^2+H64^2)))</x:f>
      </x:c>
      <x:c r="F64" s="14">
        <x:f>IF(B64="","", D64 + $F$12*$F$9*(G64)/IF(SQRT(G64^2+H64^2)=0,1,SQRT(G64^2+H64^2)))</x:f>
      </x:c>
      <x:c r="G64" s="14">
        <x:f>IF(B64="","", -$F$8*SIN(B64) - $B$7*$F$6*SIN($F$6*B64))</x:f>
      </x:c>
      <x:c r="H64" s="14">
        <x:f>IF(B64="","", $F$8*COS(B64) - $B$7*$F$6*COS($F$6*B64))</x:f>
      </x:c>
    </x:row>
    <x:row r="65">
      <x:c r="A65" s="13" t="n">
        <x:v>46</x:v>
      </x:c>
      <x:c r="B65" s="14">
        <x:f>IF($B$12&lt;46,"",$B$13+(46-1)*($B$14-$B$13)/($B$12-1))</x:f>
      </x:c>
      <x:c r="C65" s="14">
        <x:f>IF(B65="","",$F$8*COS(B65) + $B$7*COS($F$6*B65))</x:f>
      </x:c>
      <x:c r="D65" s="14">
        <x:f>IF(B65="","",$F$8*SIN(B65) - $B$7*SIN($F$6*B65))</x:f>
      </x:c>
      <x:c r="E65" s="14">
        <x:f>IF(B65="","", C65 + $F$12*$F$9*(-H65)/IF(SQRT(G65^2+H65^2)=0,1,SQRT(G65^2+H65^2)))</x:f>
      </x:c>
      <x:c r="F65" s="14">
        <x:f>IF(B65="","", D65 + $F$12*$F$9*(G65)/IF(SQRT(G65^2+H65^2)=0,1,SQRT(G65^2+H65^2)))</x:f>
      </x:c>
      <x:c r="G65" s="14">
        <x:f>IF(B65="","", -$F$8*SIN(B65) - $B$7*$F$6*SIN($F$6*B65))</x:f>
      </x:c>
      <x:c r="H65" s="14">
        <x:f>IF(B65="","", $F$8*COS(B65) - $B$7*$F$6*COS($F$6*B65))</x:f>
      </x:c>
    </x:row>
    <x:row r="66">
      <x:c r="A66" s="13" t="n">
        <x:v>47</x:v>
      </x:c>
      <x:c r="B66" s="14">
        <x:f>IF($B$12&lt;47,"",$B$13+(47-1)*($B$14-$B$13)/($B$12-1))</x:f>
      </x:c>
      <x:c r="C66" s="14">
        <x:f>IF(B66="","",$F$8*COS(B66) + $B$7*COS($F$6*B66))</x:f>
      </x:c>
      <x:c r="D66" s="14">
        <x:f>IF(B66="","",$F$8*SIN(B66) - $B$7*SIN($F$6*B66))</x:f>
      </x:c>
      <x:c r="E66" s="14">
        <x:f>IF(B66="","", C66 + $F$12*$F$9*(-H66)/IF(SQRT(G66^2+H66^2)=0,1,SQRT(G66^2+H66^2)))</x:f>
      </x:c>
      <x:c r="F66" s="14">
        <x:f>IF(B66="","", D66 + $F$12*$F$9*(G66)/IF(SQRT(G66^2+H66^2)=0,1,SQRT(G66^2+H66^2)))</x:f>
      </x:c>
      <x:c r="G66" s="14">
        <x:f>IF(B66="","", -$F$8*SIN(B66) - $B$7*$F$6*SIN($F$6*B66))</x:f>
      </x:c>
      <x:c r="H66" s="14">
        <x:f>IF(B66="","", $F$8*COS(B66) - $B$7*$F$6*COS($F$6*B66))</x:f>
      </x:c>
    </x:row>
    <x:row r="67">
      <x:c r="A67" s="13" t="n">
        <x:v>48</x:v>
      </x:c>
      <x:c r="B67" s="14">
        <x:f>IF($B$12&lt;48,"",$B$13+(48-1)*($B$14-$B$13)/($B$12-1))</x:f>
      </x:c>
      <x:c r="C67" s="14">
        <x:f>IF(B67="","",$F$8*COS(B67) + $B$7*COS($F$6*B67))</x:f>
      </x:c>
      <x:c r="D67" s="14">
        <x:f>IF(B67="","",$F$8*SIN(B67) - $B$7*SIN($F$6*B67))</x:f>
      </x:c>
      <x:c r="E67" s="14">
        <x:f>IF(B67="","", C67 + $F$12*$F$9*(-H67)/IF(SQRT(G67^2+H67^2)=0,1,SQRT(G67^2+H67^2)))</x:f>
      </x:c>
      <x:c r="F67" s="14">
        <x:f>IF(B67="","", D67 + $F$12*$F$9*(G67)/IF(SQRT(G67^2+H67^2)=0,1,SQRT(G67^2+H67^2)))</x:f>
      </x:c>
      <x:c r="G67" s="14">
        <x:f>IF(B67="","", -$F$8*SIN(B67) - $B$7*$F$6*SIN($F$6*B67))</x:f>
      </x:c>
      <x:c r="H67" s="14">
        <x:f>IF(B67="","", $F$8*COS(B67) - $B$7*$F$6*COS($F$6*B67))</x:f>
      </x:c>
    </x:row>
    <x:row r="68">
      <x:c r="A68" s="13" t="n">
        <x:v>49</x:v>
      </x:c>
      <x:c r="B68" s="14">
        <x:f>IF($B$12&lt;49,"",$B$13+(49-1)*($B$14-$B$13)/($B$12-1))</x:f>
      </x:c>
      <x:c r="C68" s="14">
        <x:f>IF(B68="","",$F$8*COS(B68) + $B$7*COS($F$6*B68))</x:f>
      </x:c>
      <x:c r="D68" s="14">
        <x:f>IF(B68="","",$F$8*SIN(B68) - $B$7*SIN($F$6*B68))</x:f>
      </x:c>
      <x:c r="E68" s="14">
        <x:f>IF(B68="","", C68 + $F$12*$F$9*(-H68)/IF(SQRT(G68^2+H68^2)=0,1,SQRT(G68^2+H68^2)))</x:f>
      </x:c>
      <x:c r="F68" s="14">
        <x:f>IF(B68="","", D68 + $F$12*$F$9*(G68)/IF(SQRT(G68^2+H68^2)=0,1,SQRT(G68^2+H68^2)))</x:f>
      </x:c>
      <x:c r="G68" s="14">
        <x:f>IF(B68="","", -$F$8*SIN(B68) - $B$7*$F$6*SIN($F$6*B68))</x:f>
      </x:c>
      <x:c r="H68" s="14">
        <x:f>IF(B68="","", $F$8*COS(B68) - $B$7*$F$6*COS($F$6*B68))</x:f>
      </x:c>
    </x:row>
    <x:row r="69">
      <x:c r="A69" s="13" t="n">
        <x:v>50</x:v>
      </x:c>
      <x:c r="B69" s="14">
        <x:f>IF($B$12&lt;50,"",$B$13+(50-1)*($B$14-$B$13)/($B$12-1))</x:f>
      </x:c>
      <x:c r="C69" s="14">
        <x:f>IF(B69="","",$F$8*COS(B69) + $B$7*COS($F$6*B69))</x:f>
      </x:c>
      <x:c r="D69" s="14">
        <x:f>IF(B69="","",$F$8*SIN(B69) - $B$7*SIN($F$6*B69))</x:f>
      </x:c>
      <x:c r="E69" s="14">
        <x:f>IF(B69="","", C69 + $F$12*$F$9*(-H69)/IF(SQRT(G69^2+H69^2)=0,1,SQRT(G69^2+H69^2)))</x:f>
      </x:c>
      <x:c r="F69" s="14">
        <x:f>IF(B69="","", D69 + $F$12*$F$9*(G69)/IF(SQRT(G69^2+H69^2)=0,1,SQRT(G69^2+H69^2)))</x:f>
      </x:c>
      <x:c r="G69" s="14">
        <x:f>IF(B69="","", -$F$8*SIN(B69) - $B$7*$F$6*SIN($F$6*B69))</x:f>
      </x:c>
      <x:c r="H69" s="14">
        <x:f>IF(B69="","", $F$8*COS(B69) - $B$7*$F$6*COS($F$6*B69))</x:f>
      </x:c>
    </x:row>
    <x:row r="70">
      <x:c r="A70" s="13" t="n">
        <x:v>51</x:v>
      </x:c>
      <x:c r="B70" s="14">
        <x:f>IF($B$12&lt;51,"",$B$13+(51-1)*($B$14-$B$13)/($B$12-1))</x:f>
      </x:c>
      <x:c r="C70" s="14">
        <x:f>IF(B70="","",$F$8*COS(B70) + $B$7*COS($F$6*B70))</x:f>
      </x:c>
      <x:c r="D70" s="14">
        <x:f>IF(B70="","",$F$8*SIN(B70) - $B$7*SIN($F$6*B70))</x:f>
      </x:c>
      <x:c r="E70" s="14">
        <x:f>IF(B70="","", C70 + $F$12*$F$9*(-H70)/IF(SQRT(G70^2+H70^2)=0,1,SQRT(G70^2+H70^2)))</x:f>
      </x:c>
      <x:c r="F70" s="14">
        <x:f>IF(B70="","", D70 + $F$12*$F$9*(G70)/IF(SQRT(G70^2+H70^2)=0,1,SQRT(G70^2+H70^2)))</x:f>
      </x:c>
      <x:c r="G70" s="14">
        <x:f>IF(B70="","", -$F$8*SIN(B70) - $B$7*$F$6*SIN($F$6*B70))</x:f>
      </x:c>
      <x:c r="H70" s="14">
        <x:f>IF(B70="","", $F$8*COS(B70) - $B$7*$F$6*COS($F$6*B70))</x:f>
      </x:c>
    </x:row>
    <x:row r="71">
      <x:c r="A71" s="13" t="n">
        <x:v>52</x:v>
      </x:c>
      <x:c r="B71" s="14">
        <x:f>IF($B$12&lt;52,"",$B$13+(52-1)*($B$14-$B$13)/($B$12-1))</x:f>
      </x:c>
      <x:c r="C71" s="14">
        <x:f>IF(B71="","",$F$8*COS(B71) + $B$7*COS($F$6*B71))</x:f>
      </x:c>
      <x:c r="D71" s="14">
        <x:f>IF(B71="","",$F$8*SIN(B71) - $B$7*SIN($F$6*B71))</x:f>
      </x:c>
      <x:c r="E71" s="14">
        <x:f>IF(B71="","", C71 + $F$12*$F$9*(-H71)/IF(SQRT(G71^2+H71^2)=0,1,SQRT(G71^2+H71^2)))</x:f>
      </x:c>
      <x:c r="F71" s="14">
        <x:f>IF(B71="","", D71 + $F$12*$F$9*(G71)/IF(SQRT(G71^2+H71^2)=0,1,SQRT(G71^2+H71^2)))</x:f>
      </x:c>
      <x:c r="G71" s="14">
        <x:f>IF(B71="","", -$F$8*SIN(B71) - $B$7*$F$6*SIN($F$6*B71))</x:f>
      </x:c>
      <x:c r="H71" s="14">
        <x:f>IF(B71="","", $F$8*COS(B71) - $B$7*$F$6*COS($F$6*B71))</x:f>
      </x:c>
    </x:row>
    <x:row r="72">
      <x:c r="A72" s="13" t="n">
        <x:v>53</x:v>
      </x:c>
      <x:c r="B72" s="14">
        <x:f>IF($B$12&lt;53,"",$B$13+(53-1)*($B$14-$B$13)/($B$12-1))</x:f>
      </x:c>
      <x:c r="C72" s="14">
        <x:f>IF(B72="","",$F$8*COS(B72) + $B$7*COS($F$6*B72))</x:f>
      </x:c>
      <x:c r="D72" s="14">
        <x:f>IF(B72="","",$F$8*SIN(B72) - $B$7*SIN($F$6*B72))</x:f>
      </x:c>
      <x:c r="E72" s="14">
        <x:f>IF(B72="","", C72 + $F$12*$F$9*(-H72)/IF(SQRT(G72^2+H72^2)=0,1,SQRT(G72^2+H72^2)))</x:f>
      </x:c>
      <x:c r="F72" s="14">
        <x:f>IF(B72="","", D72 + $F$12*$F$9*(G72)/IF(SQRT(G72^2+H72^2)=0,1,SQRT(G72^2+H72^2)))</x:f>
      </x:c>
      <x:c r="G72" s="14">
        <x:f>IF(B72="","", -$F$8*SIN(B72) - $B$7*$F$6*SIN($F$6*B72))</x:f>
      </x:c>
      <x:c r="H72" s="14">
        <x:f>IF(B72="","", $F$8*COS(B72) - $B$7*$F$6*COS($F$6*B72))</x:f>
      </x:c>
    </x:row>
    <x:row r="73">
      <x:c r="A73" s="13" t="n">
        <x:v>54</x:v>
      </x:c>
      <x:c r="B73" s="14">
        <x:f>IF($B$12&lt;54,"",$B$13+(54-1)*($B$14-$B$13)/($B$12-1))</x:f>
      </x:c>
      <x:c r="C73" s="14">
        <x:f>IF(B73="","",$F$8*COS(B73) + $B$7*COS($F$6*B73))</x:f>
      </x:c>
      <x:c r="D73" s="14">
        <x:f>IF(B73="","",$F$8*SIN(B73) - $B$7*SIN($F$6*B73))</x:f>
      </x:c>
      <x:c r="E73" s="14">
        <x:f>IF(B73="","", C73 + $F$12*$F$9*(-H73)/IF(SQRT(G73^2+H73^2)=0,1,SQRT(G73^2+H73^2)))</x:f>
      </x:c>
      <x:c r="F73" s="14">
        <x:f>IF(B73="","", D73 + $F$12*$F$9*(G73)/IF(SQRT(G73^2+H73^2)=0,1,SQRT(G73^2+H73^2)))</x:f>
      </x:c>
      <x:c r="G73" s="14">
        <x:f>IF(B73="","", -$F$8*SIN(B73) - $B$7*$F$6*SIN($F$6*B73))</x:f>
      </x:c>
      <x:c r="H73" s="14">
        <x:f>IF(B73="","", $F$8*COS(B73) - $B$7*$F$6*COS($F$6*B73))</x:f>
      </x:c>
    </x:row>
    <x:row r="74">
      <x:c r="A74" s="13" t="n">
        <x:v>55</x:v>
      </x:c>
      <x:c r="B74" s="14">
        <x:f>IF($B$12&lt;55,"",$B$13+(55-1)*($B$14-$B$13)/($B$12-1))</x:f>
      </x:c>
      <x:c r="C74" s="14">
        <x:f>IF(B74="","",$F$8*COS(B74) + $B$7*COS($F$6*B74))</x:f>
      </x:c>
      <x:c r="D74" s="14">
        <x:f>IF(B74="","",$F$8*SIN(B74) - $B$7*SIN($F$6*B74))</x:f>
      </x:c>
      <x:c r="E74" s="14">
        <x:f>IF(B74="","", C74 + $F$12*$F$9*(-H74)/IF(SQRT(G74^2+H74^2)=0,1,SQRT(G74^2+H74^2)))</x:f>
      </x:c>
      <x:c r="F74" s="14">
        <x:f>IF(B74="","", D74 + $F$12*$F$9*(G74)/IF(SQRT(G74^2+H74^2)=0,1,SQRT(G74^2+H74^2)))</x:f>
      </x:c>
      <x:c r="G74" s="14">
        <x:f>IF(B74="","", -$F$8*SIN(B74) - $B$7*$F$6*SIN($F$6*B74))</x:f>
      </x:c>
      <x:c r="H74" s="14">
        <x:f>IF(B74="","", $F$8*COS(B74) - $B$7*$F$6*COS($F$6*B74))</x:f>
      </x:c>
    </x:row>
    <x:row r="75">
      <x:c r="A75" s="13" t="n">
        <x:v>56</x:v>
      </x:c>
      <x:c r="B75" s="14">
        <x:f>IF($B$12&lt;56,"",$B$13+(56-1)*($B$14-$B$13)/($B$12-1))</x:f>
      </x:c>
      <x:c r="C75" s="14">
        <x:f>IF(B75="","",$F$8*COS(B75) + $B$7*COS($F$6*B75))</x:f>
      </x:c>
      <x:c r="D75" s="14">
        <x:f>IF(B75="","",$F$8*SIN(B75) - $B$7*SIN($F$6*B75))</x:f>
      </x:c>
      <x:c r="E75" s="14">
        <x:f>IF(B75="","", C75 + $F$12*$F$9*(-H75)/IF(SQRT(G75^2+H75^2)=0,1,SQRT(G75^2+H75^2)))</x:f>
      </x:c>
      <x:c r="F75" s="14">
        <x:f>IF(B75="","", D75 + $F$12*$F$9*(G75)/IF(SQRT(G75^2+H75^2)=0,1,SQRT(G75^2+H75^2)))</x:f>
      </x:c>
      <x:c r="G75" s="14">
        <x:f>IF(B75="","", -$F$8*SIN(B75) - $B$7*$F$6*SIN($F$6*B75))</x:f>
      </x:c>
      <x:c r="H75" s="14">
        <x:f>IF(B75="","", $F$8*COS(B75) - $B$7*$F$6*COS($F$6*B75))</x:f>
      </x:c>
    </x:row>
    <x:row r="76">
      <x:c r="A76" s="13" t="n">
        <x:v>57</x:v>
      </x:c>
      <x:c r="B76" s="14">
        <x:f>IF($B$12&lt;57,"",$B$13+(57-1)*($B$14-$B$13)/($B$12-1))</x:f>
      </x:c>
      <x:c r="C76" s="14">
        <x:f>IF(B76="","",$F$8*COS(B76) + $B$7*COS($F$6*B76))</x:f>
      </x:c>
      <x:c r="D76" s="14">
        <x:f>IF(B76="","",$F$8*SIN(B76) - $B$7*SIN($F$6*B76))</x:f>
      </x:c>
      <x:c r="E76" s="14">
        <x:f>IF(B76="","", C76 + $F$12*$F$9*(-H76)/IF(SQRT(G76^2+H76^2)=0,1,SQRT(G76^2+H76^2)))</x:f>
      </x:c>
      <x:c r="F76" s="14">
        <x:f>IF(B76="","", D76 + $F$12*$F$9*(G76)/IF(SQRT(G76^2+H76^2)=0,1,SQRT(G76^2+H76^2)))</x:f>
      </x:c>
      <x:c r="G76" s="14">
        <x:f>IF(B76="","", -$F$8*SIN(B76) - $B$7*$F$6*SIN($F$6*B76))</x:f>
      </x:c>
      <x:c r="H76" s="14">
        <x:f>IF(B76="","", $F$8*COS(B76) - $B$7*$F$6*COS($F$6*B76))</x:f>
      </x:c>
    </x:row>
    <x:row r="77">
      <x:c r="A77" s="13" t="n">
        <x:v>58</x:v>
      </x:c>
      <x:c r="B77" s="14">
        <x:f>IF($B$12&lt;58,"",$B$13+(58-1)*($B$14-$B$13)/($B$12-1))</x:f>
      </x:c>
      <x:c r="C77" s="14">
        <x:f>IF(B77="","",$F$8*COS(B77) + $B$7*COS($F$6*B77))</x:f>
      </x:c>
      <x:c r="D77" s="14">
        <x:f>IF(B77="","",$F$8*SIN(B77) - $B$7*SIN($F$6*B77))</x:f>
      </x:c>
      <x:c r="E77" s="14">
        <x:f>IF(B77="","", C77 + $F$12*$F$9*(-H77)/IF(SQRT(G77^2+H77^2)=0,1,SQRT(G77^2+H77^2)))</x:f>
      </x:c>
      <x:c r="F77" s="14">
        <x:f>IF(B77="","", D77 + $F$12*$F$9*(G77)/IF(SQRT(G77^2+H77^2)=0,1,SQRT(G77^2+H77^2)))</x:f>
      </x:c>
      <x:c r="G77" s="14">
        <x:f>IF(B77="","", -$F$8*SIN(B77) - $B$7*$F$6*SIN($F$6*B77))</x:f>
      </x:c>
      <x:c r="H77" s="14">
        <x:f>IF(B77="","", $F$8*COS(B77) - $B$7*$F$6*COS($F$6*B77))</x:f>
      </x:c>
    </x:row>
    <x:row r="78">
      <x:c r="A78" s="13" t="n">
        <x:v>59</x:v>
      </x:c>
      <x:c r="B78" s="14">
        <x:f>IF($B$12&lt;59,"",$B$13+(59-1)*($B$14-$B$13)/($B$12-1))</x:f>
      </x:c>
      <x:c r="C78" s="14">
        <x:f>IF(B78="","",$F$8*COS(B78) + $B$7*COS($F$6*B78))</x:f>
      </x:c>
      <x:c r="D78" s="14">
        <x:f>IF(B78="","",$F$8*SIN(B78) - $B$7*SIN($F$6*B78))</x:f>
      </x:c>
      <x:c r="E78" s="14">
        <x:f>IF(B78="","", C78 + $F$12*$F$9*(-H78)/IF(SQRT(G78^2+H78^2)=0,1,SQRT(G78^2+H78^2)))</x:f>
      </x:c>
      <x:c r="F78" s="14">
        <x:f>IF(B78="","", D78 + $F$12*$F$9*(G78)/IF(SQRT(G78^2+H78^2)=0,1,SQRT(G78^2+H78^2)))</x:f>
      </x:c>
      <x:c r="G78" s="14">
        <x:f>IF(B78="","", -$F$8*SIN(B78) - $B$7*$F$6*SIN($F$6*B78))</x:f>
      </x:c>
      <x:c r="H78" s="14">
        <x:f>IF(B78="","", $F$8*COS(B78) - $B$7*$F$6*COS($F$6*B78))</x:f>
      </x:c>
    </x:row>
    <x:row r="79">
      <x:c r="A79" s="13" t="n">
        <x:v>60</x:v>
      </x:c>
      <x:c r="B79" s="14">
        <x:f>IF($B$12&lt;60,"",$B$13+(60-1)*($B$14-$B$13)/($B$12-1))</x:f>
      </x:c>
      <x:c r="C79" s="14">
        <x:f>IF(B79="","",$F$8*COS(B79) + $B$7*COS($F$6*B79))</x:f>
      </x:c>
      <x:c r="D79" s="14">
        <x:f>IF(B79="","",$F$8*SIN(B79) - $B$7*SIN($F$6*B79))</x:f>
      </x:c>
      <x:c r="E79" s="14">
        <x:f>IF(B79="","", C79 + $F$12*$F$9*(-H79)/IF(SQRT(G79^2+H79^2)=0,1,SQRT(G79^2+H79^2)))</x:f>
      </x:c>
      <x:c r="F79" s="14">
        <x:f>IF(B79="","", D79 + $F$12*$F$9*(G79)/IF(SQRT(G79^2+H79^2)=0,1,SQRT(G79^2+H79^2)))</x:f>
      </x:c>
      <x:c r="G79" s="14">
        <x:f>IF(B79="","", -$F$8*SIN(B79) - $B$7*$F$6*SIN($F$6*B79))</x:f>
      </x:c>
      <x:c r="H79" s="14">
        <x:f>IF(B79="","", $F$8*COS(B79) - $B$7*$F$6*COS($F$6*B79))</x:f>
      </x:c>
    </x:row>
    <x:row r="80">
      <x:c r="A80" s="13" t="n">
        <x:v>61</x:v>
      </x:c>
      <x:c r="B80" s="14">
        <x:f>IF($B$12&lt;61,"",$B$13+(61-1)*($B$14-$B$13)/($B$12-1))</x:f>
      </x:c>
      <x:c r="C80" s="14">
        <x:f>IF(B80="","",$F$8*COS(B80) + $B$7*COS($F$6*B80))</x:f>
      </x:c>
      <x:c r="D80" s="14">
        <x:f>IF(B80="","",$F$8*SIN(B80) - $B$7*SIN($F$6*B80))</x:f>
      </x:c>
      <x:c r="E80" s="14">
        <x:f>IF(B80="","", C80 + $F$12*$F$9*(-H80)/IF(SQRT(G80^2+H80^2)=0,1,SQRT(G80^2+H80^2)))</x:f>
      </x:c>
      <x:c r="F80" s="14">
        <x:f>IF(B80="","", D80 + $F$12*$F$9*(G80)/IF(SQRT(G80^2+H80^2)=0,1,SQRT(G80^2+H80^2)))</x:f>
      </x:c>
      <x:c r="G80" s="14">
        <x:f>IF(B80="","", -$F$8*SIN(B80) - $B$7*$F$6*SIN($F$6*B80))</x:f>
      </x:c>
      <x:c r="H80" s="14">
        <x:f>IF(B80="","", $F$8*COS(B80) - $B$7*$F$6*COS($F$6*B80))</x:f>
      </x:c>
    </x:row>
    <x:row r="81">
      <x:c r="A81" s="13" t="n">
        <x:v>62</x:v>
      </x:c>
      <x:c r="B81" s="14">
        <x:f>IF($B$12&lt;62,"",$B$13+(62-1)*($B$14-$B$13)/($B$12-1))</x:f>
      </x:c>
      <x:c r="C81" s="14">
        <x:f>IF(B81="","",$F$8*COS(B81) + $B$7*COS($F$6*B81))</x:f>
      </x:c>
      <x:c r="D81" s="14">
        <x:f>IF(B81="","",$F$8*SIN(B81) - $B$7*SIN($F$6*B81))</x:f>
      </x:c>
      <x:c r="E81" s="14">
        <x:f>IF(B81="","", C81 + $F$12*$F$9*(-H81)/IF(SQRT(G81^2+H81^2)=0,1,SQRT(G81^2+H81^2)))</x:f>
      </x:c>
      <x:c r="F81" s="14">
        <x:f>IF(B81="","", D81 + $F$12*$F$9*(G81)/IF(SQRT(G81^2+H81^2)=0,1,SQRT(G81^2+H81^2)))</x:f>
      </x:c>
      <x:c r="G81" s="14">
        <x:f>IF(B81="","", -$F$8*SIN(B81) - $B$7*$F$6*SIN($F$6*B81))</x:f>
      </x:c>
      <x:c r="H81" s="14">
        <x:f>IF(B81="","", $F$8*COS(B81) - $B$7*$F$6*COS($F$6*B81))</x:f>
      </x:c>
    </x:row>
    <x:row r="82">
      <x:c r="A82" s="13" t="n">
        <x:v>63</x:v>
      </x:c>
      <x:c r="B82" s="14">
        <x:f>IF($B$12&lt;63,"",$B$13+(63-1)*($B$14-$B$13)/($B$12-1))</x:f>
      </x:c>
      <x:c r="C82" s="14">
        <x:f>IF(B82="","",$F$8*COS(B82) + $B$7*COS($F$6*B82))</x:f>
      </x:c>
      <x:c r="D82" s="14">
        <x:f>IF(B82="","",$F$8*SIN(B82) - $B$7*SIN($F$6*B82))</x:f>
      </x:c>
      <x:c r="E82" s="14">
        <x:f>IF(B82="","", C82 + $F$12*$F$9*(-H82)/IF(SQRT(G82^2+H82^2)=0,1,SQRT(G82^2+H82^2)))</x:f>
      </x:c>
      <x:c r="F82" s="14">
        <x:f>IF(B82="","", D82 + $F$12*$F$9*(G82)/IF(SQRT(G82^2+H82^2)=0,1,SQRT(G82^2+H82^2)))</x:f>
      </x:c>
      <x:c r="G82" s="14">
        <x:f>IF(B82="","", -$F$8*SIN(B82) - $B$7*$F$6*SIN($F$6*B82))</x:f>
      </x:c>
      <x:c r="H82" s="14">
        <x:f>IF(B82="","", $F$8*COS(B82) - $B$7*$F$6*COS($F$6*B82))</x:f>
      </x:c>
    </x:row>
    <x:row r="83">
      <x:c r="A83" s="13" t="n">
        <x:v>64</x:v>
      </x:c>
      <x:c r="B83" s="14">
        <x:f>IF($B$12&lt;64,"",$B$13+(64-1)*($B$14-$B$13)/($B$12-1))</x:f>
      </x:c>
      <x:c r="C83" s="14">
        <x:f>IF(B83="","",$F$8*COS(B83) + $B$7*COS($F$6*B83))</x:f>
      </x:c>
      <x:c r="D83" s="14">
        <x:f>IF(B83="","",$F$8*SIN(B83) - $B$7*SIN($F$6*B83))</x:f>
      </x:c>
      <x:c r="E83" s="14">
        <x:f>IF(B83="","", C83 + $F$12*$F$9*(-H83)/IF(SQRT(G83^2+H83^2)=0,1,SQRT(G83^2+H83^2)))</x:f>
      </x:c>
      <x:c r="F83" s="14">
        <x:f>IF(B83="","", D83 + $F$12*$F$9*(G83)/IF(SQRT(G83^2+H83^2)=0,1,SQRT(G83^2+H83^2)))</x:f>
      </x:c>
      <x:c r="G83" s="14">
        <x:f>IF(B83="","", -$F$8*SIN(B83) - $B$7*$F$6*SIN($F$6*B83))</x:f>
      </x:c>
      <x:c r="H83" s="14">
        <x:f>IF(B83="","", $F$8*COS(B83) - $B$7*$F$6*COS($F$6*B83))</x:f>
      </x:c>
    </x:row>
    <x:row r="84">
      <x:c r="A84" s="13" t="n">
        <x:v>65</x:v>
      </x:c>
      <x:c r="B84" s="14">
        <x:f>IF($B$12&lt;65,"",$B$13+(65-1)*($B$14-$B$13)/($B$12-1))</x:f>
      </x:c>
      <x:c r="C84" s="14">
        <x:f>IF(B84="","",$F$8*COS(B84) + $B$7*COS($F$6*B84))</x:f>
      </x:c>
      <x:c r="D84" s="14">
        <x:f>IF(B84="","",$F$8*SIN(B84) - $B$7*SIN($F$6*B84))</x:f>
      </x:c>
      <x:c r="E84" s="14">
        <x:f>IF(B84="","", C84 + $F$12*$F$9*(-H84)/IF(SQRT(G84^2+H84^2)=0,1,SQRT(G84^2+H84^2)))</x:f>
      </x:c>
      <x:c r="F84" s="14">
        <x:f>IF(B84="","", D84 + $F$12*$F$9*(G84)/IF(SQRT(G84^2+H84^2)=0,1,SQRT(G84^2+H84^2)))</x:f>
      </x:c>
      <x:c r="G84" s="14">
        <x:f>IF(B84="","", -$F$8*SIN(B84) - $B$7*$F$6*SIN($F$6*B84))</x:f>
      </x:c>
      <x:c r="H84" s="14">
        <x:f>IF(B84="","", $F$8*COS(B84) - $B$7*$F$6*COS($F$6*B84))</x:f>
      </x:c>
    </x:row>
    <x:row r="85">
      <x:c r="A85" s="13" t="n">
        <x:v>66</x:v>
      </x:c>
      <x:c r="B85" s="14">
        <x:f>IF($B$12&lt;66,"",$B$13+(66-1)*($B$14-$B$13)/($B$12-1))</x:f>
      </x:c>
      <x:c r="C85" s="14">
        <x:f>IF(B85="","",$F$8*COS(B85) + $B$7*COS($F$6*B85))</x:f>
      </x:c>
      <x:c r="D85" s="14">
        <x:f>IF(B85="","",$F$8*SIN(B85) - $B$7*SIN($F$6*B85))</x:f>
      </x:c>
      <x:c r="E85" s="14">
        <x:f>IF(B85="","", C85 + $F$12*$F$9*(-H85)/IF(SQRT(G85^2+H85^2)=0,1,SQRT(G85^2+H85^2)))</x:f>
      </x:c>
      <x:c r="F85" s="14">
        <x:f>IF(B85="","", D85 + $F$12*$F$9*(G85)/IF(SQRT(G85^2+H85^2)=0,1,SQRT(G85^2+H85^2)))</x:f>
      </x:c>
      <x:c r="G85" s="14">
        <x:f>IF(B85="","", -$F$8*SIN(B85) - $B$7*$F$6*SIN($F$6*B85))</x:f>
      </x:c>
      <x:c r="H85" s="14">
        <x:f>IF(B85="","", $F$8*COS(B85) - $B$7*$F$6*COS($F$6*B85))</x:f>
      </x:c>
    </x:row>
    <x:row r="86">
      <x:c r="A86" s="13" t="n">
        <x:v>67</x:v>
      </x:c>
      <x:c r="B86" s="14">
        <x:f>IF($B$12&lt;67,"",$B$13+(67-1)*($B$14-$B$13)/($B$12-1))</x:f>
      </x:c>
      <x:c r="C86" s="14">
        <x:f>IF(B86="","",$F$8*COS(B86) + $B$7*COS($F$6*B86))</x:f>
      </x:c>
      <x:c r="D86" s="14">
        <x:f>IF(B86="","",$F$8*SIN(B86) - $B$7*SIN($F$6*B86))</x:f>
      </x:c>
      <x:c r="E86" s="14">
        <x:f>IF(B86="","", C86 + $F$12*$F$9*(-H86)/IF(SQRT(G86^2+H86^2)=0,1,SQRT(G86^2+H86^2)))</x:f>
      </x:c>
      <x:c r="F86" s="14">
        <x:f>IF(B86="","", D86 + $F$12*$F$9*(G86)/IF(SQRT(G86^2+H86^2)=0,1,SQRT(G86^2+H86^2)))</x:f>
      </x:c>
      <x:c r="G86" s="14">
        <x:f>IF(B86="","", -$F$8*SIN(B86) - $B$7*$F$6*SIN($F$6*B86))</x:f>
      </x:c>
      <x:c r="H86" s="14">
        <x:f>IF(B86="","", $F$8*COS(B86) - $B$7*$F$6*COS($F$6*B86))</x:f>
      </x:c>
    </x:row>
    <x:row r="87">
      <x:c r="A87" s="13" t="n">
        <x:v>68</x:v>
      </x:c>
      <x:c r="B87" s="14">
        <x:f>IF($B$12&lt;68,"",$B$13+(68-1)*($B$14-$B$13)/($B$12-1))</x:f>
      </x:c>
      <x:c r="C87" s="14">
        <x:f>IF(B87="","",$F$8*COS(B87) + $B$7*COS($F$6*B87))</x:f>
      </x:c>
      <x:c r="D87" s="14">
        <x:f>IF(B87="","",$F$8*SIN(B87) - $B$7*SIN($F$6*B87))</x:f>
      </x:c>
      <x:c r="E87" s="14">
        <x:f>IF(B87="","", C87 + $F$12*$F$9*(-H87)/IF(SQRT(G87^2+H87^2)=0,1,SQRT(G87^2+H87^2)))</x:f>
      </x:c>
      <x:c r="F87" s="14">
        <x:f>IF(B87="","", D87 + $F$12*$F$9*(G87)/IF(SQRT(G87^2+H87^2)=0,1,SQRT(G87^2+H87^2)))</x:f>
      </x:c>
      <x:c r="G87" s="14">
        <x:f>IF(B87="","", -$F$8*SIN(B87) - $B$7*$F$6*SIN($F$6*B87))</x:f>
      </x:c>
      <x:c r="H87" s="14">
        <x:f>IF(B87="","", $F$8*COS(B87) - $B$7*$F$6*COS($F$6*B87))</x:f>
      </x:c>
    </x:row>
    <x:row r="88">
      <x:c r="A88" s="13" t="n">
        <x:v>69</x:v>
      </x:c>
      <x:c r="B88" s="14">
        <x:f>IF($B$12&lt;69,"",$B$13+(69-1)*($B$14-$B$13)/($B$12-1))</x:f>
      </x:c>
      <x:c r="C88" s="14">
        <x:f>IF(B88="","",$F$8*COS(B88) + $B$7*COS($F$6*B88))</x:f>
      </x:c>
      <x:c r="D88" s="14">
        <x:f>IF(B88="","",$F$8*SIN(B88) - $B$7*SIN($F$6*B88))</x:f>
      </x:c>
      <x:c r="E88" s="14">
        <x:f>IF(B88="","", C88 + $F$12*$F$9*(-H88)/IF(SQRT(G88^2+H88^2)=0,1,SQRT(G88^2+H88^2)))</x:f>
      </x:c>
      <x:c r="F88" s="14">
        <x:f>IF(B88="","", D88 + $F$12*$F$9*(G88)/IF(SQRT(G88^2+H88^2)=0,1,SQRT(G88^2+H88^2)))</x:f>
      </x:c>
      <x:c r="G88" s="14">
        <x:f>IF(B88="","", -$F$8*SIN(B88) - $B$7*$F$6*SIN($F$6*B88))</x:f>
      </x:c>
      <x:c r="H88" s="14">
        <x:f>IF(B88="","", $F$8*COS(B88) - $B$7*$F$6*COS($F$6*B88))</x:f>
      </x:c>
    </x:row>
    <x:row r="89">
      <x:c r="A89" s="13" t="n">
        <x:v>70</x:v>
      </x:c>
      <x:c r="B89" s="14">
        <x:f>IF($B$12&lt;70,"",$B$13+(70-1)*($B$14-$B$13)/($B$12-1))</x:f>
      </x:c>
      <x:c r="C89" s="14">
        <x:f>IF(B89="","",$F$8*COS(B89) + $B$7*COS($F$6*B89))</x:f>
      </x:c>
      <x:c r="D89" s="14">
        <x:f>IF(B89="","",$F$8*SIN(B89) - $B$7*SIN($F$6*B89))</x:f>
      </x:c>
      <x:c r="E89" s="14">
        <x:f>IF(B89="","", C89 + $F$12*$F$9*(-H89)/IF(SQRT(G89^2+H89^2)=0,1,SQRT(G89^2+H89^2)))</x:f>
      </x:c>
      <x:c r="F89" s="14">
        <x:f>IF(B89="","", D89 + $F$12*$F$9*(G89)/IF(SQRT(G89^2+H89^2)=0,1,SQRT(G89^2+H89^2)))</x:f>
      </x:c>
      <x:c r="G89" s="14">
        <x:f>IF(B89="","", -$F$8*SIN(B89) - $B$7*$F$6*SIN($F$6*B89))</x:f>
      </x:c>
      <x:c r="H89" s="14">
        <x:f>IF(B89="","", $F$8*COS(B89) - $B$7*$F$6*COS($F$6*B89))</x:f>
      </x:c>
    </x:row>
    <x:row r="90">
      <x:c r="A90" s="13" t="n">
        <x:v>71</x:v>
      </x:c>
      <x:c r="B90" s="14">
        <x:f>IF($B$12&lt;71,"",$B$13+(71-1)*($B$14-$B$13)/($B$12-1))</x:f>
      </x:c>
      <x:c r="C90" s="14">
        <x:f>IF(B90="","",$F$8*COS(B90) + $B$7*COS($F$6*B90))</x:f>
      </x:c>
      <x:c r="D90" s="14">
        <x:f>IF(B90="","",$F$8*SIN(B90) - $B$7*SIN($F$6*B90))</x:f>
      </x:c>
      <x:c r="E90" s="14">
        <x:f>IF(B90="","", C90 + $F$12*$F$9*(-H90)/IF(SQRT(G90^2+H90^2)=0,1,SQRT(G90^2+H90^2)))</x:f>
      </x:c>
      <x:c r="F90" s="14">
        <x:f>IF(B90="","", D90 + $F$12*$F$9*(G90)/IF(SQRT(G90^2+H90^2)=0,1,SQRT(G90^2+H90^2)))</x:f>
      </x:c>
      <x:c r="G90" s="14">
        <x:f>IF(B90="","", -$F$8*SIN(B90) - $B$7*$F$6*SIN($F$6*B90))</x:f>
      </x:c>
      <x:c r="H90" s="14">
        <x:f>IF(B90="","", $F$8*COS(B90) - $B$7*$F$6*COS($F$6*B90))</x:f>
      </x:c>
    </x:row>
    <x:row r="91">
      <x:c r="A91" s="13" t="n">
        <x:v>72</x:v>
      </x:c>
      <x:c r="B91" s="14">
        <x:f>IF($B$12&lt;72,"",$B$13+(72-1)*($B$14-$B$13)/($B$12-1))</x:f>
      </x:c>
      <x:c r="C91" s="14">
        <x:f>IF(B91="","",$F$8*COS(B91) + $B$7*COS($F$6*B91))</x:f>
      </x:c>
      <x:c r="D91" s="14">
        <x:f>IF(B91="","",$F$8*SIN(B91) - $B$7*SIN($F$6*B91))</x:f>
      </x:c>
      <x:c r="E91" s="14">
        <x:f>IF(B91="","", C91 + $F$12*$F$9*(-H91)/IF(SQRT(G91^2+H91^2)=0,1,SQRT(G91^2+H91^2)))</x:f>
      </x:c>
      <x:c r="F91" s="14">
        <x:f>IF(B91="","", D91 + $F$12*$F$9*(G91)/IF(SQRT(G91^2+H91^2)=0,1,SQRT(G91^2+H91^2)))</x:f>
      </x:c>
      <x:c r="G91" s="14">
        <x:f>IF(B91="","", -$F$8*SIN(B91) - $B$7*$F$6*SIN($F$6*B91))</x:f>
      </x:c>
      <x:c r="H91" s="14">
        <x:f>IF(B91="","", $F$8*COS(B91) - $B$7*$F$6*COS($F$6*B91))</x:f>
      </x:c>
    </x:row>
    <x:row r="92">
      <x:c r="A92" s="13" t="n">
        <x:v>73</x:v>
      </x:c>
      <x:c r="B92" s="14">
        <x:f>IF($B$12&lt;73,"",$B$13+(73-1)*($B$14-$B$13)/($B$12-1))</x:f>
      </x:c>
      <x:c r="C92" s="14">
        <x:f>IF(B92="","",$F$8*COS(B92) + $B$7*COS($F$6*B92))</x:f>
      </x:c>
      <x:c r="D92" s="14">
        <x:f>IF(B92="","",$F$8*SIN(B92) - $B$7*SIN($F$6*B92))</x:f>
      </x:c>
      <x:c r="E92" s="14">
        <x:f>IF(B92="","", C92 + $F$12*$F$9*(-H92)/IF(SQRT(G92^2+H92^2)=0,1,SQRT(G92^2+H92^2)))</x:f>
      </x:c>
      <x:c r="F92" s="14">
        <x:f>IF(B92="","", D92 + $F$12*$F$9*(G92)/IF(SQRT(G92^2+H92^2)=0,1,SQRT(G92^2+H92^2)))</x:f>
      </x:c>
      <x:c r="G92" s="14">
        <x:f>IF(B92="","", -$F$8*SIN(B92) - $B$7*$F$6*SIN($F$6*B92))</x:f>
      </x:c>
      <x:c r="H92" s="14">
        <x:f>IF(B92="","", $F$8*COS(B92) - $B$7*$F$6*COS($F$6*B92))</x:f>
      </x:c>
    </x:row>
    <x:row r="93">
      <x:c r="A93" s="13" t="n">
        <x:v>74</x:v>
      </x:c>
      <x:c r="B93" s="14">
        <x:f>IF($B$12&lt;74,"",$B$13+(74-1)*($B$14-$B$13)/($B$12-1))</x:f>
      </x:c>
      <x:c r="C93" s="14">
        <x:f>IF(B93="","",$F$8*COS(B93) + $B$7*COS($F$6*B93))</x:f>
      </x:c>
      <x:c r="D93" s="14">
        <x:f>IF(B93="","",$F$8*SIN(B93) - $B$7*SIN($F$6*B93))</x:f>
      </x:c>
      <x:c r="E93" s="14">
        <x:f>IF(B93="","", C93 + $F$12*$F$9*(-H93)/IF(SQRT(G93^2+H93^2)=0,1,SQRT(G93^2+H93^2)))</x:f>
      </x:c>
      <x:c r="F93" s="14">
        <x:f>IF(B93="","", D93 + $F$12*$F$9*(G93)/IF(SQRT(G93^2+H93^2)=0,1,SQRT(G93^2+H93^2)))</x:f>
      </x:c>
      <x:c r="G93" s="14">
        <x:f>IF(B93="","", -$F$8*SIN(B93) - $B$7*$F$6*SIN($F$6*B93))</x:f>
      </x:c>
      <x:c r="H93" s="14">
        <x:f>IF(B93="","", $F$8*COS(B93) - $B$7*$F$6*COS($F$6*B93))</x:f>
      </x:c>
    </x:row>
    <x:row r="94">
      <x:c r="A94" s="13" t="n">
        <x:v>75</x:v>
      </x:c>
      <x:c r="B94" s="14">
        <x:f>IF($B$12&lt;75,"",$B$13+(75-1)*($B$14-$B$13)/($B$12-1))</x:f>
      </x:c>
      <x:c r="C94" s="14">
        <x:f>IF(B94="","",$F$8*COS(B94) + $B$7*COS($F$6*B94))</x:f>
      </x:c>
      <x:c r="D94" s="14">
        <x:f>IF(B94="","",$F$8*SIN(B94) - $B$7*SIN($F$6*B94))</x:f>
      </x:c>
      <x:c r="E94" s="14">
        <x:f>IF(B94="","", C94 + $F$12*$F$9*(-H94)/IF(SQRT(G94^2+H94^2)=0,1,SQRT(G94^2+H94^2)))</x:f>
      </x:c>
      <x:c r="F94" s="14">
        <x:f>IF(B94="","", D94 + $F$12*$F$9*(G94)/IF(SQRT(G94^2+H94^2)=0,1,SQRT(G94^2+H94^2)))</x:f>
      </x:c>
      <x:c r="G94" s="14">
        <x:f>IF(B94="","", -$F$8*SIN(B94) - $B$7*$F$6*SIN($F$6*B94))</x:f>
      </x:c>
      <x:c r="H94" s="14">
        <x:f>IF(B94="","", $F$8*COS(B94) - $B$7*$F$6*COS($F$6*B94))</x:f>
      </x:c>
    </x:row>
    <x:row r="95">
      <x:c r="A95" s="13" t="n">
        <x:v>76</x:v>
      </x:c>
      <x:c r="B95" s="14">
        <x:f>IF($B$12&lt;76,"",$B$13+(76-1)*($B$14-$B$13)/($B$12-1))</x:f>
      </x:c>
      <x:c r="C95" s="14">
        <x:f>IF(B95="","",$F$8*COS(B95) + $B$7*COS($F$6*B95))</x:f>
      </x:c>
      <x:c r="D95" s="14">
        <x:f>IF(B95="","",$F$8*SIN(B95) - $B$7*SIN($F$6*B95))</x:f>
      </x:c>
      <x:c r="E95" s="14">
        <x:f>IF(B95="","", C95 + $F$12*$F$9*(-H95)/IF(SQRT(G95^2+H95^2)=0,1,SQRT(G95^2+H95^2)))</x:f>
      </x:c>
      <x:c r="F95" s="14">
        <x:f>IF(B95="","", D95 + $F$12*$F$9*(G95)/IF(SQRT(G95^2+H95^2)=0,1,SQRT(G95^2+H95^2)))</x:f>
      </x:c>
      <x:c r="G95" s="14">
        <x:f>IF(B95="","", -$F$8*SIN(B95) - $B$7*$F$6*SIN($F$6*B95))</x:f>
      </x:c>
      <x:c r="H95" s="14">
        <x:f>IF(B95="","", $F$8*COS(B95) - $B$7*$F$6*COS($F$6*B95))</x:f>
      </x:c>
    </x:row>
    <x:row r="96">
      <x:c r="A96" s="13" t="n">
        <x:v>77</x:v>
      </x:c>
      <x:c r="B96" s="14">
        <x:f>IF($B$12&lt;77,"",$B$13+(77-1)*($B$14-$B$13)/($B$12-1))</x:f>
      </x:c>
      <x:c r="C96" s="14">
        <x:f>IF(B96="","",$F$8*COS(B96) + $B$7*COS($F$6*B96))</x:f>
      </x:c>
      <x:c r="D96" s="14">
        <x:f>IF(B96="","",$F$8*SIN(B96) - $B$7*SIN($F$6*B96))</x:f>
      </x:c>
      <x:c r="E96" s="14">
        <x:f>IF(B96="","", C96 + $F$12*$F$9*(-H96)/IF(SQRT(G96^2+H96^2)=0,1,SQRT(G96^2+H96^2)))</x:f>
      </x:c>
      <x:c r="F96" s="14">
        <x:f>IF(B96="","", D96 + $F$12*$F$9*(G96)/IF(SQRT(G96^2+H96^2)=0,1,SQRT(G96^2+H96^2)))</x:f>
      </x:c>
      <x:c r="G96" s="14">
        <x:f>IF(B96="","", -$F$8*SIN(B96) - $B$7*$F$6*SIN($F$6*B96))</x:f>
      </x:c>
      <x:c r="H96" s="14">
        <x:f>IF(B96="","", $F$8*COS(B96) - $B$7*$F$6*COS($F$6*B96))</x:f>
      </x:c>
    </x:row>
    <x:row r="97">
      <x:c r="A97" s="13" t="n">
        <x:v>78</x:v>
      </x:c>
      <x:c r="B97" s="14">
        <x:f>IF($B$12&lt;78,"",$B$13+(78-1)*($B$14-$B$13)/($B$12-1))</x:f>
      </x:c>
      <x:c r="C97" s="14">
        <x:f>IF(B97="","",$F$8*COS(B97) + $B$7*COS($F$6*B97))</x:f>
      </x:c>
      <x:c r="D97" s="14">
        <x:f>IF(B97="","",$F$8*SIN(B97) - $B$7*SIN($F$6*B97))</x:f>
      </x:c>
      <x:c r="E97" s="14">
        <x:f>IF(B97="","", C97 + $F$12*$F$9*(-H97)/IF(SQRT(G97^2+H97^2)=0,1,SQRT(G97^2+H97^2)))</x:f>
      </x:c>
      <x:c r="F97" s="14">
        <x:f>IF(B97="","", D97 + $F$12*$F$9*(G97)/IF(SQRT(G97^2+H97^2)=0,1,SQRT(G97^2+H97^2)))</x:f>
      </x:c>
      <x:c r="G97" s="14">
        <x:f>IF(B97="","", -$F$8*SIN(B97) - $B$7*$F$6*SIN($F$6*B97))</x:f>
      </x:c>
      <x:c r="H97" s="14">
        <x:f>IF(B97="","", $F$8*COS(B97) - $B$7*$F$6*COS($F$6*B97))</x:f>
      </x:c>
    </x:row>
    <x:row r="98">
      <x:c r="A98" s="13" t="n">
        <x:v>79</x:v>
      </x:c>
      <x:c r="B98" s="14">
        <x:f>IF($B$12&lt;79,"",$B$13+(79-1)*($B$14-$B$13)/($B$12-1))</x:f>
      </x:c>
      <x:c r="C98" s="14">
        <x:f>IF(B98="","",$F$8*COS(B98) + $B$7*COS($F$6*B98))</x:f>
      </x:c>
      <x:c r="D98" s="14">
        <x:f>IF(B98="","",$F$8*SIN(B98) - $B$7*SIN($F$6*B98))</x:f>
      </x:c>
      <x:c r="E98" s="14">
        <x:f>IF(B98="","", C98 + $F$12*$F$9*(-H98)/IF(SQRT(G98^2+H98^2)=0,1,SQRT(G98^2+H98^2)))</x:f>
      </x:c>
      <x:c r="F98" s="14">
        <x:f>IF(B98="","", D98 + $F$12*$F$9*(G98)/IF(SQRT(G98^2+H98^2)=0,1,SQRT(G98^2+H98^2)))</x:f>
      </x:c>
      <x:c r="G98" s="14">
        <x:f>IF(B98="","", -$F$8*SIN(B98) - $B$7*$F$6*SIN($F$6*B98))</x:f>
      </x:c>
      <x:c r="H98" s="14">
        <x:f>IF(B98="","", $F$8*COS(B98) - $B$7*$F$6*COS($F$6*B98))</x:f>
      </x:c>
    </x:row>
    <x:row r="99">
      <x:c r="A99" s="13" t="n">
        <x:v>80</x:v>
      </x:c>
      <x:c r="B99" s="14">
        <x:f>IF($B$12&lt;80,"",$B$13+(80-1)*($B$14-$B$13)/($B$12-1))</x:f>
      </x:c>
      <x:c r="C99" s="14">
        <x:f>IF(B99="","",$F$8*COS(B99) + $B$7*COS($F$6*B99))</x:f>
      </x:c>
      <x:c r="D99" s="14">
        <x:f>IF(B99="","",$F$8*SIN(B99) - $B$7*SIN($F$6*B99))</x:f>
      </x:c>
      <x:c r="E99" s="14">
        <x:f>IF(B99="","", C99 + $F$12*$F$9*(-H99)/IF(SQRT(G99^2+H99^2)=0,1,SQRT(G99^2+H99^2)))</x:f>
      </x:c>
      <x:c r="F99" s="14">
        <x:f>IF(B99="","", D99 + $F$12*$F$9*(G99)/IF(SQRT(G99^2+H99^2)=0,1,SQRT(G99^2+H99^2)))</x:f>
      </x:c>
      <x:c r="G99" s="14">
        <x:f>IF(B99="","", -$F$8*SIN(B99) - $B$7*$F$6*SIN($F$6*B99))</x:f>
      </x:c>
      <x:c r="H99" s="14">
        <x:f>IF(B99="","", $F$8*COS(B99) - $B$7*$F$6*COS($F$6*B99))</x:f>
      </x:c>
    </x:row>
    <x:row r="100">
      <x:c r="A100" s="13" t="n">
        <x:v>81</x:v>
      </x:c>
      <x:c r="B100" s="14">
        <x:f>IF($B$12&lt;81,"",$B$13+(81-1)*($B$14-$B$13)/($B$12-1))</x:f>
      </x:c>
      <x:c r="C100" s="14">
        <x:f>IF(B100="","",$F$8*COS(B100) + $B$7*COS($F$6*B100))</x:f>
      </x:c>
      <x:c r="D100" s="14">
        <x:f>IF(B100="","",$F$8*SIN(B100) - $B$7*SIN($F$6*B100))</x:f>
      </x:c>
      <x:c r="E100" s="14">
        <x:f>IF(B100="","", C100 + $F$12*$F$9*(-H100)/IF(SQRT(G100^2+H100^2)=0,1,SQRT(G100^2+H100^2)))</x:f>
      </x:c>
      <x:c r="F100" s="14">
        <x:f>IF(B100="","", D100 + $F$12*$F$9*(G100)/IF(SQRT(G100^2+H100^2)=0,1,SQRT(G100^2+H100^2)))</x:f>
      </x:c>
      <x:c r="G100" s="14">
        <x:f>IF(B100="","", -$F$8*SIN(B100) - $B$7*$F$6*SIN($F$6*B100))</x:f>
      </x:c>
      <x:c r="H100" s="14">
        <x:f>IF(B100="","", $F$8*COS(B100) - $B$7*$F$6*COS($F$6*B100))</x:f>
      </x:c>
    </x:row>
    <x:row r="101">
      <x:c r="A101" s="13" t="n">
        <x:v>82</x:v>
      </x:c>
      <x:c r="B101" s="14">
        <x:f>IF($B$12&lt;82,"",$B$13+(82-1)*($B$14-$B$13)/($B$12-1))</x:f>
      </x:c>
      <x:c r="C101" s="14">
        <x:f>IF(B101="","",$F$8*COS(B101) + $B$7*COS($F$6*B101))</x:f>
      </x:c>
      <x:c r="D101" s="14">
        <x:f>IF(B101="","",$F$8*SIN(B101) - $B$7*SIN($F$6*B101))</x:f>
      </x:c>
      <x:c r="E101" s="14">
        <x:f>IF(B101="","", C101 + $F$12*$F$9*(-H101)/IF(SQRT(G101^2+H101^2)=0,1,SQRT(G101^2+H101^2)))</x:f>
      </x:c>
      <x:c r="F101" s="14">
        <x:f>IF(B101="","", D101 + $F$12*$F$9*(G101)/IF(SQRT(G101^2+H101^2)=0,1,SQRT(G101^2+H101^2)))</x:f>
      </x:c>
      <x:c r="G101" s="14">
        <x:f>IF(B101="","", -$F$8*SIN(B101) - $B$7*$F$6*SIN($F$6*B101))</x:f>
      </x:c>
      <x:c r="H101" s="14">
        <x:f>IF(B101="","", $F$8*COS(B101) - $B$7*$F$6*COS($F$6*B101))</x:f>
      </x:c>
    </x:row>
    <x:row r="102">
      <x:c r="A102" s="13" t="n">
        <x:v>83</x:v>
      </x:c>
      <x:c r="B102" s="14">
        <x:f>IF($B$12&lt;83,"",$B$13+(83-1)*($B$14-$B$13)/($B$12-1))</x:f>
      </x:c>
      <x:c r="C102" s="14">
        <x:f>IF(B102="","",$F$8*COS(B102) + $B$7*COS($F$6*B102))</x:f>
      </x:c>
      <x:c r="D102" s="14">
        <x:f>IF(B102="","",$F$8*SIN(B102) - $B$7*SIN($F$6*B102))</x:f>
      </x:c>
      <x:c r="E102" s="14">
        <x:f>IF(B102="","", C102 + $F$12*$F$9*(-H102)/IF(SQRT(G102^2+H102^2)=0,1,SQRT(G102^2+H102^2)))</x:f>
      </x:c>
      <x:c r="F102" s="14">
        <x:f>IF(B102="","", D102 + $F$12*$F$9*(G102)/IF(SQRT(G102^2+H102^2)=0,1,SQRT(G102^2+H102^2)))</x:f>
      </x:c>
      <x:c r="G102" s="14">
        <x:f>IF(B102="","", -$F$8*SIN(B102) - $B$7*$F$6*SIN($F$6*B102))</x:f>
      </x:c>
      <x:c r="H102" s="14">
        <x:f>IF(B102="","", $F$8*COS(B102) - $B$7*$F$6*COS($F$6*B102))</x:f>
      </x:c>
    </x:row>
    <x:row r="103">
      <x:c r="A103" s="13" t="n">
        <x:v>84</x:v>
      </x:c>
      <x:c r="B103" s="14">
        <x:f>IF($B$12&lt;84,"",$B$13+(84-1)*($B$14-$B$13)/($B$12-1))</x:f>
      </x:c>
      <x:c r="C103" s="14">
        <x:f>IF(B103="","",$F$8*COS(B103) + $B$7*COS($F$6*B103))</x:f>
      </x:c>
      <x:c r="D103" s="14">
        <x:f>IF(B103="","",$F$8*SIN(B103) - $B$7*SIN($F$6*B103))</x:f>
      </x:c>
      <x:c r="E103" s="14">
        <x:f>IF(B103="","", C103 + $F$12*$F$9*(-H103)/IF(SQRT(G103^2+H103^2)=0,1,SQRT(G103^2+H103^2)))</x:f>
      </x:c>
      <x:c r="F103" s="14">
        <x:f>IF(B103="","", D103 + $F$12*$F$9*(G103)/IF(SQRT(G103^2+H103^2)=0,1,SQRT(G103^2+H103^2)))</x:f>
      </x:c>
      <x:c r="G103" s="14">
        <x:f>IF(B103="","", -$F$8*SIN(B103) - $B$7*$F$6*SIN($F$6*B103))</x:f>
      </x:c>
      <x:c r="H103" s="14">
        <x:f>IF(B103="","", $F$8*COS(B103) - $B$7*$F$6*COS($F$6*B103))</x:f>
      </x:c>
    </x:row>
    <x:row r="104">
      <x:c r="A104" s="13" t="n">
        <x:v>85</x:v>
      </x:c>
      <x:c r="B104" s="14">
        <x:f>IF($B$12&lt;85,"",$B$13+(85-1)*($B$14-$B$13)/($B$12-1))</x:f>
      </x:c>
      <x:c r="C104" s="14">
        <x:f>IF(B104="","",$F$8*COS(B104) + $B$7*COS($F$6*B104))</x:f>
      </x:c>
      <x:c r="D104" s="14">
        <x:f>IF(B104="","",$F$8*SIN(B104) - $B$7*SIN($F$6*B104))</x:f>
      </x:c>
      <x:c r="E104" s="14">
        <x:f>IF(B104="","", C104 + $F$12*$F$9*(-H104)/IF(SQRT(G104^2+H104^2)=0,1,SQRT(G104^2+H104^2)))</x:f>
      </x:c>
      <x:c r="F104" s="14">
        <x:f>IF(B104="","", D104 + $F$12*$F$9*(G104)/IF(SQRT(G104^2+H104^2)=0,1,SQRT(G104^2+H104^2)))</x:f>
      </x:c>
      <x:c r="G104" s="14">
        <x:f>IF(B104="","", -$F$8*SIN(B104) - $B$7*$F$6*SIN($F$6*B104))</x:f>
      </x:c>
      <x:c r="H104" s="14">
        <x:f>IF(B104="","", $F$8*COS(B104) - $B$7*$F$6*COS($F$6*B104))</x:f>
      </x:c>
    </x:row>
    <x:row r="105">
      <x:c r="A105" s="13" t="n">
        <x:v>86</x:v>
      </x:c>
      <x:c r="B105" s="14">
        <x:f>IF($B$12&lt;86,"",$B$13+(86-1)*($B$14-$B$13)/($B$12-1))</x:f>
      </x:c>
      <x:c r="C105" s="14">
        <x:f>IF(B105="","",$F$8*COS(B105) + $B$7*COS($F$6*B105))</x:f>
      </x:c>
      <x:c r="D105" s="14">
        <x:f>IF(B105="","",$F$8*SIN(B105) - $B$7*SIN($F$6*B105))</x:f>
      </x:c>
      <x:c r="E105" s="14">
        <x:f>IF(B105="","", C105 + $F$12*$F$9*(-H105)/IF(SQRT(G105^2+H105^2)=0,1,SQRT(G105^2+H105^2)))</x:f>
      </x:c>
      <x:c r="F105" s="14">
        <x:f>IF(B105="","", D105 + $F$12*$F$9*(G105)/IF(SQRT(G105^2+H105^2)=0,1,SQRT(G105^2+H105^2)))</x:f>
      </x:c>
      <x:c r="G105" s="14">
        <x:f>IF(B105="","", -$F$8*SIN(B105) - $B$7*$F$6*SIN($F$6*B105))</x:f>
      </x:c>
      <x:c r="H105" s="14">
        <x:f>IF(B105="","", $F$8*COS(B105) - $B$7*$F$6*COS($F$6*B105))</x:f>
      </x:c>
    </x:row>
    <x:row r="106">
      <x:c r="A106" s="13" t="n">
        <x:v>87</x:v>
      </x:c>
      <x:c r="B106" s="14">
        <x:f>IF($B$12&lt;87,"",$B$13+(87-1)*($B$14-$B$13)/($B$12-1))</x:f>
      </x:c>
      <x:c r="C106" s="14">
        <x:f>IF(B106="","",$F$8*COS(B106) + $B$7*COS($F$6*B106))</x:f>
      </x:c>
      <x:c r="D106" s="14">
        <x:f>IF(B106="","",$F$8*SIN(B106) - $B$7*SIN($F$6*B106))</x:f>
      </x:c>
      <x:c r="E106" s="14">
        <x:f>IF(B106="","", C106 + $F$12*$F$9*(-H106)/IF(SQRT(G106^2+H106^2)=0,1,SQRT(G106^2+H106^2)))</x:f>
      </x:c>
      <x:c r="F106" s="14">
        <x:f>IF(B106="","", D106 + $F$12*$F$9*(G106)/IF(SQRT(G106^2+H106^2)=0,1,SQRT(G106^2+H106^2)))</x:f>
      </x:c>
      <x:c r="G106" s="14">
        <x:f>IF(B106="","", -$F$8*SIN(B106) - $B$7*$F$6*SIN($F$6*B106))</x:f>
      </x:c>
      <x:c r="H106" s="14">
        <x:f>IF(B106="","", $F$8*COS(B106) - $B$7*$F$6*COS($F$6*B106))</x:f>
      </x:c>
    </x:row>
    <x:row r="107">
      <x:c r="A107" s="13" t="n">
        <x:v>88</x:v>
      </x:c>
      <x:c r="B107" s="14">
        <x:f>IF($B$12&lt;88,"",$B$13+(88-1)*($B$14-$B$13)/($B$12-1))</x:f>
      </x:c>
      <x:c r="C107" s="14">
        <x:f>IF(B107="","",$F$8*COS(B107) + $B$7*COS($F$6*B107))</x:f>
      </x:c>
      <x:c r="D107" s="14">
        <x:f>IF(B107="","",$F$8*SIN(B107) - $B$7*SIN($F$6*B107))</x:f>
      </x:c>
      <x:c r="E107" s="14">
        <x:f>IF(B107="","", C107 + $F$12*$F$9*(-H107)/IF(SQRT(G107^2+H107^2)=0,1,SQRT(G107^2+H107^2)))</x:f>
      </x:c>
      <x:c r="F107" s="14">
        <x:f>IF(B107="","", D107 + $F$12*$F$9*(G107)/IF(SQRT(G107^2+H107^2)=0,1,SQRT(G107^2+H107^2)))</x:f>
      </x:c>
      <x:c r="G107" s="14">
        <x:f>IF(B107="","", -$F$8*SIN(B107) - $B$7*$F$6*SIN($F$6*B107))</x:f>
      </x:c>
      <x:c r="H107" s="14">
        <x:f>IF(B107="","", $F$8*COS(B107) - $B$7*$F$6*COS($F$6*B107))</x:f>
      </x:c>
    </x:row>
    <x:row r="108">
      <x:c r="A108" s="13" t="n">
        <x:v>89</x:v>
      </x:c>
      <x:c r="B108" s="14">
        <x:f>IF($B$12&lt;89,"",$B$13+(89-1)*($B$14-$B$13)/($B$12-1))</x:f>
      </x:c>
      <x:c r="C108" s="14">
        <x:f>IF(B108="","",$F$8*COS(B108) + $B$7*COS($F$6*B108))</x:f>
      </x:c>
      <x:c r="D108" s="14">
        <x:f>IF(B108="","",$F$8*SIN(B108) - $B$7*SIN($F$6*B108))</x:f>
      </x:c>
      <x:c r="E108" s="14">
        <x:f>IF(B108="","", C108 + $F$12*$F$9*(-H108)/IF(SQRT(G108^2+H108^2)=0,1,SQRT(G108^2+H108^2)))</x:f>
      </x:c>
      <x:c r="F108" s="14">
        <x:f>IF(B108="","", D108 + $F$12*$F$9*(G108)/IF(SQRT(G108^2+H108^2)=0,1,SQRT(G108^2+H108^2)))</x:f>
      </x:c>
      <x:c r="G108" s="14">
        <x:f>IF(B108="","", -$F$8*SIN(B108) - $B$7*$F$6*SIN($F$6*B108))</x:f>
      </x:c>
      <x:c r="H108" s="14">
        <x:f>IF(B108="","", $F$8*COS(B108) - $B$7*$F$6*COS($F$6*B108))</x:f>
      </x:c>
    </x:row>
    <x:row r="109">
      <x:c r="A109" s="13" t="n">
        <x:v>90</x:v>
      </x:c>
      <x:c r="B109" s="14">
        <x:f>IF($B$12&lt;90,"",$B$13+(90-1)*($B$14-$B$13)/($B$12-1))</x:f>
      </x:c>
      <x:c r="C109" s="14">
        <x:f>IF(B109="","",$F$8*COS(B109) + $B$7*COS($F$6*B109))</x:f>
      </x:c>
      <x:c r="D109" s="14">
        <x:f>IF(B109="","",$F$8*SIN(B109) - $B$7*SIN($F$6*B109))</x:f>
      </x:c>
      <x:c r="E109" s="14">
        <x:f>IF(B109="","", C109 + $F$12*$F$9*(-H109)/IF(SQRT(G109^2+H109^2)=0,1,SQRT(G109^2+H109^2)))</x:f>
      </x:c>
      <x:c r="F109" s="14">
        <x:f>IF(B109="","", D109 + $F$12*$F$9*(G109)/IF(SQRT(G109^2+H109^2)=0,1,SQRT(G109^2+H109^2)))</x:f>
      </x:c>
      <x:c r="G109" s="14">
        <x:f>IF(B109="","", -$F$8*SIN(B109) - $B$7*$F$6*SIN($F$6*B109))</x:f>
      </x:c>
      <x:c r="H109" s="14">
        <x:f>IF(B109="","", $F$8*COS(B109) - $B$7*$F$6*COS($F$6*B109))</x:f>
      </x:c>
    </x:row>
    <x:row r="110">
      <x:c r="A110" s="13" t="n">
        <x:v>91</x:v>
      </x:c>
      <x:c r="B110" s="14">
        <x:f>IF($B$12&lt;91,"",$B$13+(91-1)*($B$14-$B$13)/($B$12-1))</x:f>
      </x:c>
      <x:c r="C110" s="14">
        <x:f>IF(B110="","",$F$8*COS(B110) + $B$7*COS($F$6*B110))</x:f>
      </x:c>
      <x:c r="D110" s="14">
        <x:f>IF(B110="","",$F$8*SIN(B110) - $B$7*SIN($F$6*B110))</x:f>
      </x:c>
      <x:c r="E110" s="14">
        <x:f>IF(B110="","", C110 + $F$12*$F$9*(-H110)/IF(SQRT(G110^2+H110^2)=0,1,SQRT(G110^2+H110^2)))</x:f>
      </x:c>
      <x:c r="F110" s="14">
        <x:f>IF(B110="","", D110 + $F$12*$F$9*(G110)/IF(SQRT(G110^2+H110^2)=0,1,SQRT(G110^2+H110^2)))</x:f>
      </x:c>
      <x:c r="G110" s="14">
        <x:f>IF(B110="","", -$F$8*SIN(B110) - $B$7*$F$6*SIN($F$6*B110))</x:f>
      </x:c>
      <x:c r="H110" s="14">
        <x:f>IF(B110="","", $F$8*COS(B110) - $B$7*$F$6*COS($F$6*B110))</x:f>
      </x:c>
    </x:row>
    <x:row r="111">
      <x:c r="A111" s="13" t="n">
        <x:v>92</x:v>
      </x:c>
      <x:c r="B111" s="14">
        <x:f>IF($B$12&lt;92,"",$B$13+(92-1)*($B$14-$B$13)/($B$12-1))</x:f>
      </x:c>
      <x:c r="C111" s="14">
        <x:f>IF(B111="","",$F$8*COS(B111) + $B$7*COS($F$6*B111))</x:f>
      </x:c>
      <x:c r="D111" s="14">
        <x:f>IF(B111="","",$F$8*SIN(B111) - $B$7*SIN($F$6*B111))</x:f>
      </x:c>
      <x:c r="E111" s="14">
        <x:f>IF(B111="","", C111 + $F$12*$F$9*(-H111)/IF(SQRT(G111^2+H111^2)=0,1,SQRT(G111^2+H111^2)))</x:f>
      </x:c>
      <x:c r="F111" s="14">
        <x:f>IF(B111="","", D111 + $F$12*$F$9*(G111)/IF(SQRT(G111^2+H111^2)=0,1,SQRT(G111^2+H111^2)))</x:f>
      </x:c>
      <x:c r="G111" s="14">
        <x:f>IF(B111="","", -$F$8*SIN(B111) - $B$7*$F$6*SIN($F$6*B111))</x:f>
      </x:c>
      <x:c r="H111" s="14">
        <x:f>IF(B111="","", $F$8*COS(B111) - $B$7*$F$6*COS($F$6*B111))</x:f>
      </x:c>
    </x:row>
    <x:row r="112">
      <x:c r="A112" s="13" t="n">
        <x:v>93</x:v>
      </x:c>
      <x:c r="B112" s="14">
        <x:f>IF($B$12&lt;93,"",$B$13+(93-1)*($B$14-$B$13)/($B$12-1))</x:f>
      </x:c>
      <x:c r="C112" s="14">
        <x:f>IF(B112="","",$F$8*COS(B112) + $B$7*COS($F$6*B112))</x:f>
      </x:c>
      <x:c r="D112" s="14">
        <x:f>IF(B112="","",$F$8*SIN(B112) - $B$7*SIN($F$6*B112))</x:f>
      </x:c>
      <x:c r="E112" s="14">
        <x:f>IF(B112="","", C112 + $F$12*$F$9*(-H112)/IF(SQRT(G112^2+H112^2)=0,1,SQRT(G112^2+H112^2)))</x:f>
      </x:c>
      <x:c r="F112" s="14">
        <x:f>IF(B112="","", D112 + $F$12*$F$9*(G112)/IF(SQRT(G112^2+H112^2)=0,1,SQRT(G112^2+H112^2)))</x:f>
      </x:c>
      <x:c r="G112" s="14">
        <x:f>IF(B112="","", -$F$8*SIN(B112) - $B$7*$F$6*SIN($F$6*B112))</x:f>
      </x:c>
      <x:c r="H112" s="14">
        <x:f>IF(B112="","", $F$8*COS(B112) - $B$7*$F$6*COS($F$6*B112))</x:f>
      </x:c>
    </x:row>
    <x:row r="113">
      <x:c r="A113" s="13" t="n">
        <x:v>94</x:v>
      </x:c>
      <x:c r="B113" s="14">
        <x:f>IF($B$12&lt;94,"",$B$13+(94-1)*($B$14-$B$13)/($B$12-1))</x:f>
      </x:c>
      <x:c r="C113" s="14">
        <x:f>IF(B113="","",$F$8*COS(B113) + $B$7*COS($F$6*B113))</x:f>
      </x:c>
      <x:c r="D113" s="14">
        <x:f>IF(B113="","",$F$8*SIN(B113) - $B$7*SIN($F$6*B113))</x:f>
      </x:c>
      <x:c r="E113" s="14">
        <x:f>IF(B113="","", C113 + $F$12*$F$9*(-H113)/IF(SQRT(G113^2+H113^2)=0,1,SQRT(G113^2+H113^2)))</x:f>
      </x:c>
      <x:c r="F113" s="14">
        <x:f>IF(B113="","", D113 + $F$12*$F$9*(G113)/IF(SQRT(G113^2+H113^2)=0,1,SQRT(G113^2+H113^2)))</x:f>
      </x:c>
      <x:c r="G113" s="14">
        <x:f>IF(B113="","", -$F$8*SIN(B113) - $B$7*$F$6*SIN($F$6*B113))</x:f>
      </x:c>
      <x:c r="H113" s="14">
        <x:f>IF(B113="","", $F$8*COS(B113) - $B$7*$F$6*COS($F$6*B113))</x:f>
      </x:c>
    </x:row>
    <x:row r="114">
      <x:c r="A114" s="13" t="n">
        <x:v>95</x:v>
      </x:c>
      <x:c r="B114" s="14">
        <x:f>IF($B$12&lt;95,"",$B$13+(95-1)*($B$14-$B$13)/($B$12-1))</x:f>
      </x:c>
      <x:c r="C114" s="14">
        <x:f>IF(B114="","",$F$8*COS(B114) + $B$7*COS($F$6*B114))</x:f>
      </x:c>
      <x:c r="D114" s="14">
        <x:f>IF(B114="","",$F$8*SIN(B114) - $B$7*SIN($F$6*B114))</x:f>
      </x:c>
      <x:c r="E114" s="14">
        <x:f>IF(B114="","", C114 + $F$12*$F$9*(-H114)/IF(SQRT(G114^2+H114^2)=0,1,SQRT(G114^2+H114^2)))</x:f>
      </x:c>
      <x:c r="F114" s="14">
        <x:f>IF(B114="","", D114 + $F$12*$F$9*(G114)/IF(SQRT(G114^2+H114^2)=0,1,SQRT(G114^2+H114^2)))</x:f>
      </x:c>
      <x:c r="G114" s="14">
        <x:f>IF(B114="","", -$F$8*SIN(B114) - $B$7*$F$6*SIN($F$6*B114))</x:f>
      </x:c>
      <x:c r="H114" s="14">
        <x:f>IF(B114="","", $F$8*COS(B114) - $B$7*$F$6*COS($F$6*B114))</x:f>
      </x:c>
    </x:row>
    <x:row r="115">
      <x:c r="A115" s="13" t="n">
        <x:v>96</x:v>
      </x:c>
      <x:c r="B115" s="14">
        <x:f>IF($B$12&lt;96,"",$B$13+(96-1)*($B$14-$B$13)/($B$12-1))</x:f>
      </x:c>
      <x:c r="C115" s="14">
        <x:f>IF(B115="","",$F$8*COS(B115) + $B$7*COS($F$6*B115))</x:f>
      </x:c>
      <x:c r="D115" s="14">
        <x:f>IF(B115="","",$F$8*SIN(B115) - $B$7*SIN($F$6*B115))</x:f>
      </x:c>
      <x:c r="E115" s="14">
        <x:f>IF(B115="","", C115 + $F$12*$F$9*(-H115)/IF(SQRT(G115^2+H115^2)=0,1,SQRT(G115^2+H115^2)))</x:f>
      </x:c>
      <x:c r="F115" s="14">
        <x:f>IF(B115="","", D115 + $F$12*$F$9*(G115)/IF(SQRT(G115^2+H115^2)=0,1,SQRT(G115^2+H115^2)))</x:f>
      </x:c>
      <x:c r="G115" s="14">
        <x:f>IF(B115="","", -$F$8*SIN(B115) - $B$7*$F$6*SIN($F$6*B115))</x:f>
      </x:c>
      <x:c r="H115" s="14">
        <x:f>IF(B115="","", $F$8*COS(B115) - $B$7*$F$6*COS($F$6*B115))</x:f>
      </x:c>
    </x:row>
    <x:row r="116">
      <x:c r="A116" s="13" t="n">
        <x:v>97</x:v>
      </x:c>
      <x:c r="B116" s="14">
        <x:f>IF($B$12&lt;97,"",$B$13+(97-1)*($B$14-$B$13)/($B$12-1))</x:f>
      </x:c>
      <x:c r="C116" s="14">
        <x:f>IF(B116="","",$F$8*COS(B116) + $B$7*COS($F$6*B116))</x:f>
      </x:c>
      <x:c r="D116" s="14">
        <x:f>IF(B116="","",$F$8*SIN(B116) - $B$7*SIN($F$6*B116))</x:f>
      </x:c>
      <x:c r="E116" s="14">
        <x:f>IF(B116="","", C116 + $F$12*$F$9*(-H116)/IF(SQRT(G116^2+H116^2)=0,1,SQRT(G116^2+H116^2)))</x:f>
      </x:c>
      <x:c r="F116" s="14">
        <x:f>IF(B116="","", D116 + $F$12*$F$9*(G116)/IF(SQRT(G116^2+H116^2)=0,1,SQRT(G116^2+H116^2)))</x:f>
      </x:c>
      <x:c r="G116" s="14">
        <x:f>IF(B116="","", -$F$8*SIN(B116) - $B$7*$F$6*SIN($F$6*B116))</x:f>
      </x:c>
      <x:c r="H116" s="14">
        <x:f>IF(B116="","", $F$8*COS(B116) - $B$7*$F$6*COS($F$6*B116))</x:f>
      </x:c>
    </x:row>
    <x:row r="117">
      <x:c r="A117" s="13" t="n">
        <x:v>98</x:v>
      </x:c>
      <x:c r="B117" s="14">
        <x:f>IF($B$12&lt;98,"",$B$13+(98-1)*($B$14-$B$13)/($B$12-1))</x:f>
      </x:c>
      <x:c r="C117" s="14">
        <x:f>IF(B117="","",$F$8*COS(B117) + $B$7*COS($F$6*B117))</x:f>
      </x:c>
      <x:c r="D117" s="14">
        <x:f>IF(B117="","",$F$8*SIN(B117) - $B$7*SIN($F$6*B117))</x:f>
      </x:c>
      <x:c r="E117" s="14">
        <x:f>IF(B117="","", C117 + $F$12*$F$9*(-H117)/IF(SQRT(G117^2+H117^2)=0,1,SQRT(G117^2+H117^2)))</x:f>
      </x:c>
      <x:c r="F117" s="14">
        <x:f>IF(B117="","", D117 + $F$12*$F$9*(G117)/IF(SQRT(G117^2+H117^2)=0,1,SQRT(G117^2+H117^2)))</x:f>
      </x:c>
      <x:c r="G117" s="14">
        <x:f>IF(B117="","", -$F$8*SIN(B117) - $B$7*$F$6*SIN($F$6*B117))</x:f>
      </x:c>
      <x:c r="H117" s="14">
        <x:f>IF(B117="","", $F$8*COS(B117) - $B$7*$F$6*COS($F$6*B117))</x:f>
      </x:c>
    </x:row>
    <x:row r="118">
      <x:c r="A118" s="13" t="n">
        <x:v>99</x:v>
      </x:c>
      <x:c r="B118" s="14">
        <x:f>IF($B$12&lt;99,"",$B$13+(99-1)*($B$14-$B$13)/($B$12-1))</x:f>
      </x:c>
      <x:c r="C118" s="14">
        <x:f>IF(B118="","",$F$8*COS(B118) + $B$7*COS($F$6*B118))</x:f>
      </x:c>
      <x:c r="D118" s="14">
        <x:f>IF(B118="","",$F$8*SIN(B118) - $B$7*SIN($F$6*B118))</x:f>
      </x:c>
      <x:c r="E118" s="14">
        <x:f>IF(B118="","", C118 + $F$12*$F$9*(-H118)/IF(SQRT(G118^2+H118^2)=0,1,SQRT(G118^2+H118^2)))</x:f>
      </x:c>
      <x:c r="F118" s="14">
        <x:f>IF(B118="","", D118 + $F$12*$F$9*(G118)/IF(SQRT(G118^2+H118^2)=0,1,SQRT(G118^2+H118^2)))</x:f>
      </x:c>
      <x:c r="G118" s="14">
        <x:f>IF(B118="","", -$F$8*SIN(B118) - $B$7*$F$6*SIN($F$6*B118))</x:f>
      </x:c>
      <x:c r="H118" s="14">
        <x:f>IF(B118="","", $F$8*COS(B118) - $B$7*$F$6*COS($F$6*B118))</x:f>
      </x:c>
    </x:row>
    <x:row r="119">
      <x:c r="A119" s="13" t="n">
        <x:v>100</x:v>
      </x:c>
      <x:c r="B119" s="14">
        <x:f>IF($B$12&lt;100,"",$B$13+(100-1)*($B$14-$B$13)/($B$12-1))</x:f>
      </x:c>
      <x:c r="C119" s="14">
        <x:f>IF(B119="","",$F$8*COS(B119) + $B$7*COS($F$6*B119))</x:f>
      </x:c>
      <x:c r="D119" s="14">
        <x:f>IF(B119="","",$F$8*SIN(B119) - $B$7*SIN($F$6*B119))</x:f>
      </x:c>
      <x:c r="E119" s="14">
        <x:f>IF(B119="","", C119 + $F$12*$F$9*(-H119)/IF(SQRT(G119^2+H119^2)=0,1,SQRT(G119^2+H119^2)))</x:f>
      </x:c>
      <x:c r="F119" s="14">
        <x:f>IF(B119="","", D119 + $F$12*$F$9*(G119)/IF(SQRT(G119^2+H119^2)=0,1,SQRT(G119^2+H119^2)))</x:f>
      </x:c>
      <x:c r="G119" s="14">
        <x:f>IF(B119="","", -$F$8*SIN(B119) - $B$7*$F$6*SIN($F$6*B119))</x:f>
      </x:c>
      <x:c r="H119" s="14">
        <x:f>IF(B119="","", $F$8*COS(B119) - $B$7*$F$6*COS($F$6*B119))</x:f>
      </x:c>
    </x:row>
    <x:row r="120">
      <x:c r="A120" s="13" t="n">
        <x:v>101</x:v>
      </x:c>
      <x:c r="B120" s="14">
        <x:f>IF($B$12&lt;101,"",$B$13+(101-1)*($B$14-$B$13)/($B$12-1))</x:f>
      </x:c>
      <x:c r="C120" s="14">
        <x:f>IF(B120="","",$F$8*COS(B120) + $B$7*COS($F$6*B120))</x:f>
      </x:c>
      <x:c r="D120" s="14">
        <x:f>IF(B120="","",$F$8*SIN(B120) - $B$7*SIN($F$6*B120))</x:f>
      </x:c>
      <x:c r="E120" s="14">
        <x:f>IF(B120="","", C120 + $F$12*$F$9*(-H120)/IF(SQRT(G120^2+H120^2)=0,1,SQRT(G120^2+H120^2)))</x:f>
      </x:c>
      <x:c r="F120" s="14">
        <x:f>IF(B120="","", D120 + $F$12*$F$9*(G120)/IF(SQRT(G120^2+H120^2)=0,1,SQRT(G120^2+H120^2)))</x:f>
      </x:c>
      <x:c r="G120" s="14">
        <x:f>IF(B120="","", -$F$8*SIN(B120) - $B$7*$F$6*SIN($F$6*B120))</x:f>
      </x:c>
      <x:c r="H120" s="14">
        <x:f>IF(B120="","", $F$8*COS(B120) - $B$7*$F$6*COS($F$6*B120))</x:f>
      </x:c>
    </x:row>
    <x:row r="121">
      <x:c r="A121" s="13" t="n">
        <x:v>102</x:v>
      </x:c>
      <x:c r="B121" s="14">
        <x:f>IF($B$12&lt;102,"",$B$13+(102-1)*($B$14-$B$13)/($B$12-1))</x:f>
      </x:c>
      <x:c r="C121" s="14">
        <x:f>IF(B121="","",$F$8*COS(B121) + $B$7*COS($F$6*B121))</x:f>
      </x:c>
      <x:c r="D121" s="14">
        <x:f>IF(B121="","",$F$8*SIN(B121) - $B$7*SIN($F$6*B121))</x:f>
      </x:c>
      <x:c r="E121" s="14">
        <x:f>IF(B121="","", C121 + $F$12*$F$9*(-H121)/IF(SQRT(G121^2+H121^2)=0,1,SQRT(G121^2+H121^2)))</x:f>
      </x:c>
      <x:c r="F121" s="14">
        <x:f>IF(B121="","", D121 + $F$12*$F$9*(G121)/IF(SQRT(G121^2+H121^2)=0,1,SQRT(G121^2+H121^2)))</x:f>
      </x:c>
      <x:c r="G121" s="14">
        <x:f>IF(B121="","", -$F$8*SIN(B121) - $B$7*$F$6*SIN($F$6*B121))</x:f>
      </x:c>
      <x:c r="H121" s="14">
        <x:f>IF(B121="","", $F$8*COS(B121) - $B$7*$F$6*COS($F$6*B121))</x:f>
      </x:c>
    </x:row>
    <x:row r="122">
      <x:c r="A122" s="13" t="n">
        <x:v>103</x:v>
      </x:c>
      <x:c r="B122" s="14">
        <x:f>IF($B$12&lt;103,"",$B$13+(103-1)*($B$14-$B$13)/($B$12-1))</x:f>
      </x:c>
      <x:c r="C122" s="14">
        <x:f>IF(B122="","",$F$8*COS(B122) + $B$7*COS($F$6*B122))</x:f>
      </x:c>
      <x:c r="D122" s="14">
        <x:f>IF(B122="","",$F$8*SIN(B122) - $B$7*SIN($F$6*B122))</x:f>
      </x:c>
      <x:c r="E122" s="14">
        <x:f>IF(B122="","", C122 + $F$12*$F$9*(-H122)/IF(SQRT(G122^2+H122^2)=0,1,SQRT(G122^2+H122^2)))</x:f>
      </x:c>
      <x:c r="F122" s="14">
        <x:f>IF(B122="","", D122 + $F$12*$F$9*(G122)/IF(SQRT(G122^2+H122^2)=0,1,SQRT(G122^2+H122^2)))</x:f>
      </x:c>
      <x:c r="G122" s="14">
        <x:f>IF(B122="","", -$F$8*SIN(B122) - $B$7*$F$6*SIN($F$6*B122))</x:f>
      </x:c>
      <x:c r="H122" s="14">
        <x:f>IF(B122="","", $F$8*COS(B122) - $B$7*$F$6*COS($F$6*B122))</x:f>
      </x:c>
    </x:row>
    <x:row r="123">
      <x:c r="A123" s="13" t="n">
        <x:v>104</x:v>
      </x:c>
      <x:c r="B123" s="14">
        <x:f>IF($B$12&lt;104,"",$B$13+(104-1)*($B$14-$B$13)/($B$12-1))</x:f>
      </x:c>
      <x:c r="C123" s="14">
        <x:f>IF(B123="","",$F$8*COS(B123) + $B$7*COS($F$6*B123))</x:f>
      </x:c>
      <x:c r="D123" s="14">
        <x:f>IF(B123="","",$F$8*SIN(B123) - $B$7*SIN($F$6*B123))</x:f>
      </x:c>
      <x:c r="E123" s="14">
        <x:f>IF(B123="","", C123 + $F$12*$F$9*(-H123)/IF(SQRT(G123^2+H123^2)=0,1,SQRT(G123^2+H123^2)))</x:f>
      </x:c>
      <x:c r="F123" s="14">
        <x:f>IF(B123="","", D123 + $F$12*$F$9*(G123)/IF(SQRT(G123^2+H123^2)=0,1,SQRT(G123^2+H123^2)))</x:f>
      </x:c>
      <x:c r="G123" s="14">
        <x:f>IF(B123="","", -$F$8*SIN(B123) - $B$7*$F$6*SIN($F$6*B123))</x:f>
      </x:c>
      <x:c r="H123" s="14">
        <x:f>IF(B123="","", $F$8*COS(B123) - $B$7*$F$6*COS($F$6*B123))</x:f>
      </x:c>
    </x:row>
    <x:row r="124">
      <x:c r="A124" s="13" t="n">
        <x:v>105</x:v>
      </x:c>
      <x:c r="B124" s="14">
        <x:f>IF($B$12&lt;105,"",$B$13+(105-1)*($B$14-$B$13)/($B$12-1))</x:f>
      </x:c>
      <x:c r="C124" s="14">
        <x:f>IF(B124="","",$F$8*COS(B124) + $B$7*COS($F$6*B124))</x:f>
      </x:c>
      <x:c r="D124" s="14">
        <x:f>IF(B124="","",$F$8*SIN(B124) - $B$7*SIN($F$6*B124))</x:f>
      </x:c>
      <x:c r="E124" s="14">
        <x:f>IF(B124="","", C124 + $F$12*$F$9*(-H124)/IF(SQRT(G124^2+H124^2)=0,1,SQRT(G124^2+H124^2)))</x:f>
      </x:c>
      <x:c r="F124" s="14">
        <x:f>IF(B124="","", D124 + $F$12*$F$9*(G124)/IF(SQRT(G124^2+H124^2)=0,1,SQRT(G124^2+H124^2)))</x:f>
      </x:c>
      <x:c r="G124" s="14">
        <x:f>IF(B124="","", -$F$8*SIN(B124) - $B$7*$F$6*SIN($F$6*B124))</x:f>
      </x:c>
      <x:c r="H124" s="14">
        <x:f>IF(B124="","", $F$8*COS(B124) - $B$7*$F$6*COS($F$6*B124))</x:f>
      </x:c>
    </x:row>
    <x:row r="125">
      <x:c r="A125" s="13" t="n">
        <x:v>106</x:v>
      </x:c>
      <x:c r="B125" s="14">
        <x:f>IF($B$12&lt;106,"",$B$13+(106-1)*($B$14-$B$13)/($B$12-1))</x:f>
      </x:c>
      <x:c r="C125" s="14">
        <x:f>IF(B125="","",$F$8*COS(B125) + $B$7*COS($F$6*B125))</x:f>
      </x:c>
      <x:c r="D125" s="14">
        <x:f>IF(B125="","",$F$8*SIN(B125) - $B$7*SIN($F$6*B125))</x:f>
      </x:c>
      <x:c r="E125" s="14">
        <x:f>IF(B125="","", C125 + $F$12*$F$9*(-H125)/IF(SQRT(G125^2+H125^2)=0,1,SQRT(G125^2+H125^2)))</x:f>
      </x:c>
      <x:c r="F125" s="14">
        <x:f>IF(B125="","", D125 + $F$12*$F$9*(G125)/IF(SQRT(G125^2+H125^2)=0,1,SQRT(G125^2+H125^2)))</x:f>
      </x:c>
      <x:c r="G125" s="14">
        <x:f>IF(B125="","", -$F$8*SIN(B125) - $B$7*$F$6*SIN($F$6*B125))</x:f>
      </x:c>
      <x:c r="H125" s="14">
        <x:f>IF(B125="","", $F$8*COS(B125) - $B$7*$F$6*COS($F$6*B125))</x:f>
      </x:c>
    </x:row>
    <x:row r="126">
      <x:c r="A126" s="13" t="n">
        <x:v>107</x:v>
      </x:c>
      <x:c r="B126" s="14">
        <x:f>IF($B$12&lt;107,"",$B$13+(107-1)*($B$14-$B$13)/($B$12-1))</x:f>
      </x:c>
      <x:c r="C126" s="14">
        <x:f>IF(B126="","",$F$8*COS(B126) + $B$7*COS($F$6*B126))</x:f>
      </x:c>
      <x:c r="D126" s="14">
        <x:f>IF(B126="","",$F$8*SIN(B126) - $B$7*SIN($F$6*B126))</x:f>
      </x:c>
      <x:c r="E126" s="14">
        <x:f>IF(B126="","", C126 + $F$12*$F$9*(-H126)/IF(SQRT(G126^2+H126^2)=0,1,SQRT(G126^2+H126^2)))</x:f>
      </x:c>
      <x:c r="F126" s="14">
        <x:f>IF(B126="","", D126 + $F$12*$F$9*(G126)/IF(SQRT(G126^2+H126^2)=0,1,SQRT(G126^2+H126^2)))</x:f>
      </x:c>
      <x:c r="G126" s="14">
        <x:f>IF(B126="","", -$F$8*SIN(B126) - $B$7*$F$6*SIN($F$6*B126))</x:f>
      </x:c>
      <x:c r="H126" s="14">
        <x:f>IF(B126="","", $F$8*COS(B126) - $B$7*$F$6*COS($F$6*B126))</x:f>
      </x:c>
    </x:row>
    <x:row r="127">
      <x:c r="A127" s="13" t="n">
        <x:v>108</x:v>
      </x:c>
      <x:c r="B127" s="14">
        <x:f>IF($B$12&lt;108,"",$B$13+(108-1)*($B$14-$B$13)/($B$12-1))</x:f>
      </x:c>
      <x:c r="C127" s="14">
        <x:f>IF(B127="","",$F$8*COS(B127) + $B$7*COS($F$6*B127))</x:f>
      </x:c>
      <x:c r="D127" s="14">
        <x:f>IF(B127="","",$F$8*SIN(B127) - $B$7*SIN($F$6*B127))</x:f>
      </x:c>
      <x:c r="E127" s="14">
        <x:f>IF(B127="","", C127 + $F$12*$F$9*(-H127)/IF(SQRT(G127^2+H127^2)=0,1,SQRT(G127^2+H127^2)))</x:f>
      </x:c>
      <x:c r="F127" s="14">
        <x:f>IF(B127="","", D127 + $F$12*$F$9*(G127)/IF(SQRT(G127^2+H127^2)=0,1,SQRT(G127^2+H127^2)))</x:f>
      </x:c>
      <x:c r="G127" s="14">
        <x:f>IF(B127="","", -$F$8*SIN(B127) - $B$7*$F$6*SIN($F$6*B127))</x:f>
      </x:c>
      <x:c r="H127" s="14">
        <x:f>IF(B127="","", $F$8*COS(B127) - $B$7*$F$6*COS($F$6*B127))</x:f>
      </x:c>
    </x:row>
    <x:row r="128">
      <x:c r="A128" s="13" t="n">
        <x:v>109</x:v>
      </x:c>
      <x:c r="B128" s="14">
        <x:f>IF($B$12&lt;109,"",$B$13+(109-1)*($B$14-$B$13)/($B$12-1))</x:f>
      </x:c>
      <x:c r="C128" s="14">
        <x:f>IF(B128="","",$F$8*COS(B128) + $B$7*COS($F$6*B128))</x:f>
      </x:c>
      <x:c r="D128" s="14">
        <x:f>IF(B128="","",$F$8*SIN(B128) - $B$7*SIN($F$6*B128))</x:f>
      </x:c>
      <x:c r="E128" s="14">
        <x:f>IF(B128="","", C128 + $F$12*$F$9*(-H128)/IF(SQRT(G128^2+H128^2)=0,1,SQRT(G128^2+H128^2)))</x:f>
      </x:c>
      <x:c r="F128" s="14">
        <x:f>IF(B128="","", D128 + $F$12*$F$9*(G128)/IF(SQRT(G128^2+H128^2)=0,1,SQRT(G128^2+H128^2)))</x:f>
      </x:c>
      <x:c r="G128" s="14">
        <x:f>IF(B128="","", -$F$8*SIN(B128) - $B$7*$F$6*SIN($F$6*B128))</x:f>
      </x:c>
      <x:c r="H128" s="14">
        <x:f>IF(B128="","", $F$8*COS(B128) - $B$7*$F$6*COS($F$6*B128))</x:f>
      </x:c>
    </x:row>
    <x:row r="129">
      <x:c r="A129" s="13" t="n">
        <x:v>110</x:v>
      </x:c>
      <x:c r="B129" s="14">
        <x:f>IF($B$12&lt;110,"",$B$13+(110-1)*($B$14-$B$13)/($B$12-1))</x:f>
      </x:c>
      <x:c r="C129" s="14">
        <x:f>IF(B129="","",$F$8*COS(B129) + $B$7*COS($F$6*B129))</x:f>
      </x:c>
      <x:c r="D129" s="14">
        <x:f>IF(B129="","",$F$8*SIN(B129) - $B$7*SIN($F$6*B129))</x:f>
      </x:c>
      <x:c r="E129" s="14">
        <x:f>IF(B129="","", C129 + $F$12*$F$9*(-H129)/IF(SQRT(G129^2+H129^2)=0,1,SQRT(G129^2+H129^2)))</x:f>
      </x:c>
      <x:c r="F129" s="14">
        <x:f>IF(B129="","", D129 + $F$12*$F$9*(G129)/IF(SQRT(G129^2+H129^2)=0,1,SQRT(G129^2+H129^2)))</x:f>
      </x:c>
      <x:c r="G129" s="14">
        <x:f>IF(B129="","", -$F$8*SIN(B129) - $B$7*$F$6*SIN($F$6*B129))</x:f>
      </x:c>
      <x:c r="H129" s="14">
        <x:f>IF(B129="","", $F$8*COS(B129) - $B$7*$F$6*COS($F$6*B129))</x:f>
      </x:c>
    </x:row>
    <x:row r="130">
      <x:c r="A130" s="13" t="n">
        <x:v>111</x:v>
      </x:c>
      <x:c r="B130" s="14">
        <x:f>IF($B$12&lt;111,"",$B$13+(111-1)*($B$14-$B$13)/($B$12-1))</x:f>
      </x:c>
      <x:c r="C130" s="14">
        <x:f>IF(B130="","",$F$8*COS(B130) + $B$7*COS($F$6*B130))</x:f>
      </x:c>
      <x:c r="D130" s="14">
        <x:f>IF(B130="","",$F$8*SIN(B130) - $B$7*SIN($F$6*B130))</x:f>
      </x:c>
      <x:c r="E130" s="14">
        <x:f>IF(B130="","", C130 + $F$12*$F$9*(-H130)/IF(SQRT(G130^2+H130^2)=0,1,SQRT(G130^2+H130^2)))</x:f>
      </x:c>
      <x:c r="F130" s="14">
        <x:f>IF(B130="","", D130 + $F$12*$F$9*(G130)/IF(SQRT(G130^2+H130^2)=0,1,SQRT(G130^2+H130^2)))</x:f>
      </x:c>
      <x:c r="G130" s="14">
        <x:f>IF(B130="","", -$F$8*SIN(B130) - $B$7*$F$6*SIN($F$6*B130))</x:f>
      </x:c>
      <x:c r="H130" s="14">
        <x:f>IF(B130="","", $F$8*COS(B130) - $B$7*$F$6*COS($F$6*B130))</x:f>
      </x:c>
    </x:row>
    <x:row r="131">
      <x:c r="A131" s="13" t="n">
        <x:v>112</x:v>
      </x:c>
      <x:c r="B131" s="14">
        <x:f>IF($B$12&lt;112,"",$B$13+(112-1)*($B$14-$B$13)/($B$12-1))</x:f>
      </x:c>
      <x:c r="C131" s="14">
        <x:f>IF(B131="","",$F$8*COS(B131) + $B$7*COS($F$6*B131))</x:f>
      </x:c>
      <x:c r="D131" s="14">
        <x:f>IF(B131="","",$F$8*SIN(B131) - $B$7*SIN($F$6*B131))</x:f>
      </x:c>
      <x:c r="E131" s="14">
        <x:f>IF(B131="","", C131 + $F$12*$F$9*(-H131)/IF(SQRT(G131^2+H131^2)=0,1,SQRT(G131^2+H131^2)))</x:f>
      </x:c>
      <x:c r="F131" s="14">
        <x:f>IF(B131="","", D131 + $F$12*$F$9*(G131)/IF(SQRT(G131^2+H131^2)=0,1,SQRT(G131^2+H131^2)))</x:f>
      </x:c>
      <x:c r="G131" s="14">
        <x:f>IF(B131="","", -$F$8*SIN(B131) - $B$7*$F$6*SIN($F$6*B131))</x:f>
      </x:c>
      <x:c r="H131" s="14">
        <x:f>IF(B131="","", $F$8*COS(B131) - $B$7*$F$6*COS($F$6*B131))</x:f>
      </x:c>
    </x:row>
    <x:row r="132">
      <x:c r="A132" s="13" t="n">
        <x:v>113</x:v>
      </x:c>
      <x:c r="B132" s="14">
        <x:f>IF($B$12&lt;113,"",$B$13+(113-1)*($B$14-$B$13)/($B$12-1))</x:f>
      </x:c>
      <x:c r="C132" s="14">
        <x:f>IF(B132="","",$F$8*COS(B132) + $B$7*COS($F$6*B132))</x:f>
      </x:c>
      <x:c r="D132" s="14">
        <x:f>IF(B132="","",$F$8*SIN(B132) - $B$7*SIN($F$6*B132))</x:f>
      </x:c>
      <x:c r="E132" s="14">
        <x:f>IF(B132="","", C132 + $F$12*$F$9*(-H132)/IF(SQRT(G132^2+H132^2)=0,1,SQRT(G132^2+H132^2)))</x:f>
      </x:c>
      <x:c r="F132" s="14">
        <x:f>IF(B132="","", D132 + $F$12*$F$9*(G132)/IF(SQRT(G132^2+H132^2)=0,1,SQRT(G132^2+H132^2)))</x:f>
      </x:c>
      <x:c r="G132" s="14">
        <x:f>IF(B132="","", -$F$8*SIN(B132) - $B$7*$F$6*SIN($F$6*B132))</x:f>
      </x:c>
      <x:c r="H132" s="14">
        <x:f>IF(B132="","", $F$8*COS(B132) - $B$7*$F$6*COS($F$6*B132))</x:f>
      </x:c>
    </x:row>
    <x:row r="133">
      <x:c r="A133" s="13" t="n">
        <x:v>114</x:v>
      </x:c>
      <x:c r="B133" s="14">
        <x:f>IF($B$12&lt;114,"",$B$13+(114-1)*($B$14-$B$13)/($B$12-1))</x:f>
      </x:c>
      <x:c r="C133" s="14">
        <x:f>IF(B133="","",$F$8*COS(B133) + $B$7*COS($F$6*B133))</x:f>
      </x:c>
      <x:c r="D133" s="14">
        <x:f>IF(B133="","",$F$8*SIN(B133) - $B$7*SIN($F$6*B133))</x:f>
      </x:c>
      <x:c r="E133" s="14">
        <x:f>IF(B133="","", C133 + $F$12*$F$9*(-H133)/IF(SQRT(G133^2+H133^2)=0,1,SQRT(G133^2+H133^2)))</x:f>
      </x:c>
      <x:c r="F133" s="14">
        <x:f>IF(B133="","", D133 + $F$12*$F$9*(G133)/IF(SQRT(G133^2+H133^2)=0,1,SQRT(G133^2+H133^2)))</x:f>
      </x:c>
      <x:c r="G133" s="14">
        <x:f>IF(B133="","", -$F$8*SIN(B133) - $B$7*$F$6*SIN($F$6*B133))</x:f>
      </x:c>
      <x:c r="H133" s="14">
        <x:f>IF(B133="","", $F$8*COS(B133) - $B$7*$F$6*COS($F$6*B133))</x:f>
      </x:c>
    </x:row>
    <x:row r="134">
      <x:c r="A134" s="13" t="n">
        <x:v>115</x:v>
      </x:c>
      <x:c r="B134" s="14">
        <x:f>IF($B$12&lt;115,"",$B$13+(115-1)*($B$14-$B$13)/($B$12-1))</x:f>
      </x:c>
      <x:c r="C134" s="14">
        <x:f>IF(B134="","",$F$8*COS(B134) + $B$7*COS($F$6*B134))</x:f>
      </x:c>
      <x:c r="D134" s="14">
        <x:f>IF(B134="","",$F$8*SIN(B134) - $B$7*SIN($F$6*B134))</x:f>
      </x:c>
      <x:c r="E134" s="14">
        <x:f>IF(B134="","", C134 + $F$12*$F$9*(-H134)/IF(SQRT(G134^2+H134^2)=0,1,SQRT(G134^2+H134^2)))</x:f>
      </x:c>
      <x:c r="F134" s="14">
        <x:f>IF(B134="","", D134 + $F$12*$F$9*(G134)/IF(SQRT(G134^2+H134^2)=0,1,SQRT(G134^2+H134^2)))</x:f>
      </x:c>
      <x:c r="G134" s="14">
        <x:f>IF(B134="","", -$F$8*SIN(B134) - $B$7*$F$6*SIN($F$6*B134))</x:f>
      </x:c>
      <x:c r="H134" s="14">
        <x:f>IF(B134="","", $F$8*COS(B134) - $B$7*$F$6*COS($F$6*B134))</x:f>
      </x:c>
    </x:row>
    <x:row r="135">
      <x:c r="A135" s="13" t="n">
        <x:v>116</x:v>
      </x:c>
      <x:c r="B135" s="14">
        <x:f>IF($B$12&lt;116,"",$B$13+(116-1)*($B$14-$B$13)/($B$12-1))</x:f>
      </x:c>
      <x:c r="C135" s="14">
        <x:f>IF(B135="","",$F$8*COS(B135) + $B$7*COS($F$6*B135))</x:f>
      </x:c>
      <x:c r="D135" s="14">
        <x:f>IF(B135="","",$F$8*SIN(B135) - $B$7*SIN($F$6*B135))</x:f>
      </x:c>
      <x:c r="E135" s="14">
        <x:f>IF(B135="","", C135 + $F$12*$F$9*(-H135)/IF(SQRT(G135^2+H135^2)=0,1,SQRT(G135^2+H135^2)))</x:f>
      </x:c>
      <x:c r="F135" s="14">
        <x:f>IF(B135="","", D135 + $F$12*$F$9*(G135)/IF(SQRT(G135^2+H135^2)=0,1,SQRT(G135^2+H135^2)))</x:f>
      </x:c>
      <x:c r="G135" s="14">
        <x:f>IF(B135="","", -$F$8*SIN(B135) - $B$7*$F$6*SIN($F$6*B135))</x:f>
      </x:c>
      <x:c r="H135" s="14">
        <x:f>IF(B135="","", $F$8*COS(B135) - $B$7*$F$6*COS($F$6*B135))</x:f>
      </x:c>
    </x:row>
    <x:row r="136">
      <x:c r="A136" s="13" t="n">
        <x:v>117</x:v>
      </x:c>
      <x:c r="B136" s="14">
        <x:f>IF($B$12&lt;117,"",$B$13+(117-1)*($B$14-$B$13)/($B$12-1))</x:f>
      </x:c>
      <x:c r="C136" s="14">
        <x:f>IF(B136="","",$F$8*COS(B136) + $B$7*COS($F$6*B136))</x:f>
      </x:c>
      <x:c r="D136" s="14">
        <x:f>IF(B136="","",$F$8*SIN(B136) - $B$7*SIN($F$6*B136))</x:f>
      </x:c>
      <x:c r="E136" s="14">
        <x:f>IF(B136="","", C136 + $F$12*$F$9*(-H136)/IF(SQRT(G136^2+H136^2)=0,1,SQRT(G136^2+H136^2)))</x:f>
      </x:c>
      <x:c r="F136" s="14">
        <x:f>IF(B136="","", D136 + $F$12*$F$9*(G136)/IF(SQRT(G136^2+H136^2)=0,1,SQRT(G136^2+H136^2)))</x:f>
      </x:c>
      <x:c r="G136" s="14">
        <x:f>IF(B136="","", -$F$8*SIN(B136) - $B$7*$F$6*SIN($F$6*B136))</x:f>
      </x:c>
      <x:c r="H136" s="14">
        <x:f>IF(B136="","", $F$8*COS(B136) - $B$7*$F$6*COS($F$6*B136))</x:f>
      </x:c>
    </x:row>
    <x:row r="137">
      <x:c r="A137" s="13" t="n">
        <x:v>118</x:v>
      </x:c>
      <x:c r="B137" s="14">
        <x:f>IF($B$12&lt;118,"",$B$13+(118-1)*($B$14-$B$13)/($B$12-1))</x:f>
      </x:c>
      <x:c r="C137" s="14">
        <x:f>IF(B137="","",$F$8*COS(B137) + $B$7*COS($F$6*B137))</x:f>
      </x:c>
      <x:c r="D137" s="14">
        <x:f>IF(B137="","",$F$8*SIN(B137) - $B$7*SIN($F$6*B137))</x:f>
      </x:c>
      <x:c r="E137" s="14">
        <x:f>IF(B137="","", C137 + $F$12*$F$9*(-H137)/IF(SQRT(G137^2+H137^2)=0,1,SQRT(G137^2+H137^2)))</x:f>
      </x:c>
      <x:c r="F137" s="14">
        <x:f>IF(B137="","", D137 + $F$12*$F$9*(G137)/IF(SQRT(G137^2+H137^2)=0,1,SQRT(G137^2+H137^2)))</x:f>
      </x:c>
      <x:c r="G137" s="14">
        <x:f>IF(B137="","", -$F$8*SIN(B137) - $B$7*$F$6*SIN($F$6*B137))</x:f>
      </x:c>
      <x:c r="H137" s="14">
        <x:f>IF(B137="","", $F$8*COS(B137) - $B$7*$F$6*COS($F$6*B137))</x:f>
      </x:c>
    </x:row>
    <x:row r="138">
      <x:c r="A138" s="13" t="n">
        <x:v>119</x:v>
      </x:c>
      <x:c r="B138" s="14">
        <x:f>IF($B$12&lt;119,"",$B$13+(119-1)*($B$14-$B$13)/($B$12-1))</x:f>
      </x:c>
      <x:c r="C138" s="14">
        <x:f>IF(B138="","",$F$8*COS(B138) + $B$7*COS($F$6*B138))</x:f>
      </x:c>
      <x:c r="D138" s="14">
        <x:f>IF(B138="","",$F$8*SIN(B138) - $B$7*SIN($F$6*B138))</x:f>
      </x:c>
      <x:c r="E138" s="14">
        <x:f>IF(B138="","", C138 + $F$12*$F$9*(-H138)/IF(SQRT(G138^2+H138^2)=0,1,SQRT(G138^2+H138^2)))</x:f>
      </x:c>
      <x:c r="F138" s="14">
        <x:f>IF(B138="","", D138 + $F$12*$F$9*(G138)/IF(SQRT(G138^2+H138^2)=0,1,SQRT(G138^2+H138^2)))</x:f>
      </x:c>
      <x:c r="G138" s="14">
        <x:f>IF(B138="","", -$F$8*SIN(B138) - $B$7*$F$6*SIN($F$6*B138))</x:f>
      </x:c>
      <x:c r="H138" s="14">
        <x:f>IF(B138="","", $F$8*COS(B138) - $B$7*$F$6*COS($F$6*B138))</x:f>
      </x:c>
    </x:row>
    <x:row r="139">
      <x:c r="A139" s="13" t="n">
        <x:v>120</x:v>
      </x:c>
      <x:c r="B139" s="14">
        <x:f>IF($B$12&lt;120,"",$B$13+(120-1)*($B$14-$B$13)/($B$12-1))</x:f>
      </x:c>
      <x:c r="C139" s="14">
        <x:f>IF(B139="","",$F$8*COS(B139) + $B$7*COS($F$6*B139))</x:f>
      </x:c>
      <x:c r="D139" s="14">
        <x:f>IF(B139="","",$F$8*SIN(B139) - $B$7*SIN($F$6*B139))</x:f>
      </x:c>
      <x:c r="E139" s="14">
        <x:f>IF(B139="","", C139 + $F$12*$F$9*(-H139)/IF(SQRT(G139^2+H139^2)=0,1,SQRT(G139^2+H139^2)))</x:f>
      </x:c>
      <x:c r="F139" s="14">
        <x:f>IF(B139="","", D139 + $F$12*$F$9*(G139)/IF(SQRT(G139^2+H139^2)=0,1,SQRT(G139^2+H139^2)))</x:f>
      </x:c>
      <x:c r="G139" s="14">
        <x:f>IF(B139="","", -$F$8*SIN(B139) - $B$7*$F$6*SIN($F$6*B139))</x:f>
      </x:c>
      <x:c r="H139" s="14">
        <x:f>IF(B139="","", $F$8*COS(B139) - $B$7*$F$6*COS($F$6*B139))</x:f>
      </x:c>
    </x:row>
    <x:row r="140">
      <x:c r="A140" s="13" t="n">
        <x:v>121</x:v>
      </x:c>
      <x:c r="B140" s="14">
        <x:f>IF($B$12&lt;121,"",$B$13+(121-1)*($B$14-$B$13)/($B$12-1))</x:f>
      </x:c>
      <x:c r="C140" s="14">
        <x:f>IF(B140="","",$F$8*COS(B140) + $B$7*COS($F$6*B140))</x:f>
      </x:c>
      <x:c r="D140" s="14">
        <x:f>IF(B140="","",$F$8*SIN(B140) - $B$7*SIN($F$6*B140))</x:f>
      </x:c>
      <x:c r="E140" s="14">
        <x:f>IF(B140="","", C140 + $F$12*$F$9*(-H140)/IF(SQRT(G140^2+H140^2)=0,1,SQRT(G140^2+H140^2)))</x:f>
      </x:c>
      <x:c r="F140" s="14">
        <x:f>IF(B140="","", D140 + $F$12*$F$9*(G140)/IF(SQRT(G140^2+H140^2)=0,1,SQRT(G140^2+H140^2)))</x:f>
      </x:c>
      <x:c r="G140" s="14">
        <x:f>IF(B140="","", -$F$8*SIN(B140) - $B$7*$F$6*SIN($F$6*B140))</x:f>
      </x:c>
      <x:c r="H140" s="14">
        <x:f>IF(B140="","", $F$8*COS(B140) - $B$7*$F$6*COS($F$6*B140))</x:f>
      </x:c>
    </x:row>
    <x:row r="141">
      <x:c r="A141" s="13" t="n">
        <x:v>122</x:v>
      </x:c>
      <x:c r="B141" s="14">
        <x:f>IF($B$12&lt;122,"",$B$13+(122-1)*($B$14-$B$13)/($B$12-1))</x:f>
      </x:c>
      <x:c r="C141" s="14">
        <x:f>IF(B141="","",$F$8*COS(B141) + $B$7*COS($F$6*B141))</x:f>
      </x:c>
      <x:c r="D141" s="14">
        <x:f>IF(B141="","",$F$8*SIN(B141) - $B$7*SIN($F$6*B141))</x:f>
      </x:c>
      <x:c r="E141" s="14">
        <x:f>IF(B141="","", C141 + $F$12*$F$9*(-H141)/IF(SQRT(G141^2+H141^2)=0,1,SQRT(G141^2+H141^2)))</x:f>
      </x:c>
      <x:c r="F141" s="14">
        <x:f>IF(B141="","", D141 + $F$12*$F$9*(G141)/IF(SQRT(G141^2+H141^2)=0,1,SQRT(G141^2+H141^2)))</x:f>
      </x:c>
      <x:c r="G141" s="14">
        <x:f>IF(B141="","", -$F$8*SIN(B141) - $B$7*$F$6*SIN($F$6*B141))</x:f>
      </x:c>
      <x:c r="H141" s="14">
        <x:f>IF(B141="","", $F$8*COS(B141) - $B$7*$F$6*COS($F$6*B141))</x:f>
      </x:c>
    </x:row>
    <x:row r="142">
      <x:c r="A142" s="13" t="n">
        <x:v>123</x:v>
      </x:c>
      <x:c r="B142" s="14">
        <x:f>IF($B$12&lt;123,"",$B$13+(123-1)*($B$14-$B$13)/($B$12-1))</x:f>
      </x:c>
      <x:c r="C142" s="14">
        <x:f>IF(B142="","",$F$8*COS(B142) + $B$7*COS($F$6*B142))</x:f>
      </x:c>
      <x:c r="D142" s="14">
        <x:f>IF(B142="","",$F$8*SIN(B142) - $B$7*SIN($F$6*B142))</x:f>
      </x:c>
      <x:c r="E142" s="14">
        <x:f>IF(B142="","", C142 + $F$12*$F$9*(-H142)/IF(SQRT(G142^2+H142^2)=0,1,SQRT(G142^2+H142^2)))</x:f>
      </x:c>
      <x:c r="F142" s="14">
        <x:f>IF(B142="","", D142 + $F$12*$F$9*(G142)/IF(SQRT(G142^2+H142^2)=0,1,SQRT(G142^2+H142^2)))</x:f>
      </x:c>
      <x:c r="G142" s="14">
        <x:f>IF(B142="","", -$F$8*SIN(B142) - $B$7*$F$6*SIN($F$6*B142))</x:f>
      </x:c>
      <x:c r="H142" s="14">
        <x:f>IF(B142="","", $F$8*COS(B142) - $B$7*$F$6*COS($F$6*B142))</x:f>
      </x:c>
    </x:row>
    <x:row r="143">
      <x:c r="A143" s="13" t="n">
        <x:v>124</x:v>
      </x:c>
      <x:c r="B143" s="14">
        <x:f>IF($B$12&lt;124,"",$B$13+(124-1)*($B$14-$B$13)/($B$12-1))</x:f>
      </x:c>
      <x:c r="C143" s="14">
        <x:f>IF(B143="","",$F$8*COS(B143) + $B$7*COS($F$6*B143))</x:f>
      </x:c>
      <x:c r="D143" s="14">
        <x:f>IF(B143="","",$F$8*SIN(B143) - $B$7*SIN($F$6*B143))</x:f>
      </x:c>
      <x:c r="E143" s="14">
        <x:f>IF(B143="","", C143 + $F$12*$F$9*(-H143)/IF(SQRT(G143^2+H143^2)=0,1,SQRT(G143^2+H143^2)))</x:f>
      </x:c>
      <x:c r="F143" s="14">
        <x:f>IF(B143="","", D143 + $F$12*$F$9*(G143)/IF(SQRT(G143^2+H143^2)=0,1,SQRT(G143^2+H143^2)))</x:f>
      </x:c>
      <x:c r="G143" s="14">
        <x:f>IF(B143="","", -$F$8*SIN(B143) - $B$7*$F$6*SIN($F$6*B143))</x:f>
      </x:c>
      <x:c r="H143" s="14">
        <x:f>IF(B143="","", $F$8*COS(B143) - $B$7*$F$6*COS($F$6*B143))</x:f>
      </x:c>
    </x:row>
    <x:row r="144">
      <x:c r="A144" s="13" t="n">
        <x:v>125</x:v>
      </x:c>
      <x:c r="B144" s="14">
        <x:f>IF($B$12&lt;125,"",$B$13+(125-1)*($B$14-$B$13)/($B$12-1))</x:f>
      </x:c>
      <x:c r="C144" s="14">
        <x:f>IF(B144="","",$F$8*COS(B144) + $B$7*COS($F$6*B144))</x:f>
      </x:c>
      <x:c r="D144" s="14">
        <x:f>IF(B144="","",$F$8*SIN(B144) - $B$7*SIN($F$6*B144))</x:f>
      </x:c>
      <x:c r="E144" s="14">
        <x:f>IF(B144="","", C144 + $F$12*$F$9*(-H144)/IF(SQRT(G144^2+H144^2)=0,1,SQRT(G144^2+H144^2)))</x:f>
      </x:c>
      <x:c r="F144" s="14">
        <x:f>IF(B144="","", D144 + $F$12*$F$9*(G144)/IF(SQRT(G144^2+H144^2)=0,1,SQRT(G144^2+H144^2)))</x:f>
      </x:c>
      <x:c r="G144" s="14">
        <x:f>IF(B144="","", -$F$8*SIN(B144) - $B$7*$F$6*SIN($F$6*B144))</x:f>
      </x:c>
      <x:c r="H144" s="14">
        <x:f>IF(B144="","", $F$8*COS(B144) - $B$7*$F$6*COS($F$6*B144))</x:f>
      </x:c>
    </x:row>
    <x:row r="145">
      <x:c r="A145" s="13" t="n">
        <x:v>126</x:v>
      </x:c>
      <x:c r="B145" s="14">
        <x:f>IF($B$12&lt;126,"",$B$13+(126-1)*($B$14-$B$13)/($B$12-1))</x:f>
      </x:c>
      <x:c r="C145" s="14">
        <x:f>IF(B145="","",$F$8*COS(B145) + $B$7*COS($F$6*B145))</x:f>
      </x:c>
      <x:c r="D145" s="14">
        <x:f>IF(B145="","",$F$8*SIN(B145) - $B$7*SIN($F$6*B145))</x:f>
      </x:c>
      <x:c r="E145" s="14">
        <x:f>IF(B145="","", C145 + $F$12*$F$9*(-H145)/IF(SQRT(G145^2+H145^2)=0,1,SQRT(G145^2+H145^2)))</x:f>
      </x:c>
      <x:c r="F145" s="14">
        <x:f>IF(B145="","", D145 + $F$12*$F$9*(G145)/IF(SQRT(G145^2+H145^2)=0,1,SQRT(G145^2+H145^2)))</x:f>
      </x:c>
      <x:c r="G145" s="14">
        <x:f>IF(B145="","", -$F$8*SIN(B145) - $B$7*$F$6*SIN($F$6*B145))</x:f>
      </x:c>
      <x:c r="H145" s="14">
        <x:f>IF(B145="","", $F$8*COS(B145) - $B$7*$F$6*COS($F$6*B145))</x:f>
      </x:c>
    </x:row>
    <x:row r="146">
      <x:c r="A146" s="13" t="n">
        <x:v>127</x:v>
      </x:c>
      <x:c r="B146" s="14">
        <x:f>IF($B$12&lt;127,"",$B$13+(127-1)*($B$14-$B$13)/($B$12-1))</x:f>
      </x:c>
      <x:c r="C146" s="14">
        <x:f>IF(B146="","",$F$8*COS(B146) + $B$7*COS($F$6*B146))</x:f>
      </x:c>
      <x:c r="D146" s="14">
        <x:f>IF(B146="","",$F$8*SIN(B146) - $B$7*SIN($F$6*B146))</x:f>
      </x:c>
      <x:c r="E146" s="14">
        <x:f>IF(B146="","", C146 + $F$12*$F$9*(-H146)/IF(SQRT(G146^2+H146^2)=0,1,SQRT(G146^2+H146^2)))</x:f>
      </x:c>
      <x:c r="F146" s="14">
        <x:f>IF(B146="","", D146 + $F$12*$F$9*(G146)/IF(SQRT(G146^2+H146^2)=0,1,SQRT(G146^2+H146^2)))</x:f>
      </x:c>
      <x:c r="G146" s="14">
        <x:f>IF(B146="","", -$F$8*SIN(B146) - $B$7*$F$6*SIN($F$6*B146))</x:f>
      </x:c>
      <x:c r="H146" s="14">
        <x:f>IF(B146="","", $F$8*COS(B146) - $B$7*$F$6*COS($F$6*B146))</x:f>
      </x:c>
    </x:row>
    <x:row r="147">
      <x:c r="A147" s="13" t="n">
        <x:v>128</x:v>
      </x:c>
      <x:c r="B147" s="14">
        <x:f>IF($B$12&lt;128,"",$B$13+(128-1)*($B$14-$B$13)/($B$12-1))</x:f>
      </x:c>
      <x:c r="C147" s="14">
        <x:f>IF(B147="","",$F$8*COS(B147) + $B$7*COS($F$6*B147))</x:f>
      </x:c>
      <x:c r="D147" s="14">
        <x:f>IF(B147="","",$F$8*SIN(B147) - $B$7*SIN($F$6*B147))</x:f>
      </x:c>
      <x:c r="E147" s="14">
        <x:f>IF(B147="","", C147 + $F$12*$F$9*(-H147)/IF(SQRT(G147^2+H147^2)=0,1,SQRT(G147^2+H147^2)))</x:f>
      </x:c>
      <x:c r="F147" s="14">
        <x:f>IF(B147="","", D147 + $F$12*$F$9*(G147)/IF(SQRT(G147^2+H147^2)=0,1,SQRT(G147^2+H147^2)))</x:f>
      </x:c>
      <x:c r="G147" s="14">
        <x:f>IF(B147="","", -$F$8*SIN(B147) - $B$7*$F$6*SIN($F$6*B147))</x:f>
      </x:c>
      <x:c r="H147" s="14">
        <x:f>IF(B147="","", $F$8*COS(B147) - $B$7*$F$6*COS($F$6*B147))</x:f>
      </x:c>
    </x:row>
    <x:row r="148">
      <x:c r="A148" s="13" t="n">
        <x:v>129</x:v>
      </x:c>
      <x:c r="B148" s="14">
        <x:f>IF($B$12&lt;129,"",$B$13+(129-1)*($B$14-$B$13)/($B$12-1))</x:f>
      </x:c>
      <x:c r="C148" s="14">
        <x:f>IF(B148="","",$F$8*COS(B148) + $B$7*COS($F$6*B148))</x:f>
      </x:c>
      <x:c r="D148" s="14">
        <x:f>IF(B148="","",$F$8*SIN(B148) - $B$7*SIN($F$6*B148))</x:f>
      </x:c>
      <x:c r="E148" s="14">
        <x:f>IF(B148="","", C148 + $F$12*$F$9*(-H148)/IF(SQRT(G148^2+H148^2)=0,1,SQRT(G148^2+H148^2)))</x:f>
      </x:c>
      <x:c r="F148" s="14">
        <x:f>IF(B148="","", D148 + $F$12*$F$9*(G148)/IF(SQRT(G148^2+H148^2)=0,1,SQRT(G148^2+H148^2)))</x:f>
      </x:c>
      <x:c r="G148" s="14">
        <x:f>IF(B148="","", -$F$8*SIN(B148) - $B$7*$F$6*SIN($F$6*B148))</x:f>
      </x:c>
      <x:c r="H148" s="14">
        <x:f>IF(B148="","", $F$8*COS(B148) - $B$7*$F$6*COS($F$6*B148))</x:f>
      </x:c>
    </x:row>
    <x:row r="149">
      <x:c r="A149" s="13" t="n">
        <x:v>130</x:v>
      </x:c>
      <x:c r="B149" s="14">
        <x:f>IF($B$12&lt;130,"",$B$13+(130-1)*($B$14-$B$13)/($B$12-1))</x:f>
      </x:c>
      <x:c r="C149" s="14">
        <x:f>IF(B149="","",$F$8*COS(B149) + $B$7*COS($F$6*B149))</x:f>
      </x:c>
      <x:c r="D149" s="14">
        <x:f>IF(B149="","",$F$8*SIN(B149) - $B$7*SIN($F$6*B149))</x:f>
      </x:c>
      <x:c r="E149" s="14">
        <x:f>IF(B149="","", C149 + $F$12*$F$9*(-H149)/IF(SQRT(G149^2+H149^2)=0,1,SQRT(G149^2+H149^2)))</x:f>
      </x:c>
      <x:c r="F149" s="14">
        <x:f>IF(B149="","", D149 + $F$12*$F$9*(G149)/IF(SQRT(G149^2+H149^2)=0,1,SQRT(G149^2+H149^2)))</x:f>
      </x:c>
      <x:c r="G149" s="14">
        <x:f>IF(B149="","", -$F$8*SIN(B149) - $B$7*$F$6*SIN($F$6*B149))</x:f>
      </x:c>
      <x:c r="H149" s="14">
        <x:f>IF(B149="","", $F$8*COS(B149) - $B$7*$F$6*COS($F$6*B149))</x:f>
      </x:c>
    </x:row>
    <x:row r="150">
      <x:c r="A150" s="13" t="n">
        <x:v>131</x:v>
      </x:c>
      <x:c r="B150" s="14">
        <x:f>IF($B$12&lt;131,"",$B$13+(131-1)*($B$14-$B$13)/($B$12-1))</x:f>
      </x:c>
      <x:c r="C150" s="14">
        <x:f>IF(B150="","",$F$8*COS(B150) + $B$7*COS($F$6*B150))</x:f>
      </x:c>
      <x:c r="D150" s="14">
        <x:f>IF(B150="","",$F$8*SIN(B150) - $B$7*SIN($F$6*B150))</x:f>
      </x:c>
      <x:c r="E150" s="14">
        <x:f>IF(B150="","", C150 + $F$12*$F$9*(-H150)/IF(SQRT(G150^2+H150^2)=0,1,SQRT(G150^2+H150^2)))</x:f>
      </x:c>
      <x:c r="F150" s="14">
        <x:f>IF(B150="","", D150 + $F$12*$F$9*(G150)/IF(SQRT(G150^2+H150^2)=0,1,SQRT(G150^2+H150^2)))</x:f>
      </x:c>
      <x:c r="G150" s="14">
        <x:f>IF(B150="","", -$F$8*SIN(B150) - $B$7*$F$6*SIN($F$6*B150))</x:f>
      </x:c>
      <x:c r="H150" s="14">
        <x:f>IF(B150="","", $F$8*COS(B150) - $B$7*$F$6*COS($F$6*B150))</x:f>
      </x:c>
    </x:row>
    <x:row r="151">
      <x:c r="A151" s="13" t="n">
        <x:v>132</x:v>
      </x:c>
      <x:c r="B151" s="14">
        <x:f>IF($B$12&lt;132,"",$B$13+(132-1)*($B$14-$B$13)/($B$12-1))</x:f>
      </x:c>
      <x:c r="C151" s="14">
        <x:f>IF(B151="","",$F$8*COS(B151) + $B$7*COS($F$6*B151))</x:f>
      </x:c>
      <x:c r="D151" s="14">
        <x:f>IF(B151="","",$F$8*SIN(B151) - $B$7*SIN($F$6*B151))</x:f>
      </x:c>
      <x:c r="E151" s="14">
        <x:f>IF(B151="","", C151 + $F$12*$F$9*(-H151)/IF(SQRT(G151^2+H151^2)=0,1,SQRT(G151^2+H151^2)))</x:f>
      </x:c>
      <x:c r="F151" s="14">
        <x:f>IF(B151="","", D151 + $F$12*$F$9*(G151)/IF(SQRT(G151^2+H151^2)=0,1,SQRT(G151^2+H151^2)))</x:f>
      </x:c>
      <x:c r="G151" s="14">
        <x:f>IF(B151="","", -$F$8*SIN(B151) - $B$7*$F$6*SIN($F$6*B151))</x:f>
      </x:c>
      <x:c r="H151" s="14">
        <x:f>IF(B151="","", $F$8*COS(B151) - $B$7*$F$6*COS($F$6*B151))</x:f>
      </x:c>
    </x:row>
    <x:row r="152">
      <x:c r="A152" s="13" t="n">
        <x:v>133</x:v>
      </x:c>
      <x:c r="B152" s="14">
        <x:f>IF($B$12&lt;133,"",$B$13+(133-1)*($B$14-$B$13)/($B$12-1))</x:f>
      </x:c>
      <x:c r="C152" s="14">
        <x:f>IF(B152="","",$F$8*COS(B152) + $B$7*COS($F$6*B152))</x:f>
      </x:c>
      <x:c r="D152" s="14">
        <x:f>IF(B152="","",$F$8*SIN(B152) - $B$7*SIN($F$6*B152))</x:f>
      </x:c>
      <x:c r="E152" s="14">
        <x:f>IF(B152="","", C152 + $F$12*$F$9*(-H152)/IF(SQRT(G152^2+H152^2)=0,1,SQRT(G152^2+H152^2)))</x:f>
      </x:c>
      <x:c r="F152" s="14">
        <x:f>IF(B152="","", D152 + $F$12*$F$9*(G152)/IF(SQRT(G152^2+H152^2)=0,1,SQRT(G152^2+H152^2)))</x:f>
      </x:c>
      <x:c r="G152" s="14">
        <x:f>IF(B152="","", -$F$8*SIN(B152) - $B$7*$F$6*SIN($F$6*B152))</x:f>
      </x:c>
      <x:c r="H152" s="14">
        <x:f>IF(B152="","", $F$8*COS(B152) - $B$7*$F$6*COS($F$6*B152))</x:f>
      </x:c>
    </x:row>
    <x:row r="153">
      <x:c r="A153" s="13" t="n">
        <x:v>134</x:v>
      </x:c>
      <x:c r="B153" s="14">
        <x:f>IF($B$12&lt;134,"",$B$13+(134-1)*($B$14-$B$13)/($B$12-1))</x:f>
      </x:c>
      <x:c r="C153" s="14">
        <x:f>IF(B153="","",$F$8*COS(B153) + $B$7*COS($F$6*B153))</x:f>
      </x:c>
      <x:c r="D153" s="14">
        <x:f>IF(B153="","",$F$8*SIN(B153) - $B$7*SIN($F$6*B153))</x:f>
      </x:c>
      <x:c r="E153" s="14">
        <x:f>IF(B153="","", C153 + $F$12*$F$9*(-H153)/IF(SQRT(G153^2+H153^2)=0,1,SQRT(G153^2+H153^2)))</x:f>
      </x:c>
      <x:c r="F153" s="14">
        <x:f>IF(B153="","", D153 + $F$12*$F$9*(G153)/IF(SQRT(G153^2+H153^2)=0,1,SQRT(G153^2+H153^2)))</x:f>
      </x:c>
      <x:c r="G153" s="14">
        <x:f>IF(B153="","", -$F$8*SIN(B153) - $B$7*$F$6*SIN($F$6*B153))</x:f>
      </x:c>
      <x:c r="H153" s="14">
        <x:f>IF(B153="","", $F$8*COS(B153) - $B$7*$F$6*COS($F$6*B153))</x:f>
      </x:c>
    </x:row>
    <x:row r="154">
      <x:c r="A154" s="13" t="n">
        <x:v>135</x:v>
      </x:c>
      <x:c r="B154" s="14">
        <x:f>IF($B$12&lt;135,"",$B$13+(135-1)*($B$14-$B$13)/($B$12-1))</x:f>
      </x:c>
      <x:c r="C154" s="14">
        <x:f>IF(B154="","",$F$8*COS(B154) + $B$7*COS($F$6*B154))</x:f>
      </x:c>
      <x:c r="D154" s="14">
        <x:f>IF(B154="","",$F$8*SIN(B154) - $B$7*SIN($F$6*B154))</x:f>
      </x:c>
      <x:c r="E154" s="14">
        <x:f>IF(B154="","", C154 + $F$12*$F$9*(-H154)/IF(SQRT(G154^2+H154^2)=0,1,SQRT(G154^2+H154^2)))</x:f>
      </x:c>
      <x:c r="F154" s="14">
        <x:f>IF(B154="","", D154 + $F$12*$F$9*(G154)/IF(SQRT(G154^2+H154^2)=0,1,SQRT(G154^2+H154^2)))</x:f>
      </x:c>
      <x:c r="G154" s="14">
        <x:f>IF(B154="","", -$F$8*SIN(B154) - $B$7*$F$6*SIN($F$6*B154))</x:f>
      </x:c>
      <x:c r="H154" s="14">
        <x:f>IF(B154="","", $F$8*COS(B154) - $B$7*$F$6*COS($F$6*B154))</x:f>
      </x:c>
    </x:row>
    <x:row r="155">
      <x:c r="A155" s="13" t="n">
        <x:v>136</x:v>
      </x:c>
      <x:c r="B155" s="14">
        <x:f>IF($B$12&lt;136,"",$B$13+(136-1)*($B$14-$B$13)/($B$12-1))</x:f>
      </x:c>
      <x:c r="C155" s="14">
        <x:f>IF(B155="","",$F$8*COS(B155) + $B$7*COS($F$6*B155))</x:f>
      </x:c>
      <x:c r="D155" s="14">
        <x:f>IF(B155="","",$F$8*SIN(B155) - $B$7*SIN($F$6*B155))</x:f>
      </x:c>
      <x:c r="E155" s="14">
        <x:f>IF(B155="","", C155 + $F$12*$F$9*(-H155)/IF(SQRT(G155^2+H155^2)=0,1,SQRT(G155^2+H155^2)))</x:f>
      </x:c>
      <x:c r="F155" s="14">
        <x:f>IF(B155="","", D155 + $F$12*$F$9*(G155)/IF(SQRT(G155^2+H155^2)=0,1,SQRT(G155^2+H155^2)))</x:f>
      </x:c>
      <x:c r="G155" s="14">
        <x:f>IF(B155="","", -$F$8*SIN(B155) - $B$7*$F$6*SIN($F$6*B155))</x:f>
      </x:c>
      <x:c r="H155" s="14">
        <x:f>IF(B155="","", $F$8*COS(B155) - $B$7*$F$6*COS($F$6*B155))</x:f>
      </x:c>
    </x:row>
    <x:row r="156">
      <x:c r="A156" s="13" t="n">
        <x:v>137</x:v>
      </x:c>
      <x:c r="B156" s="14">
        <x:f>IF($B$12&lt;137,"",$B$13+(137-1)*($B$14-$B$13)/($B$12-1))</x:f>
      </x:c>
      <x:c r="C156" s="14">
        <x:f>IF(B156="","",$F$8*COS(B156) + $B$7*COS($F$6*B156))</x:f>
      </x:c>
      <x:c r="D156" s="14">
        <x:f>IF(B156="","",$F$8*SIN(B156) - $B$7*SIN($F$6*B156))</x:f>
      </x:c>
      <x:c r="E156" s="14">
        <x:f>IF(B156="","", C156 + $F$12*$F$9*(-H156)/IF(SQRT(G156^2+H156^2)=0,1,SQRT(G156^2+H156^2)))</x:f>
      </x:c>
      <x:c r="F156" s="14">
        <x:f>IF(B156="","", D156 + $F$12*$F$9*(G156)/IF(SQRT(G156^2+H156^2)=0,1,SQRT(G156^2+H156^2)))</x:f>
      </x:c>
      <x:c r="G156" s="14">
        <x:f>IF(B156="","", -$F$8*SIN(B156) - $B$7*$F$6*SIN($F$6*B156))</x:f>
      </x:c>
      <x:c r="H156" s="14">
        <x:f>IF(B156="","", $F$8*COS(B156) - $B$7*$F$6*COS($F$6*B156))</x:f>
      </x:c>
    </x:row>
    <x:row r="157">
      <x:c r="A157" s="13" t="n">
        <x:v>138</x:v>
      </x:c>
      <x:c r="B157" s="14">
        <x:f>IF($B$12&lt;138,"",$B$13+(138-1)*($B$14-$B$13)/($B$12-1))</x:f>
      </x:c>
      <x:c r="C157" s="14">
        <x:f>IF(B157="","",$F$8*COS(B157) + $B$7*COS($F$6*B157))</x:f>
      </x:c>
      <x:c r="D157" s="14">
        <x:f>IF(B157="","",$F$8*SIN(B157) - $B$7*SIN($F$6*B157))</x:f>
      </x:c>
      <x:c r="E157" s="14">
        <x:f>IF(B157="","", C157 + $F$12*$F$9*(-H157)/IF(SQRT(G157^2+H157^2)=0,1,SQRT(G157^2+H157^2)))</x:f>
      </x:c>
      <x:c r="F157" s="14">
        <x:f>IF(B157="","", D157 + $F$12*$F$9*(G157)/IF(SQRT(G157^2+H157^2)=0,1,SQRT(G157^2+H157^2)))</x:f>
      </x:c>
      <x:c r="G157" s="14">
        <x:f>IF(B157="","", -$F$8*SIN(B157) - $B$7*$F$6*SIN($F$6*B157))</x:f>
      </x:c>
      <x:c r="H157" s="14">
        <x:f>IF(B157="","", $F$8*COS(B157) - $B$7*$F$6*COS($F$6*B157))</x:f>
      </x:c>
    </x:row>
    <x:row r="158">
      <x:c r="A158" s="13" t="n">
        <x:v>139</x:v>
      </x:c>
      <x:c r="B158" s="14">
        <x:f>IF($B$12&lt;139,"",$B$13+(139-1)*($B$14-$B$13)/($B$12-1))</x:f>
      </x:c>
      <x:c r="C158" s="14">
        <x:f>IF(B158="","",$F$8*COS(B158) + $B$7*COS($F$6*B158))</x:f>
      </x:c>
      <x:c r="D158" s="14">
        <x:f>IF(B158="","",$F$8*SIN(B158) - $B$7*SIN($F$6*B158))</x:f>
      </x:c>
      <x:c r="E158" s="14">
        <x:f>IF(B158="","", C158 + $F$12*$F$9*(-H158)/IF(SQRT(G158^2+H158^2)=0,1,SQRT(G158^2+H158^2)))</x:f>
      </x:c>
      <x:c r="F158" s="14">
        <x:f>IF(B158="","", D158 + $F$12*$F$9*(G158)/IF(SQRT(G158^2+H158^2)=0,1,SQRT(G158^2+H158^2)))</x:f>
      </x:c>
      <x:c r="G158" s="14">
        <x:f>IF(B158="","", -$F$8*SIN(B158) - $B$7*$F$6*SIN($F$6*B158))</x:f>
      </x:c>
      <x:c r="H158" s="14">
        <x:f>IF(B158="","", $F$8*COS(B158) - $B$7*$F$6*COS($F$6*B158))</x:f>
      </x:c>
    </x:row>
    <x:row r="159">
      <x:c r="A159" s="13" t="n">
        <x:v>140</x:v>
      </x:c>
      <x:c r="B159" s="14">
        <x:f>IF($B$12&lt;140,"",$B$13+(140-1)*($B$14-$B$13)/($B$12-1))</x:f>
      </x:c>
      <x:c r="C159" s="14">
        <x:f>IF(B159="","",$F$8*COS(B159) + $B$7*COS($F$6*B159))</x:f>
      </x:c>
      <x:c r="D159" s="14">
        <x:f>IF(B159="","",$F$8*SIN(B159) - $B$7*SIN($F$6*B159))</x:f>
      </x:c>
      <x:c r="E159" s="14">
        <x:f>IF(B159="","", C159 + $F$12*$F$9*(-H159)/IF(SQRT(G159^2+H159^2)=0,1,SQRT(G159^2+H159^2)))</x:f>
      </x:c>
      <x:c r="F159" s="14">
        <x:f>IF(B159="","", D159 + $F$12*$F$9*(G159)/IF(SQRT(G159^2+H159^2)=0,1,SQRT(G159^2+H159^2)))</x:f>
      </x:c>
      <x:c r="G159" s="14">
        <x:f>IF(B159="","", -$F$8*SIN(B159) - $B$7*$F$6*SIN($F$6*B159))</x:f>
      </x:c>
      <x:c r="H159" s="14">
        <x:f>IF(B159="","", $F$8*COS(B159) - $B$7*$F$6*COS($F$6*B159))</x:f>
      </x:c>
    </x:row>
    <x:row r="160">
      <x:c r="A160" s="13" t="n">
        <x:v>141</x:v>
      </x:c>
      <x:c r="B160" s="14">
        <x:f>IF($B$12&lt;141,"",$B$13+(141-1)*($B$14-$B$13)/($B$12-1))</x:f>
      </x:c>
      <x:c r="C160" s="14">
        <x:f>IF(B160="","",$F$8*COS(B160) + $B$7*COS($F$6*B160))</x:f>
      </x:c>
      <x:c r="D160" s="14">
        <x:f>IF(B160="","",$F$8*SIN(B160) - $B$7*SIN($F$6*B160))</x:f>
      </x:c>
      <x:c r="E160" s="14">
        <x:f>IF(B160="","", C160 + $F$12*$F$9*(-H160)/IF(SQRT(G160^2+H160^2)=0,1,SQRT(G160^2+H160^2)))</x:f>
      </x:c>
      <x:c r="F160" s="14">
        <x:f>IF(B160="","", D160 + $F$12*$F$9*(G160)/IF(SQRT(G160^2+H160^2)=0,1,SQRT(G160^2+H160^2)))</x:f>
      </x:c>
      <x:c r="G160" s="14">
        <x:f>IF(B160="","", -$F$8*SIN(B160) - $B$7*$F$6*SIN($F$6*B160))</x:f>
      </x:c>
      <x:c r="H160" s="14">
        <x:f>IF(B160="","", $F$8*COS(B160) - $B$7*$F$6*COS($F$6*B160))</x:f>
      </x:c>
    </x:row>
    <x:row r="161">
      <x:c r="A161" s="13" t="n">
        <x:v>142</x:v>
      </x:c>
      <x:c r="B161" s="14">
        <x:f>IF($B$12&lt;142,"",$B$13+(142-1)*($B$14-$B$13)/($B$12-1))</x:f>
      </x:c>
      <x:c r="C161" s="14">
        <x:f>IF(B161="","",$F$8*COS(B161) + $B$7*COS($F$6*B161))</x:f>
      </x:c>
      <x:c r="D161" s="14">
        <x:f>IF(B161="","",$F$8*SIN(B161) - $B$7*SIN($F$6*B161))</x:f>
      </x:c>
      <x:c r="E161" s="14">
        <x:f>IF(B161="","", C161 + $F$12*$F$9*(-H161)/IF(SQRT(G161^2+H161^2)=0,1,SQRT(G161^2+H161^2)))</x:f>
      </x:c>
      <x:c r="F161" s="14">
        <x:f>IF(B161="","", D161 + $F$12*$F$9*(G161)/IF(SQRT(G161^2+H161^2)=0,1,SQRT(G161^2+H161^2)))</x:f>
      </x:c>
      <x:c r="G161" s="14">
        <x:f>IF(B161="","", -$F$8*SIN(B161) - $B$7*$F$6*SIN($F$6*B161))</x:f>
      </x:c>
      <x:c r="H161" s="14">
        <x:f>IF(B161="","", $F$8*COS(B161) - $B$7*$F$6*COS($F$6*B161))</x:f>
      </x:c>
    </x:row>
    <x:row r="162">
      <x:c r="A162" s="13" t="n">
        <x:v>143</x:v>
      </x:c>
      <x:c r="B162" s="14">
        <x:f>IF($B$12&lt;143,"",$B$13+(143-1)*($B$14-$B$13)/($B$12-1))</x:f>
      </x:c>
      <x:c r="C162" s="14">
        <x:f>IF(B162="","",$F$8*COS(B162) + $B$7*COS($F$6*B162))</x:f>
      </x:c>
      <x:c r="D162" s="14">
        <x:f>IF(B162="","",$F$8*SIN(B162) - $B$7*SIN($F$6*B162))</x:f>
      </x:c>
      <x:c r="E162" s="14">
        <x:f>IF(B162="","", C162 + $F$12*$F$9*(-H162)/IF(SQRT(G162^2+H162^2)=0,1,SQRT(G162^2+H162^2)))</x:f>
      </x:c>
      <x:c r="F162" s="14">
        <x:f>IF(B162="","", D162 + $F$12*$F$9*(G162)/IF(SQRT(G162^2+H162^2)=0,1,SQRT(G162^2+H162^2)))</x:f>
      </x:c>
      <x:c r="G162" s="14">
        <x:f>IF(B162="","", -$F$8*SIN(B162) - $B$7*$F$6*SIN($F$6*B162))</x:f>
      </x:c>
      <x:c r="H162" s="14">
        <x:f>IF(B162="","", $F$8*COS(B162) - $B$7*$F$6*COS($F$6*B162))</x:f>
      </x:c>
    </x:row>
    <x:row r="163">
      <x:c r="A163" s="13" t="n">
        <x:v>144</x:v>
      </x:c>
      <x:c r="B163" s="14">
        <x:f>IF($B$12&lt;144,"",$B$13+(144-1)*($B$14-$B$13)/($B$12-1))</x:f>
      </x:c>
      <x:c r="C163" s="14">
        <x:f>IF(B163="","",$F$8*COS(B163) + $B$7*COS($F$6*B163))</x:f>
      </x:c>
      <x:c r="D163" s="14">
        <x:f>IF(B163="","",$F$8*SIN(B163) - $B$7*SIN($F$6*B163))</x:f>
      </x:c>
      <x:c r="E163" s="14">
        <x:f>IF(B163="","", C163 + $F$12*$F$9*(-H163)/IF(SQRT(G163^2+H163^2)=0,1,SQRT(G163^2+H163^2)))</x:f>
      </x:c>
      <x:c r="F163" s="14">
        <x:f>IF(B163="","", D163 + $F$12*$F$9*(G163)/IF(SQRT(G163^2+H163^2)=0,1,SQRT(G163^2+H163^2)))</x:f>
      </x:c>
      <x:c r="G163" s="14">
        <x:f>IF(B163="","", -$F$8*SIN(B163) - $B$7*$F$6*SIN($F$6*B163))</x:f>
      </x:c>
      <x:c r="H163" s="14">
        <x:f>IF(B163="","", $F$8*COS(B163) - $B$7*$F$6*COS($F$6*B163))</x:f>
      </x:c>
    </x:row>
    <x:row r="164">
      <x:c r="A164" s="13" t="n">
        <x:v>145</x:v>
      </x:c>
      <x:c r="B164" s="14">
        <x:f>IF($B$12&lt;145,"",$B$13+(145-1)*($B$14-$B$13)/($B$12-1))</x:f>
      </x:c>
      <x:c r="C164" s="14">
        <x:f>IF(B164="","",$F$8*COS(B164) + $B$7*COS($F$6*B164))</x:f>
      </x:c>
      <x:c r="D164" s="14">
        <x:f>IF(B164="","",$F$8*SIN(B164) - $B$7*SIN($F$6*B164))</x:f>
      </x:c>
      <x:c r="E164" s="14">
        <x:f>IF(B164="","", C164 + $F$12*$F$9*(-H164)/IF(SQRT(G164^2+H164^2)=0,1,SQRT(G164^2+H164^2)))</x:f>
      </x:c>
      <x:c r="F164" s="14">
        <x:f>IF(B164="","", D164 + $F$12*$F$9*(G164)/IF(SQRT(G164^2+H164^2)=0,1,SQRT(G164^2+H164^2)))</x:f>
      </x:c>
      <x:c r="G164" s="14">
        <x:f>IF(B164="","", -$F$8*SIN(B164) - $B$7*$F$6*SIN($F$6*B164))</x:f>
      </x:c>
      <x:c r="H164" s="14">
        <x:f>IF(B164="","", $F$8*COS(B164) - $B$7*$F$6*COS($F$6*B164))</x:f>
      </x:c>
    </x:row>
    <x:row r="165">
      <x:c r="A165" s="13" t="n">
        <x:v>146</x:v>
      </x:c>
      <x:c r="B165" s="14">
        <x:f>IF($B$12&lt;146,"",$B$13+(146-1)*($B$14-$B$13)/($B$12-1))</x:f>
      </x:c>
      <x:c r="C165" s="14">
        <x:f>IF(B165="","",$F$8*COS(B165) + $B$7*COS($F$6*B165))</x:f>
      </x:c>
      <x:c r="D165" s="14">
        <x:f>IF(B165="","",$F$8*SIN(B165) - $B$7*SIN($F$6*B165))</x:f>
      </x:c>
      <x:c r="E165" s="14">
        <x:f>IF(B165="","", C165 + $F$12*$F$9*(-H165)/IF(SQRT(G165^2+H165^2)=0,1,SQRT(G165^2+H165^2)))</x:f>
      </x:c>
      <x:c r="F165" s="14">
        <x:f>IF(B165="","", D165 + $F$12*$F$9*(G165)/IF(SQRT(G165^2+H165^2)=0,1,SQRT(G165^2+H165^2)))</x:f>
      </x:c>
      <x:c r="G165" s="14">
        <x:f>IF(B165="","", -$F$8*SIN(B165) - $B$7*$F$6*SIN($F$6*B165))</x:f>
      </x:c>
      <x:c r="H165" s="14">
        <x:f>IF(B165="","", $F$8*COS(B165) - $B$7*$F$6*COS($F$6*B165))</x:f>
      </x:c>
    </x:row>
    <x:row r="166">
      <x:c r="A166" s="13" t="n">
        <x:v>147</x:v>
      </x:c>
      <x:c r="B166" s="14">
        <x:f>IF($B$12&lt;147,"",$B$13+(147-1)*($B$14-$B$13)/($B$12-1))</x:f>
      </x:c>
      <x:c r="C166" s="14">
        <x:f>IF(B166="","",$F$8*COS(B166) + $B$7*COS($F$6*B166))</x:f>
      </x:c>
      <x:c r="D166" s="14">
        <x:f>IF(B166="","",$F$8*SIN(B166) - $B$7*SIN($F$6*B166))</x:f>
      </x:c>
      <x:c r="E166" s="14">
        <x:f>IF(B166="","", C166 + $F$12*$F$9*(-H166)/IF(SQRT(G166^2+H166^2)=0,1,SQRT(G166^2+H166^2)))</x:f>
      </x:c>
      <x:c r="F166" s="14">
        <x:f>IF(B166="","", D166 + $F$12*$F$9*(G166)/IF(SQRT(G166^2+H166^2)=0,1,SQRT(G166^2+H166^2)))</x:f>
      </x:c>
      <x:c r="G166" s="14">
        <x:f>IF(B166="","", -$F$8*SIN(B166) - $B$7*$F$6*SIN($F$6*B166))</x:f>
      </x:c>
      <x:c r="H166" s="14">
        <x:f>IF(B166="","", $F$8*COS(B166) - $B$7*$F$6*COS($F$6*B166))</x:f>
      </x:c>
    </x:row>
    <x:row r="167">
      <x:c r="A167" s="13" t="n">
        <x:v>148</x:v>
      </x:c>
      <x:c r="B167" s="14">
        <x:f>IF($B$12&lt;148,"",$B$13+(148-1)*($B$14-$B$13)/($B$12-1))</x:f>
      </x:c>
      <x:c r="C167" s="14">
        <x:f>IF(B167="","",$F$8*COS(B167) + $B$7*COS($F$6*B167))</x:f>
      </x:c>
      <x:c r="D167" s="14">
        <x:f>IF(B167="","",$F$8*SIN(B167) - $B$7*SIN($F$6*B167))</x:f>
      </x:c>
      <x:c r="E167" s="14">
        <x:f>IF(B167="","", C167 + $F$12*$F$9*(-H167)/IF(SQRT(G167^2+H167^2)=0,1,SQRT(G167^2+H167^2)))</x:f>
      </x:c>
      <x:c r="F167" s="14">
        <x:f>IF(B167="","", D167 + $F$12*$F$9*(G167)/IF(SQRT(G167^2+H167^2)=0,1,SQRT(G167^2+H167^2)))</x:f>
      </x:c>
      <x:c r="G167" s="14">
        <x:f>IF(B167="","", -$F$8*SIN(B167) - $B$7*$F$6*SIN($F$6*B167))</x:f>
      </x:c>
      <x:c r="H167" s="14">
        <x:f>IF(B167="","", $F$8*COS(B167) - $B$7*$F$6*COS($F$6*B167))</x:f>
      </x:c>
    </x:row>
    <x:row r="168">
      <x:c r="A168" s="13" t="n">
        <x:v>149</x:v>
      </x:c>
      <x:c r="B168" s="14">
        <x:f>IF($B$12&lt;149,"",$B$13+(149-1)*($B$14-$B$13)/($B$12-1))</x:f>
      </x:c>
      <x:c r="C168" s="14">
        <x:f>IF(B168="","",$F$8*COS(B168) + $B$7*COS($F$6*B168))</x:f>
      </x:c>
      <x:c r="D168" s="14">
        <x:f>IF(B168="","",$F$8*SIN(B168) - $B$7*SIN($F$6*B168))</x:f>
      </x:c>
      <x:c r="E168" s="14">
        <x:f>IF(B168="","", C168 + $F$12*$F$9*(-H168)/IF(SQRT(G168^2+H168^2)=0,1,SQRT(G168^2+H168^2)))</x:f>
      </x:c>
      <x:c r="F168" s="14">
        <x:f>IF(B168="","", D168 + $F$12*$F$9*(G168)/IF(SQRT(G168^2+H168^2)=0,1,SQRT(G168^2+H168^2)))</x:f>
      </x:c>
      <x:c r="G168" s="14">
        <x:f>IF(B168="","", -$F$8*SIN(B168) - $B$7*$F$6*SIN($F$6*B168))</x:f>
      </x:c>
      <x:c r="H168" s="14">
        <x:f>IF(B168="","", $F$8*COS(B168) - $B$7*$F$6*COS($F$6*B168))</x:f>
      </x:c>
    </x:row>
    <x:row r="169">
      <x:c r="A169" s="13" t="n">
        <x:v>150</x:v>
      </x:c>
      <x:c r="B169" s="14">
        <x:f>IF($B$12&lt;150,"",$B$13+(150-1)*($B$14-$B$13)/($B$12-1))</x:f>
      </x:c>
      <x:c r="C169" s="14">
        <x:f>IF(B169="","",$F$8*COS(B169) + $B$7*COS($F$6*B169))</x:f>
      </x:c>
      <x:c r="D169" s="14">
        <x:f>IF(B169="","",$F$8*SIN(B169) - $B$7*SIN($F$6*B169))</x:f>
      </x:c>
      <x:c r="E169" s="14">
        <x:f>IF(B169="","", C169 + $F$12*$F$9*(-H169)/IF(SQRT(G169^2+H169^2)=0,1,SQRT(G169^2+H169^2)))</x:f>
      </x:c>
      <x:c r="F169" s="14">
        <x:f>IF(B169="","", D169 + $F$12*$F$9*(G169)/IF(SQRT(G169^2+H169^2)=0,1,SQRT(G169^2+H169^2)))</x:f>
      </x:c>
      <x:c r="G169" s="14">
        <x:f>IF(B169="","", -$F$8*SIN(B169) - $B$7*$F$6*SIN($F$6*B169))</x:f>
      </x:c>
      <x:c r="H169" s="14">
        <x:f>IF(B169="","", $F$8*COS(B169) - $B$7*$F$6*COS($F$6*B169))</x:f>
      </x:c>
    </x:row>
    <x:row r="170">
      <x:c r="A170" s="13" t="n">
        <x:v>151</x:v>
      </x:c>
      <x:c r="B170" s="14">
        <x:f>IF($B$12&lt;151,"",$B$13+(151-1)*($B$14-$B$13)/($B$12-1))</x:f>
      </x:c>
      <x:c r="C170" s="14">
        <x:f>IF(B170="","",$F$8*COS(B170) + $B$7*COS($F$6*B170))</x:f>
      </x:c>
      <x:c r="D170" s="14">
        <x:f>IF(B170="","",$F$8*SIN(B170) - $B$7*SIN($F$6*B170))</x:f>
      </x:c>
      <x:c r="E170" s="14">
        <x:f>IF(B170="","", C170 + $F$12*$F$9*(-H170)/IF(SQRT(G170^2+H170^2)=0,1,SQRT(G170^2+H170^2)))</x:f>
      </x:c>
      <x:c r="F170" s="14">
        <x:f>IF(B170="","", D170 + $F$12*$F$9*(G170)/IF(SQRT(G170^2+H170^2)=0,1,SQRT(G170^2+H170^2)))</x:f>
      </x:c>
      <x:c r="G170" s="14">
        <x:f>IF(B170="","", -$F$8*SIN(B170) - $B$7*$F$6*SIN($F$6*B170))</x:f>
      </x:c>
      <x:c r="H170" s="14">
        <x:f>IF(B170="","", $F$8*COS(B170) - $B$7*$F$6*COS($F$6*B170))</x:f>
      </x:c>
    </x:row>
    <x:row r="171">
      <x:c r="A171" s="13" t="n">
        <x:v>152</x:v>
      </x:c>
      <x:c r="B171" s="14">
        <x:f>IF($B$12&lt;152,"",$B$13+(152-1)*($B$14-$B$13)/($B$12-1))</x:f>
      </x:c>
      <x:c r="C171" s="14">
        <x:f>IF(B171="","",$F$8*COS(B171) + $B$7*COS($F$6*B171))</x:f>
      </x:c>
      <x:c r="D171" s="14">
        <x:f>IF(B171="","",$F$8*SIN(B171) - $B$7*SIN($F$6*B171))</x:f>
      </x:c>
      <x:c r="E171" s="14">
        <x:f>IF(B171="","", C171 + $F$12*$F$9*(-H171)/IF(SQRT(G171^2+H171^2)=0,1,SQRT(G171^2+H171^2)))</x:f>
      </x:c>
      <x:c r="F171" s="14">
        <x:f>IF(B171="","", D171 + $F$12*$F$9*(G171)/IF(SQRT(G171^2+H171^2)=0,1,SQRT(G171^2+H171^2)))</x:f>
      </x:c>
      <x:c r="G171" s="14">
        <x:f>IF(B171="","", -$F$8*SIN(B171) - $B$7*$F$6*SIN($F$6*B171))</x:f>
      </x:c>
      <x:c r="H171" s="14">
        <x:f>IF(B171="","", $F$8*COS(B171) - $B$7*$F$6*COS($F$6*B171))</x:f>
      </x:c>
    </x:row>
    <x:row r="172">
      <x:c r="A172" s="13" t="n">
        <x:v>153</x:v>
      </x:c>
      <x:c r="B172" s="14">
        <x:f>IF($B$12&lt;153,"",$B$13+(153-1)*($B$14-$B$13)/($B$12-1))</x:f>
      </x:c>
      <x:c r="C172" s="14">
        <x:f>IF(B172="","",$F$8*COS(B172) + $B$7*COS($F$6*B172))</x:f>
      </x:c>
      <x:c r="D172" s="14">
        <x:f>IF(B172="","",$F$8*SIN(B172) - $B$7*SIN($F$6*B172))</x:f>
      </x:c>
      <x:c r="E172" s="14">
        <x:f>IF(B172="","", C172 + $F$12*$F$9*(-H172)/IF(SQRT(G172^2+H172^2)=0,1,SQRT(G172^2+H172^2)))</x:f>
      </x:c>
      <x:c r="F172" s="14">
        <x:f>IF(B172="","", D172 + $F$12*$F$9*(G172)/IF(SQRT(G172^2+H172^2)=0,1,SQRT(G172^2+H172^2)))</x:f>
      </x:c>
      <x:c r="G172" s="14">
        <x:f>IF(B172="","", -$F$8*SIN(B172) - $B$7*$F$6*SIN($F$6*B172))</x:f>
      </x:c>
      <x:c r="H172" s="14">
        <x:f>IF(B172="","", $F$8*COS(B172) - $B$7*$F$6*COS($F$6*B172))</x:f>
      </x:c>
    </x:row>
    <x:row r="173">
      <x:c r="A173" s="13" t="n">
        <x:v>154</x:v>
      </x:c>
      <x:c r="B173" s="14">
        <x:f>IF($B$12&lt;154,"",$B$13+(154-1)*($B$14-$B$13)/($B$12-1))</x:f>
      </x:c>
      <x:c r="C173" s="14">
        <x:f>IF(B173="","",$F$8*COS(B173) + $B$7*COS($F$6*B173))</x:f>
      </x:c>
      <x:c r="D173" s="14">
        <x:f>IF(B173="","",$F$8*SIN(B173) - $B$7*SIN($F$6*B173))</x:f>
      </x:c>
      <x:c r="E173" s="14">
        <x:f>IF(B173="","", C173 + $F$12*$F$9*(-H173)/IF(SQRT(G173^2+H173^2)=0,1,SQRT(G173^2+H173^2)))</x:f>
      </x:c>
      <x:c r="F173" s="14">
        <x:f>IF(B173="","", D173 + $F$12*$F$9*(G173)/IF(SQRT(G173^2+H173^2)=0,1,SQRT(G173^2+H173^2)))</x:f>
      </x:c>
      <x:c r="G173" s="14">
        <x:f>IF(B173="","", -$F$8*SIN(B173) - $B$7*$F$6*SIN($F$6*B173))</x:f>
      </x:c>
      <x:c r="H173" s="14">
        <x:f>IF(B173="","", $F$8*COS(B173) - $B$7*$F$6*COS($F$6*B173))</x:f>
      </x:c>
    </x:row>
    <x:row r="174">
      <x:c r="A174" s="13" t="n">
        <x:v>155</x:v>
      </x:c>
      <x:c r="B174" s="14">
        <x:f>IF($B$12&lt;155,"",$B$13+(155-1)*($B$14-$B$13)/($B$12-1))</x:f>
      </x:c>
      <x:c r="C174" s="14">
        <x:f>IF(B174="","",$F$8*COS(B174) + $B$7*COS($F$6*B174))</x:f>
      </x:c>
      <x:c r="D174" s="14">
        <x:f>IF(B174="","",$F$8*SIN(B174) - $B$7*SIN($F$6*B174))</x:f>
      </x:c>
      <x:c r="E174" s="14">
        <x:f>IF(B174="","", C174 + $F$12*$F$9*(-H174)/IF(SQRT(G174^2+H174^2)=0,1,SQRT(G174^2+H174^2)))</x:f>
      </x:c>
      <x:c r="F174" s="14">
        <x:f>IF(B174="","", D174 + $F$12*$F$9*(G174)/IF(SQRT(G174^2+H174^2)=0,1,SQRT(G174^2+H174^2)))</x:f>
      </x:c>
      <x:c r="G174" s="14">
        <x:f>IF(B174="","", -$F$8*SIN(B174) - $B$7*$F$6*SIN($F$6*B174))</x:f>
      </x:c>
      <x:c r="H174" s="14">
        <x:f>IF(B174="","", $F$8*COS(B174) - $B$7*$F$6*COS($F$6*B174))</x:f>
      </x:c>
    </x:row>
    <x:row r="175">
      <x:c r="A175" s="13" t="n">
        <x:v>156</x:v>
      </x:c>
      <x:c r="B175" s="14">
        <x:f>IF($B$12&lt;156,"",$B$13+(156-1)*($B$14-$B$13)/($B$12-1))</x:f>
      </x:c>
      <x:c r="C175" s="14">
        <x:f>IF(B175="","",$F$8*COS(B175) + $B$7*COS($F$6*B175))</x:f>
      </x:c>
      <x:c r="D175" s="14">
        <x:f>IF(B175="","",$F$8*SIN(B175) - $B$7*SIN($F$6*B175))</x:f>
      </x:c>
      <x:c r="E175" s="14">
        <x:f>IF(B175="","", C175 + $F$12*$F$9*(-H175)/IF(SQRT(G175^2+H175^2)=0,1,SQRT(G175^2+H175^2)))</x:f>
      </x:c>
      <x:c r="F175" s="14">
        <x:f>IF(B175="","", D175 + $F$12*$F$9*(G175)/IF(SQRT(G175^2+H175^2)=0,1,SQRT(G175^2+H175^2)))</x:f>
      </x:c>
      <x:c r="G175" s="14">
        <x:f>IF(B175="","", -$F$8*SIN(B175) - $B$7*$F$6*SIN($F$6*B175))</x:f>
      </x:c>
      <x:c r="H175" s="14">
        <x:f>IF(B175="","", $F$8*COS(B175) - $B$7*$F$6*COS($F$6*B175))</x:f>
      </x:c>
    </x:row>
    <x:row r="176">
      <x:c r="A176" s="13" t="n">
        <x:v>157</x:v>
      </x:c>
      <x:c r="B176" s="14">
        <x:f>IF($B$12&lt;157,"",$B$13+(157-1)*($B$14-$B$13)/($B$12-1))</x:f>
      </x:c>
      <x:c r="C176" s="14">
        <x:f>IF(B176="","",$F$8*COS(B176) + $B$7*COS($F$6*B176))</x:f>
      </x:c>
      <x:c r="D176" s="14">
        <x:f>IF(B176="","",$F$8*SIN(B176) - $B$7*SIN($F$6*B176))</x:f>
      </x:c>
      <x:c r="E176" s="14">
        <x:f>IF(B176="","", C176 + $F$12*$F$9*(-H176)/IF(SQRT(G176^2+H176^2)=0,1,SQRT(G176^2+H176^2)))</x:f>
      </x:c>
      <x:c r="F176" s="14">
        <x:f>IF(B176="","", D176 + $F$12*$F$9*(G176)/IF(SQRT(G176^2+H176^2)=0,1,SQRT(G176^2+H176^2)))</x:f>
      </x:c>
      <x:c r="G176" s="14">
        <x:f>IF(B176="","", -$F$8*SIN(B176) - $B$7*$F$6*SIN($F$6*B176))</x:f>
      </x:c>
      <x:c r="H176" s="14">
        <x:f>IF(B176="","", $F$8*COS(B176) - $B$7*$F$6*COS($F$6*B176))</x:f>
      </x:c>
    </x:row>
    <x:row r="177">
      <x:c r="A177" s="13" t="n">
        <x:v>158</x:v>
      </x:c>
      <x:c r="B177" s="14">
        <x:f>IF($B$12&lt;158,"",$B$13+(158-1)*($B$14-$B$13)/($B$12-1))</x:f>
      </x:c>
      <x:c r="C177" s="14">
        <x:f>IF(B177="","",$F$8*COS(B177) + $B$7*COS($F$6*B177))</x:f>
      </x:c>
      <x:c r="D177" s="14">
        <x:f>IF(B177="","",$F$8*SIN(B177) - $B$7*SIN($F$6*B177))</x:f>
      </x:c>
      <x:c r="E177" s="14">
        <x:f>IF(B177="","", C177 + $F$12*$F$9*(-H177)/IF(SQRT(G177^2+H177^2)=0,1,SQRT(G177^2+H177^2)))</x:f>
      </x:c>
      <x:c r="F177" s="14">
        <x:f>IF(B177="","", D177 + $F$12*$F$9*(G177)/IF(SQRT(G177^2+H177^2)=0,1,SQRT(G177^2+H177^2)))</x:f>
      </x:c>
      <x:c r="G177" s="14">
        <x:f>IF(B177="","", -$F$8*SIN(B177) - $B$7*$F$6*SIN($F$6*B177))</x:f>
      </x:c>
      <x:c r="H177" s="14">
        <x:f>IF(B177="","", $F$8*COS(B177) - $B$7*$F$6*COS($F$6*B177))</x:f>
      </x:c>
    </x:row>
    <x:row r="178">
      <x:c r="A178" s="13" t="n">
        <x:v>159</x:v>
      </x:c>
      <x:c r="B178" s="14">
        <x:f>IF($B$12&lt;159,"",$B$13+(159-1)*($B$14-$B$13)/($B$12-1))</x:f>
      </x:c>
      <x:c r="C178" s="14">
        <x:f>IF(B178="","",$F$8*COS(B178) + $B$7*COS($F$6*B178))</x:f>
      </x:c>
      <x:c r="D178" s="14">
        <x:f>IF(B178="","",$F$8*SIN(B178) - $B$7*SIN($F$6*B178))</x:f>
      </x:c>
      <x:c r="E178" s="14">
        <x:f>IF(B178="","", C178 + $F$12*$F$9*(-H178)/IF(SQRT(G178^2+H178^2)=0,1,SQRT(G178^2+H178^2)))</x:f>
      </x:c>
      <x:c r="F178" s="14">
        <x:f>IF(B178="","", D178 + $F$12*$F$9*(G178)/IF(SQRT(G178^2+H178^2)=0,1,SQRT(G178^2+H178^2)))</x:f>
      </x:c>
      <x:c r="G178" s="14">
        <x:f>IF(B178="","", -$F$8*SIN(B178) - $B$7*$F$6*SIN($F$6*B178))</x:f>
      </x:c>
      <x:c r="H178" s="14">
        <x:f>IF(B178="","", $F$8*COS(B178) - $B$7*$F$6*COS($F$6*B178))</x:f>
      </x:c>
    </x:row>
    <x:row r="179">
      <x:c r="A179" s="13" t="n">
        <x:v>160</x:v>
      </x:c>
      <x:c r="B179" s="14">
        <x:f>IF($B$12&lt;160,"",$B$13+(160-1)*($B$14-$B$13)/($B$12-1))</x:f>
      </x:c>
      <x:c r="C179" s="14">
        <x:f>IF(B179="","",$F$8*COS(B179) + $B$7*COS($F$6*B179))</x:f>
      </x:c>
      <x:c r="D179" s="14">
        <x:f>IF(B179="","",$F$8*SIN(B179) - $B$7*SIN($F$6*B179))</x:f>
      </x:c>
      <x:c r="E179" s="14">
        <x:f>IF(B179="","", C179 + $F$12*$F$9*(-H179)/IF(SQRT(G179^2+H179^2)=0,1,SQRT(G179^2+H179^2)))</x:f>
      </x:c>
      <x:c r="F179" s="14">
        <x:f>IF(B179="","", D179 + $F$12*$F$9*(G179)/IF(SQRT(G179^2+H179^2)=0,1,SQRT(G179^2+H179^2)))</x:f>
      </x:c>
      <x:c r="G179" s="14">
        <x:f>IF(B179="","", -$F$8*SIN(B179) - $B$7*$F$6*SIN($F$6*B179))</x:f>
      </x:c>
      <x:c r="H179" s="14">
        <x:f>IF(B179="","", $F$8*COS(B179) - $B$7*$F$6*COS($F$6*B179))</x:f>
      </x:c>
    </x:row>
    <x:row r="180">
      <x:c r="A180" s="13" t="n">
        <x:v>161</x:v>
      </x:c>
      <x:c r="B180" s="14">
        <x:f>IF($B$12&lt;161,"",$B$13+(161-1)*($B$14-$B$13)/($B$12-1))</x:f>
      </x:c>
      <x:c r="C180" s="14">
        <x:f>IF(B180="","",$F$8*COS(B180) + $B$7*COS($F$6*B180))</x:f>
      </x:c>
      <x:c r="D180" s="14">
        <x:f>IF(B180="","",$F$8*SIN(B180) - $B$7*SIN($F$6*B180))</x:f>
      </x:c>
      <x:c r="E180" s="14">
        <x:f>IF(B180="","", C180 + $F$12*$F$9*(-H180)/IF(SQRT(G180^2+H180^2)=0,1,SQRT(G180^2+H180^2)))</x:f>
      </x:c>
      <x:c r="F180" s="14">
        <x:f>IF(B180="","", D180 + $F$12*$F$9*(G180)/IF(SQRT(G180^2+H180^2)=0,1,SQRT(G180^2+H180^2)))</x:f>
      </x:c>
      <x:c r="G180" s="14">
        <x:f>IF(B180="","", -$F$8*SIN(B180) - $B$7*$F$6*SIN($F$6*B180))</x:f>
      </x:c>
      <x:c r="H180" s="14">
        <x:f>IF(B180="","", $F$8*COS(B180) - $B$7*$F$6*COS($F$6*B180))</x:f>
      </x:c>
    </x:row>
    <x:row r="181">
      <x:c r="A181" s="13" t="n">
        <x:v>162</x:v>
      </x:c>
      <x:c r="B181" s="14">
        <x:f>IF($B$12&lt;162,"",$B$13+(162-1)*($B$14-$B$13)/($B$12-1))</x:f>
      </x:c>
      <x:c r="C181" s="14">
        <x:f>IF(B181="","",$F$8*COS(B181) + $B$7*COS($F$6*B181))</x:f>
      </x:c>
      <x:c r="D181" s="14">
        <x:f>IF(B181="","",$F$8*SIN(B181) - $B$7*SIN($F$6*B181))</x:f>
      </x:c>
      <x:c r="E181" s="14">
        <x:f>IF(B181="","", C181 + $F$12*$F$9*(-H181)/IF(SQRT(G181^2+H181^2)=0,1,SQRT(G181^2+H181^2)))</x:f>
      </x:c>
      <x:c r="F181" s="14">
        <x:f>IF(B181="","", D181 + $F$12*$F$9*(G181)/IF(SQRT(G181^2+H181^2)=0,1,SQRT(G181^2+H181^2)))</x:f>
      </x:c>
      <x:c r="G181" s="14">
        <x:f>IF(B181="","", -$F$8*SIN(B181) - $B$7*$F$6*SIN($F$6*B181))</x:f>
      </x:c>
      <x:c r="H181" s="14">
        <x:f>IF(B181="","", $F$8*COS(B181) - $B$7*$F$6*COS($F$6*B181))</x:f>
      </x:c>
    </x:row>
    <x:row r="182">
      <x:c r="A182" s="13" t="n">
        <x:v>163</x:v>
      </x:c>
      <x:c r="B182" s="14">
        <x:f>IF($B$12&lt;163,"",$B$13+(163-1)*($B$14-$B$13)/($B$12-1))</x:f>
      </x:c>
      <x:c r="C182" s="14">
        <x:f>IF(B182="","",$F$8*COS(B182) + $B$7*COS($F$6*B182))</x:f>
      </x:c>
      <x:c r="D182" s="14">
        <x:f>IF(B182="","",$F$8*SIN(B182) - $B$7*SIN($F$6*B182))</x:f>
      </x:c>
      <x:c r="E182" s="14">
        <x:f>IF(B182="","", C182 + $F$12*$F$9*(-H182)/IF(SQRT(G182^2+H182^2)=0,1,SQRT(G182^2+H182^2)))</x:f>
      </x:c>
      <x:c r="F182" s="14">
        <x:f>IF(B182="","", D182 + $F$12*$F$9*(G182)/IF(SQRT(G182^2+H182^2)=0,1,SQRT(G182^2+H182^2)))</x:f>
      </x:c>
      <x:c r="G182" s="14">
        <x:f>IF(B182="","", -$F$8*SIN(B182) - $B$7*$F$6*SIN($F$6*B182))</x:f>
      </x:c>
      <x:c r="H182" s="14">
        <x:f>IF(B182="","", $F$8*COS(B182) - $B$7*$F$6*COS($F$6*B182))</x:f>
      </x:c>
    </x:row>
    <x:row r="183">
      <x:c r="A183" s="13" t="n">
        <x:v>164</x:v>
      </x:c>
      <x:c r="B183" s="14">
        <x:f>IF($B$12&lt;164,"",$B$13+(164-1)*($B$14-$B$13)/($B$12-1))</x:f>
      </x:c>
      <x:c r="C183" s="14">
        <x:f>IF(B183="","",$F$8*COS(B183) + $B$7*COS($F$6*B183))</x:f>
      </x:c>
      <x:c r="D183" s="14">
        <x:f>IF(B183="","",$F$8*SIN(B183) - $B$7*SIN($F$6*B183))</x:f>
      </x:c>
      <x:c r="E183" s="14">
        <x:f>IF(B183="","", C183 + $F$12*$F$9*(-H183)/IF(SQRT(G183^2+H183^2)=0,1,SQRT(G183^2+H183^2)))</x:f>
      </x:c>
      <x:c r="F183" s="14">
        <x:f>IF(B183="","", D183 + $F$12*$F$9*(G183)/IF(SQRT(G183^2+H183^2)=0,1,SQRT(G183^2+H183^2)))</x:f>
      </x:c>
      <x:c r="G183" s="14">
        <x:f>IF(B183="","", -$F$8*SIN(B183) - $B$7*$F$6*SIN($F$6*B183))</x:f>
      </x:c>
      <x:c r="H183" s="14">
        <x:f>IF(B183="","", $F$8*COS(B183) - $B$7*$F$6*COS($F$6*B183))</x:f>
      </x:c>
    </x:row>
    <x:row r="184">
      <x:c r="A184" s="13" t="n">
        <x:v>165</x:v>
      </x:c>
      <x:c r="B184" s="14">
        <x:f>IF($B$12&lt;165,"",$B$13+(165-1)*($B$14-$B$13)/($B$12-1))</x:f>
      </x:c>
      <x:c r="C184" s="14">
        <x:f>IF(B184="","",$F$8*COS(B184) + $B$7*COS($F$6*B184))</x:f>
      </x:c>
      <x:c r="D184" s="14">
        <x:f>IF(B184="","",$F$8*SIN(B184) - $B$7*SIN($F$6*B184))</x:f>
      </x:c>
      <x:c r="E184" s="14">
        <x:f>IF(B184="","", C184 + $F$12*$F$9*(-H184)/IF(SQRT(G184^2+H184^2)=0,1,SQRT(G184^2+H184^2)))</x:f>
      </x:c>
      <x:c r="F184" s="14">
        <x:f>IF(B184="","", D184 + $F$12*$F$9*(G184)/IF(SQRT(G184^2+H184^2)=0,1,SQRT(G184^2+H184^2)))</x:f>
      </x:c>
      <x:c r="G184" s="14">
        <x:f>IF(B184="","", -$F$8*SIN(B184) - $B$7*$F$6*SIN($F$6*B184))</x:f>
      </x:c>
      <x:c r="H184" s="14">
        <x:f>IF(B184="","", $F$8*COS(B184) - $B$7*$F$6*COS($F$6*B184))</x:f>
      </x:c>
    </x:row>
    <x:row r="185">
      <x:c r="A185" s="13" t="n">
        <x:v>166</x:v>
      </x:c>
      <x:c r="B185" s="14">
        <x:f>IF($B$12&lt;166,"",$B$13+(166-1)*($B$14-$B$13)/($B$12-1))</x:f>
      </x:c>
      <x:c r="C185" s="14">
        <x:f>IF(B185="","",$F$8*COS(B185) + $B$7*COS($F$6*B185))</x:f>
      </x:c>
      <x:c r="D185" s="14">
        <x:f>IF(B185="","",$F$8*SIN(B185) - $B$7*SIN($F$6*B185))</x:f>
      </x:c>
      <x:c r="E185" s="14">
        <x:f>IF(B185="","", C185 + $F$12*$F$9*(-H185)/IF(SQRT(G185^2+H185^2)=0,1,SQRT(G185^2+H185^2)))</x:f>
      </x:c>
      <x:c r="F185" s="14">
        <x:f>IF(B185="","", D185 + $F$12*$F$9*(G185)/IF(SQRT(G185^2+H185^2)=0,1,SQRT(G185^2+H185^2)))</x:f>
      </x:c>
      <x:c r="G185" s="14">
        <x:f>IF(B185="","", -$F$8*SIN(B185) - $B$7*$F$6*SIN($F$6*B185))</x:f>
      </x:c>
      <x:c r="H185" s="14">
        <x:f>IF(B185="","", $F$8*COS(B185) - $B$7*$F$6*COS($F$6*B185))</x:f>
      </x:c>
    </x:row>
    <x:row r="186">
      <x:c r="A186" s="13" t="n">
        <x:v>167</x:v>
      </x:c>
      <x:c r="B186" s="14">
        <x:f>IF($B$12&lt;167,"",$B$13+(167-1)*($B$14-$B$13)/($B$12-1))</x:f>
      </x:c>
      <x:c r="C186" s="14">
        <x:f>IF(B186="","",$F$8*COS(B186) + $B$7*COS($F$6*B186))</x:f>
      </x:c>
      <x:c r="D186" s="14">
        <x:f>IF(B186="","",$F$8*SIN(B186) - $B$7*SIN($F$6*B186))</x:f>
      </x:c>
      <x:c r="E186" s="14">
        <x:f>IF(B186="","", C186 + $F$12*$F$9*(-H186)/IF(SQRT(G186^2+H186^2)=0,1,SQRT(G186^2+H186^2)))</x:f>
      </x:c>
      <x:c r="F186" s="14">
        <x:f>IF(B186="","", D186 + $F$12*$F$9*(G186)/IF(SQRT(G186^2+H186^2)=0,1,SQRT(G186^2+H186^2)))</x:f>
      </x:c>
      <x:c r="G186" s="14">
        <x:f>IF(B186="","", -$F$8*SIN(B186) - $B$7*$F$6*SIN($F$6*B186))</x:f>
      </x:c>
      <x:c r="H186" s="14">
        <x:f>IF(B186="","", $F$8*COS(B186) - $B$7*$F$6*COS($F$6*B186))</x:f>
      </x:c>
    </x:row>
    <x:row r="187">
      <x:c r="A187" s="13" t="n">
        <x:v>168</x:v>
      </x:c>
      <x:c r="B187" s="14">
        <x:f>IF($B$12&lt;168,"",$B$13+(168-1)*($B$14-$B$13)/($B$12-1))</x:f>
      </x:c>
      <x:c r="C187" s="14">
        <x:f>IF(B187="","",$F$8*COS(B187) + $B$7*COS($F$6*B187))</x:f>
      </x:c>
      <x:c r="D187" s="14">
        <x:f>IF(B187="","",$F$8*SIN(B187) - $B$7*SIN($F$6*B187))</x:f>
      </x:c>
      <x:c r="E187" s="14">
        <x:f>IF(B187="","", C187 + $F$12*$F$9*(-H187)/IF(SQRT(G187^2+H187^2)=0,1,SQRT(G187^2+H187^2)))</x:f>
      </x:c>
      <x:c r="F187" s="14">
        <x:f>IF(B187="","", D187 + $F$12*$F$9*(G187)/IF(SQRT(G187^2+H187^2)=0,1,SQRT(G187^2+H187^2)))</x:f>
      </x:c>
      <x:c r="G187" s="14">
        <x:f>IF(B187="","", -$F$8*SIN(B187) - $B$7*$F$6*SIN($F$6*B187))</x:f>
      </x:c>
      <x:c r="H187" s="14">
        <x:f>IF(B187="","", $F$8*COS(B187) - $B$7*$F$6*COS($F$6*B187))</x:f>
      </x:c>
    </x:row>
    <x:row r="188">
      <x:c r="A188" s="13" t="n">
        <x:v>169</x:v>
      </x:c>
      <x:c r="B188" s="14">
        <x:f>IF($B$12&lt;169,"",$B$13+(169-1)*($B$14-$B$13)/($B$12-1))</x:f>
      </x:c>
      <x:c r="C188" s="14">
        <x:f>IF(B188="","",$F$8*COS(B188) + $B$7*COS($F$6*B188))</x:f>
      </x:c>
      <x:c r="D188" s="14">
        <x:f>IF(B188="","",$F$8*SIN(B188) - $B$7*SIN($F$6*B188))</x:f>
      </x:c>
      <x:c r="E188" s="14">
        <x:f>IF(B188="","", C188 + $F$12*$F$9*(-H188)/IF(SQRT(G188^2+H188^2)=0,1,SQRT(G188^2+H188^2)))</x:f>
      </x:c>
      <x:c r="F188" s="14">
        <x:f>IF(B188="","", D188 + $F$12*$F$9*(G188)/IF(SQRT(G188^2+H188^2)=0,1,SQRT(G188^2+H188^2)))</x:f>
      </x:c>
      <x:c r="G188" s="14">
        <x:f>IF(B188="","", -$F$8*SIN(B188) - $B$7*$F$6*SIN($F$6*B188))</x:f>
      </x:c>
      <x:c r="H188" s="14">
        <x:f>IF(B188="","", $F$8*COS(B188) - $B$7*$F$6*COS($F$6*B188))</x:f>
      </x:c>
    </x:row>
    <x:row r="189">
      <x:c r="A189" s="13" t="n">
        <x:v>170</x:v>
      </x:c>
      <x:c r="B189" s="14">
        <x:f>IF($B$12&lt;170,"",$B$13+(170-1)*($B$14-$B$13)/($B$12-1))</x:f>
      </x:c>
      <x:c r="C189" s="14">
        <x:f>IF(B189="","",$F$8*COS(B189) + $B$7*COS($F$6*B189))</x:f>
      </x:c>
      <x:c r="D189" s="14">
        <x:f>IF(B189="","",$F$8*SIN(B189) - $B$7*SIN($F$6*B189))</x:f>
      </x:c>
      <x:c r="E189" s="14">
        <x:f>IF(B189="","", C189 + $F$12*$F$9*(-H189)/IF(SQRT(G189^2+H189^2)=0,1,SQRT(G189^2+H189^2)))</x:f>
      </x:c>
      <x:c r="F189" s="14">
        <x:f>IF(B189="","", D189 + $F$12*$F$9*(G189)/IF(SQRT(G189^2+H189^2)=0,1,SQRT(G189^2+H189^2)))</x:f>
      </x:c>
      <x:c r="G189" s="14">
        <x:f>IF(B189="","", -$F$8*SIN(B189) - $B$7*$F$6*SIN($F$6*B189))</x:f>
      </x:c>
      <x:c r="H189" s="14">
        <x:f>IF(B189="","", $F$8*COS(B189) - $B$7*$F$6*COS($F$6*B189))</x:f>
      </x:c>
    </x:row>
    <x:row r="190">
      <x:c r="A190" s="13" t="n">
        <x:v>171</x:v>
      </x:c>
      <x:c r="B190" s="14">
        <x:f>IF($B$12&lt;171,"",$B$13+(171-1)*($B$14-$B$13)/($B$12-1))</x:f>
      </x:c>
      <x:c r="C190" s="14">
        <x:f>IF(B190="","",$F$8*COS(B190) + $B$7*COS($F$6*B190))</x:f>
      </x:c>
      <x:c r="D190" s="14">
        <x:f>IF(B190="","",$F$8*SIN(B190) - $B$7*SIN($F$6*B190))</x:f>
      </x:c>
      <x:c r="E190" s="14">
        <x:f>IF(B190="","", C190 + $F$12*$F$9*(-H190)/IF(SQRT(G190^2+H190^2)=0,1,SQRT(G190^2+H190^2)))</x:f>
      </x:c>
      <x:c r="F190" s="14">
        <x:f>IF(B190="","", D190 + $F$12*$F$9*(G190)/IF(SQRT(G190^2+H190^2)=0,1,SQRT(G190^2+H190^2)))</x:f>
      </x:c>
      <x:c r="G190" s="14">
        <x:f>IF(B190="","", -$F$8*SIN(B190) - $B$7*$F$6*SIN($F$6*B190))</x:f>
      </x:c>
      <x:c r="H190" s="14">
        <x:f>IF(B190="","", $F$8*COS(B190) - $B$7*$F$6*COS($F$6*B190))</x:f>
      </x:c>
    </x:row>
    <x:row r="191">
      <x:c r="A191" s="13" t="n">
        <x:v>172</x:v>
      </x:c>
      <x:c r="B191" s="14">
        <x:f>IF($B$12&lt;172,"",$B$13+(172-1)*($B$14-$B$13)/($B$12-1))</x:f>
      </x:c>
      <x:c r="C191" s="14">
        <x:f>IF(B191="","",$F$8*COS(B191) + $B$7*COS($F$6*B191))</x:f>
      </x:c>
      <x:c r="D191" s="14">
        <x:f>IF(B191="","",$F$8*SIN(B191) - $B$7*SIN($F$6*B191))</x:f>
      </x:c>
      <x:c r="E191" s="14">
        <x:f>IF(B191="","", C191 + $F$12*$F$9*(-H191)/IF(SQRT(G191^2+H191^2)=0,1,SQRT(G191^2+H191^2)))</x:f>
      </x:c>
      <x:c r="F191" s="14">
        <x:f>IF(B191="","", D191 + $F$12*$F$9*(G191)/IF(SQRT(G191^2+H191^2)=0,1,SQRT(G191^2+H191^2)))</x:f>
      </x:c>
      <x:c r="G191" s="14">
        <x:f>IF(B191="","", -$F$8*SIN(B191) - $B$7*$F$6*SIN($F$6*B191))</x:f>
      </x:c>
      <x:c r="H191" s="14">
        <x:f>IF(B191="","", $F$8*COS(B191) - $B$7*$F$6*COS($F$6*B191))</x:f>
      </x:c>
    </x:row>
    <x:row r="192">
      <x:c r="A192" s="13" t="n">
        <x:v>173</x:v>
      </x:c>
      <x:c r="B192" s="14">
        <x:f>IF($B$12&lt;173,"",$B$13+(173-1)*($B$14-$B$13)/($B$12-1))</x:f>
      </x:c>
      <x:c r="C192" s="14">
        <x:f>IF(B192="","",$F$8*COS(B192) + $B$7*COS($F$6*B192))</x:f>
      </x:c>
      <x:c r="D192" s="14">
        <x:f>IF(B192="","",$F$8*SIN(B192) - $B$7*SIN($F$6*B192))</x:f>
      </x:c>
      <x:c r="E192" s="14">
        <x:f>IF(B192="","", C192 + $F$12*$F$9*(-H192)/IF(SQRT(G192^2+H192^2)=0,1,SQRT(G192^2+H192^2)))</x:f>
      </x:c>
      <x:c r="F192" s="14">
        <x:f>IF(B192="","", D192 + $F$12*$F$9*(G192)/IF(SQRT(G192^2+H192^2)=0,1,SQRT(G192^2+H192^2)))</x:f>
      </x:c>
      <x:c r="G192" s="14">
        <x:f>IF(B192="","", -$F$8*SIN(B192) - $B$7*$F$6*SIN($F$6*B192))</x:f>
      </x:c>
      <x:c r="H192" s="14">
        <x:f>IF(B192="","", $F$8*COS(B192) - $B$7*$F$6*COS($F$6*B192))</x:f>
      </x:c>
    </x:row>
    <x:row r="193">
      <x:c r="A193" s="13" t="n">
        <x:v>174</x:v>
      </x:c>
      <x:c r="B193" s="14">
        <x:f>IF($B$12&lt;174,"",$B$13+(174-1)*($B$14-$B$13)/($B$12-1))</x:f>
      </x:c>
      <x:c r="C193" s="14">
        <x:f>IF(B193="","",$F$8*COS(B193) + $B$7*COS($F$6*B193))</x:f>
      </x:c>
      <x:c r="D193" s="14">
        <x:f>IF(B193="","",$F$8*SIN(B193) - $B$7*SIN($F$6*B193))</x:f>
      </x:c>
      <x:c r="E193" s="14">
        <x:f>IF(B193="","", C193 + $F$12*$F$9*(-H193)/IF(SQRT(G193^2+H193^2)=0,1,SQRT(G193^2+H193^2)))</x:f>
      </x:c>
      <x:c r="F193" s="14">
        <x:f>IF(B193="","", D193 + $F$12*$F$9*(G193)/IF(SQRT(G193^2+H193^2)=0,1,SQRT(G193^2+H193^2)))</x:f>
      </x:c>
      <x:c r="G193" s="14">
        <x:f>IF(B193="","", -$F$8*SIN(B193) - $B$7*$F$6*SIN($F$6*B193))</x:f>
      </x:c>
      <x:c r="H193" s="14">
        <x:f>IF(B193="","", $F$8*COS(B193) - $B$7*$F$6*COS($F$6*B193))</x:f>
      </x:c>
    </x:row>
    <x:row r="194">
      <x:c r="A194" s="13" t="n">
        <x:v>175</x:v>
      </x:c>
      <x:c r="B194" s="14">
        <x:f>IF($B$12&lt;175,"",$B$13+(175-1)*($B$14-$B$13)/($B$12-1))</x:f>
      </x:c>
      <x:c r="C194" s="14">
        <x:f>IF(B194="","",$F$8*COS(B194) + $B$7*COS($F$6*B194))</x:f>
      </x:c>
      <x:c r="D194" s="14">
        <x:f>IF(B194="","",$F$8*SIN(B194) - $B$7*SIN($F$6*B194))</x:f>
      </x:c>
      <x:c r="E194" s="14">
        <x:f>IF(B194="","", C194 + $F$12*$F$9*(-H194)/IF(SQRT(G194^2+H194^2)=0,1,SQRT(G194^2+H194^2)))</x:f>
      </x:c>
      <x:c r="F194" s="14">
        <x:f>IF(B194="","", D194 + $F$12*$F$9*(G194)/IF(SQRT(G194^2+H194^2)=0,1,SQRT(G194^2+H194^2)))</x:f>
      </x:c>
      <x:c r="G194" s="14">
        <x:f>IF(B194="","", -$F$8*SIN(B194) - $B$7*$F$6*SIN($F$6*B194))</x:f>
      </x:c>
      <x:c r="H194" s="14">
        <x:f>IF(B194="","", $F$8*COS(B194) - $B$7*$F$6*COS($F$6*B194))</x:f>
      </x:c>
    </x:row>
    <x:row r="195">
      <x:c r="A195" s="13" t="n">
        <x:v>176</x:v>
      </x:c>
      <x:c r="B195" s="14">
        <x:f>IF($B$12&lt;176,"",$B$13+(176-1)*($B$14-$B$13)/($B$12-1))</x:f>
      </x:c>
      <x:c r="C195" s="14">
        <x:f>IF(B195="","",$F$8*COS(B195) + $B$7*COS($F$6*B195))</x:f>
      </x:c>
      <x:c r="D195" s="14">
        <x:f>IF(B195="","",$F$8*SIN(B195) - $B$7*SIN($F$6*B195))</x:f>
      </x:c>
      <x:c r="E195" s="14">
        <x:f>IF(B195="","", C195 + $F$12*$F$9*(-H195)/IF(SQRT(G195^2+H195^2)=0,1,SQRT(G195^2+H195^2)))</x:f>
      </x:c>
      <x:c r="F195" s="14">
        <x:f>IF(B195="","", D195 + $F$12*$F$9*(G195)/IF(SQRT(G195^2+H195^2)=0,1,SQRT(G195^2+H195^2)))</x:f>
      </x:c>
      <x:c r="G195" s="14">
        <x:f>IF(B195="","", -$F$8*SIN(B195) - $B$7*$F$6*SIN($F$6*B195))</x:f>
      </x:c>
      <x:c r="H195" s="14">
        <x:f>IF(B195="","", $F$8*COS(B195) - $B$7*$F$6*COS($F$6*B195))</x:f>
      </x:c>
    </x:row>
    <x:row r="196">
      <x:c r="A196" s="13" t="n">
        <x:v>177</x:v>
      </x:c>
      <x:c r="B196" s="14">
        <x:f>IF($B$12&lt;177,"",$B$13+(177-1)*($B$14-$B$13)/($B$12-1))</x:f>
      </x:c>
      <x:c r="C196" s="14">
        <x:f>IF(B196="","",$F$8*COS(B196) + $B$7*COS($F$6*B196))</x:f>
      </x:c>
      <x:c r="D196" s="14">
        <x:f>IF(B196="","",$F$8*SIN(B196) - $B$7*SIN($F$6*B196))</x:f>
      </x:c>
      <x:c r="E196" s="14">
        <x:f>IF(B196="","", C196 + $F$12*$F$9*(-H196)/IF(SQRT(G196^2+H196^2)=0,1,SQRT(G196^2+H196^2)))</x:f>
      </x:c>
      <x:c r="F196" s="14">
        <x:f>IF(B196="","", D196 + $F$12*$F$9*(G196)/IF(SQRT(G196^2+H196^2)=0,1,SQRT(G196^2+H196^2)))</x:f>
      </x:c>
      <x:c r="G196" s="14">
        <x:f>IF(B196="","", -$F$8*SIN(B196) - $B$7*$F$6*SIN($F$6*B196))</x:f>
      </x:c>
      <x:c r="H196" s="14">
        <x:f>IF(B196="","", $F$8*COS(B196) - $B$7*$F$6*COS($F$6*B196))</x:f>
      </x:c>
    </x:row>
    <x:row r="197">
      <x:c r="A197" s="13" t="n">
        <x:v>178</x:v>
      </x:c>
      <x:c r="B197" s="14">
        <x:f>IF($B$12&lt;178,"",$B$13+(178-1)*($B$14-$B$13)/($B$12-1))</x:f>
      </x:c>
      <x:c r="C197" s="14">
        <x:f>IF(B197="","",$F$8*COS(B197) + $B$7*COS($F$6*B197))</x:f>
      </x:c>
      <x:c r="D197" s="14">
        <x:f>IF(B197="","",$F$8*SIN(B197) - $B$7*SIN($F$6*B197))</x:f>
      </x:c>
      <x:c r="E197" s="14">
        <x:f>IF(B197="","", C197 + $F$12*$F$9*(-H197)/IF(SQRT(G197^2+H197^2)=0,1,SQRT(G197^2+H197^2)))</x:f>
      </x:c>
      <x:c r="F197" s="14">
        <x:f>IF(B197="","", D197 + $F$12*$F$9*(G197)/IF(SQRT(G197^2+H197^2)=0,1,SQRT(G197^2+H197^2)))</x:f>
      </x:c>
      <x:c r="G197" s="14">
        <x:f>IF(B197="","", -$F$8*SIN(B197) - $B$7*$F$6*SIN($F$6*B197))</x:f>
      </x:c>
      <x:c r="H197" s="14">
        <x:f>IF(B197="","", $F$8*COS(B197) - $B$7*$F$6*COS($F$6*B197))</x:f>
      </x:c>
    </x:row>
    <x:row r="198">
      <x:c r="A198" s="13" t="n">
        <x:v>179</x:v>
      </x:c>
      <x:c r="B198" s="14">
        <x:f>IF($B$12&lt;179,"",$B$13+(179-1)*($B$14-$B$13)/($B$12-1))</x:f>
      </x:c>
      <x:c r="C198" s="14">
        <x:f>IF(B198="","",$F$8*COS(B198) + $B$7*COS($F$6*B198))</x:f>
      </x:c>
      <x:c r="D198" s="14">
        <x:f>IF(B198="","",$F$8*SIN(B198) - $B$7*SIN($F$6*B198))</x:f>
      </x:c>
      <x:c r="E198" s="14">
        <x:f>IF(B198="","", C198 + $F$12*$F$9*(-H198)/IF(SQRT(G198^2+H198^2)=0,1,SQRT(G198^2+H198^2)))</x:f>
      </x:c>
      <x:c r="F198" s="14">
        <x:f>IF(B198="","", D198 + $F$12*$F$9*(G198)/IF(SQRT(G198^2+H198^2)=0,1,SQRT(G198^2+H198^2)))</x:f>
      </x:c>
      <x:c r="G198" s="14">
        <x:f>IF(B198="","", -$F$8*SIN(B198) - $B$7*$F$6*SIN($F$6*B198))</x:f>
      </x:c>
      <x:c r="H198" s="14">
        <x:f>IF(B198="","", $F$8*COS(B198) - $B$7*$F$6*COS($F$6*B198))</x:f>
      </x:c>
    </x:row>
    <x:row r="199">
      <x:c r="A199" s="13" t="n">
        <x:v>180</x:v>
      </x:c>
      <x:c r="B199" s="14">
        <x:f>IF($B$12&lt;180,"",$B$13+(180-1)*($B$14-$B$13)/($B$12-1))</x:f>
      </x:c>
      <x:c r="C199" s="14">
        <x:f>IF(B199="","",$F$8*COS(B199) + $B$7*COS($F$6*B199))</x:f>
      </x:c>
      <x:c r="D199" s="14">
        <x:f>IF(B199="","",$F$8*SIN(B199) - $B$7*SIN($F$6*B199))</x:f>
      </x:c>
      <x:c r="E199" s="14">
        <x:f>IF(B199="","", C199 + $F$12*$F$9*(-H199)/IF(SQRT(G199^2+H199^2)=0,1,SQRT(G199^2+H199^2)))</x:f>
      </x:c>
      <x:c r="F199" s="14">
        <x:f>IF(B199="","", D199 + $F$12*$F$9*(G199)/IF(SQRT(G199^2+H199^2)=0,1,SQRT(G199^2+H199^2)))</x:f>
      </x:c>
      <x:c r="G199" s="14">
        <x:f>IF(B199="","", -$F$8*SIN(B199) - $B$7*$F$6*SIN($F$6*B199))</x:f>
      </x:c>
      <x:c r="H199" s="14">
        <x:f>IF(B199="","", $F$8*COS(B199) - $B$7*$F$6*COS($F$6*B199))</x:f>
      </x:c>
    </x:row>
    <x:row r="200">
      <x:c r="A200" s="13" t="n">
        <x:v>181</x:v>
      </x:c>
      <x:c r="B200" s="14">
        <x:f>IF($B$12&lt;181,"",$B$13+(181-1)*($B$14-$B$13)/($B$12-1))</x:f>
      </x:c>
      <x:c r="C200" s="14">
        <x:f>IF(B200="","",$F$8*COS(B200) + $B$7*COS($F$6*B200))</x:f>
      </x:c>
      <x:c r="D200" s="14">
        <x:f>IF(B200="","",$F$8*SIN(B200) - $B$7*SIN($F$6*B200))</x:f>
      </x:c>
      <x:c r="E200" s="14">
        <x:f>IF(B200="","", C200 + $F$12*$F$9*(-H200)/IF(SQRT(G200^2+H200^2)=0,1,SQRT(G200^2+H200^2)))</x:f>
      </x:c>
      <x:c r="F200" s="14">
        <x:f>IF(B200="","", D200 + $F$12*$F$9*(G200)/IF(SQRT(G200^2+H200^2)=0,1,SQRT(G200^2+H200^2)))</x:f>
      </x:c>
      <x:c r="G200" s="14">
        <x:f>IF(B200="","", -$F$8*SIN(B200) - $B$7*$F$6*SIN($F$6*B200))</x:f>
      </x:c>
      <x:c r="H200" s="14">
        <x:f>IF(B200="","", $F$8*COS(B200) - $B$7*$F$6*COS($F$6*B200))</x:f>
      </x:c>
    </x:row>
    <x:row r="201">
      <x:c r="A201" s="13" t="n">
        <x:v>182</x:v>
      </x:c>
      <x:c r="B201" s="14">
        <x:f>IF($B$12&lt;182,"",$B$13+(182-1)*($B$14-$B$13)/($B$12-1))</x:f>
      </x:c>
      <x:c r="C201" s="14">
        <x:f>IF(B201="","",$F$8*COS(B201) + $B$7*COS($F$6*B201))</x:f>
      </x:c>
      <x:c r="D201" s="14">
        <x:f>IF(B201="","",$F$8*SIN(B201) - $B$7*SIN($F$6*B201))</x:f>
      </x:c>
      <x:c r="E201" s="14">
        <x:f>IF(B201="","", C201 + $F$12*$F$9*(-H201)/IF(SQRT(G201^2+H201^2)=0,1,SQRT(G201^2+H201^2)))</x:f>
      </x:c>
      <x:c r="F201" s="14">
        <x:f>IF(B201="","", D201 + $F$12*$F$9*(G201)/IF(SQRT(G201^2+H201^2)=0,1,SQRT(G201^2+H201^2)))</x:f>
      </x:c>
      <x:c r="G201" s="14">
        <x:f>IF(B201="","", -$F$8*SIN(B201) - $B$7*$F$6*SIN($F$6*B201))</x:f>
      </x:c>
      <x:c r="H201" s="14">
        <x:f>IF(B201="","", $F$8*COS(B201) - $B$7*$F$6*COS($F$6*B201))</x:f>
      </x:c>
    </x:row>
    <x:row r="202">
      <x:c r="A202" s="13" t="n">
        <x:v>183</x:v>
      </x:c>
      <x:c r="B202" s="14">
        <x:f>IF($B$12&lt;183,"",$B$13+(183-1)*($B$14-$B$13)/($B$12-1))</x:f>
      </x:c>
      <x:c r="C202" s="14">
        <x:f>IF(B202="","",$F$8*COS(B202) + $B$7*COS($F$6*B202))</x:f>
      </x:c>
      <x:c r="D202" s="14">
        <x:f>IF(B202="","",$F$8*SIN(B202) - $B$7*SIN($F$6*B202))</x:f>
      </x:c>
      <x:c r="E202" s="14">
        <x:f>IF(B202="","", C202 + $F$12*$F$9*(-H202)/IF(SQRT(G202^2+H202^2)=0,1,SQRT(G202^2+H202^2)))</x:f>
      </x:c>
      <x:c r="F202" s="14">
        <x:f>IF(B202="","", D202 + $F$12*$F$9*(G202)/IF(SQRT(G202^2+H202^2)=0,1,SQRT(G202^2+H202^2)))</x:f>
      </x:c>
      <x:c r="G202" s="14">
        <x:f>IF(B202="","", -$F$8*SIN(B202) - $B$7*$F$6*SIN($F$6*B202))</x:f>
      </x:c>
      <x:c r="H202" s="14">
        <x:f>IF(B202="","", $F$8*COS(B202) - $B$7*$F$6*COS($F$6*B202))</x:f>
      </x:c>
    </x:row>
    <x:row r="203">
      <x:c r="A203" s="13" t="n">
        <x:v>184</x:v>
      </x:c>
      <x:c r="B203" s="14">
        <x:f>IF($B$12&lt;184,"",$B$13+(184-1)*($B$14-$B$13)/($B$12-1))</x:f>
      </x:c>
      <x:c r="C203" s="14">
        <x:f>IF(B203="","",$F$8*COS(B203) + $B$7*COS($F$6*B203))</x:f>
      </x:c>
      <x:c r="D203" s="14">
        <x:f>IF(B203="","",$F$8*SIN(B203) - $B$7*SIN($F$6*B203))</x:f>
      </x:c>
      <x:c r="E203" s="14">
        <x:f>IF(B203="","", C203 + $F$12*$F$9*(-H203)/IF(SQRT(G203^2+H203^2)=0,1,SQRT(G203^2+H203^2)))</x:f>
      </x:c>
      <x:c r="F203" s="14">
        <x:f>IF(B203="","", D203 + $F$12*$F$9*(G203)/IF(SQRT(G203^2+H203^2)=0,1,SQRT(G203^2+H203^2)))</x:f>
      </x:c>
      <x:c r="G203" s="14">
        <x:f>IF(B203="","", -$F$8*SIN(B203) - $B$7*$F$6*SIN($F$6*B203))</x:f>
      </x:c>
      <x:c r="H203" s="14">
        <x:f>IF(B203="","", $F$8*COS(B203) - $B$7*$F$6*COS($F$6*B203))</x:f>
      </x:c>
    </x:row>
    <x:row r="204">
      <x:c r="A204" s="13" t="n">
        <x:v>185</x:v>
      </x:c>
      <x:c r="B204" s="14">
        <x:f>IF($B$12&lt;185,"",$B$13+(185-1)*($B$14-$B$13)/($B$12-1))</x:f>
      </x:c>
      <x:c r="C204" s="14">
        <x:f>IF(B204="","",$F$8*COS(B204) + $B$7*COS($F$6*B204))</x:f>
      </x:c>
      <x:c r="D204" s="14">
        <x:f>IF(B204="","",$F$8*SIN(B204) - $B$7*SIN($F$6*B204))</x:f>
      </x:c>
      <x:c r="E204" s="14">
        <x:f>IF(B204="","", C204 + $F$12*$F$9*(-H204)/IF(SQRT(G204^2+H204^2)=0,1,SQRT(G204^2+H204^2)))</x:f>
      </x:c>
      <x:c r="F204" s="14">
        <x:f>IF(B204="","", D204 + $F$12*$F$9*(G204)/IF(SQRT(G204^2+H204^2)=0,1,SQRT(G204^2+H204^2)))</x:f>
      </x:c>
      <x:c r="G204" s="14">
        <x:f>IF(B204="","", -$F$8*SIN(B204) - $B$7*$F$6*SIN($F$6*B204))</x:f>
      </x:c>
      <x:c r="H204" s="14">
        <x:f>IF(B204="","", $F$8*COS(B204) - $B$7*$F$6*COS($F$6*B204))</x:f>
      </x:c>
    </x:row>
    <x:row r="205">
      <x:c r="A205" s="13" t="n">
        <x:v>186</x:v>
      </x:c>
      <x:c r="B205" s="14">
        <x:f>IF($B$12&lt;186,"",$B$13+(186-1)*($B$14-$B$13)/($B$12-1))</x:f>
      </x:c>
      <x:c r="C205" s="14">
        <x:f>IF(B205="","",$F$8*COS(B205) + $B$7*COS($F$6*B205))</x:f>
      </x:c>
      <x:c r="D205" s="14">
        <x:f>IF(B205="","",$F$8*SIN(B205) - $B$7*SIN($F$6*B205))</x:f>
      </x:c>
      <x:c r="E205" s="14">
        <x:f>IF(B205="","", C205 + $F$12*$F$9*(-H205)/IF(SQRT(G205^2+H205^2)=0,1,SQRT(G205^2+H205^2)))</x:f>
      </x:c>
      <x:c r="F205" s="14">
        <x:f>IF(B205="","", D205 + $F$12*$F$9*(G205)/IF(SQRT(G205^2+H205^2)=0,1,SQRT(G205^2+H205^2)))</x:f>
      </x:c>
      <x:c r="G205" s="14">
        <x:f>IF(B205="","", -$F$8*SIN(B205) - $B$7*$F$6*SIN($F$6*B205))</x:f>
      </x:c>
      <x:c r="H205" s="14">
        <x:f>IF(B205="","", $F$8*COS(B205) - $B$7*$F$6*COS($F$6*B205))</x:f>
      </x:c>
    </x:row>
    <x:row r="206">
      <x:c r="A206" s="13" t="n">
        <x:v>187</x:v>
      </x:c>
      <x:c r="B206" s="14">
        <x:f>IF($B$12&lt;187,"",$B$13+(187-1)*($B$14-$B$13)/($B$12-1))</x:f>
      </x:c>
      <x:c r="C206" s="14">
        <x:f>IF(B206="","",$F$8*COS(B206) + $B$7*COS($F$6*B206))</x:f>
      </x:c>
      <x:c r="D206" s="14">
        <x:f>IF(B206="","",$F$8*SIN(B206) - $B$7*SIN($F$6*B206))</x:f>
      </x:c>
      <x:c r="E206" s="14">
        <x:f>IF(B206="","", C206 + $F$12*$F$9*(-H206)/IF(SQRT(G206^2+H206^2)=0,1,SQRT(G206^2+H206^2)))</x:f>
      </x:c>
      <x:c r="F206" s="14">
        <x:f>IF(B206="","", D206 + $F$12*$F$9*(G206)/IF(SQRT(G206^2+H206^2)=0,1,SQRT(G206^2+H206^2)))</x:f>
      </x:c>
      <x:c r="G206" s="14">
        <x:f>IF(B206="","", -$F$8*SIN(B206) - $B$7*$F$6*SIN($F$6*B206))</x:f>
      </x:c>
      <x:c r="H206" s="14">
        <x:f>IF(B206="","", $F$8*COS(B206) - $B$7*$F$6*COS($F$6*B206))</x:f>
      </x:c>
    </x:row>
    <x:row r="207">
      <x:c r="A207" s="13" t="n">
        <x:v>188</x:v>
      </x:c>
      <x:c r="B207" s="14">
        <x:f>IF($B$12&lt;188,"",$B$13+(188-1)*($B$14-$B$13)/($B$12-1))</x:f>
      </x:c>
      <x:c r="C207" s="14">
        <x:f>IF(B207="","",$F$8*COS(B207) + $B$7*COS($F$6*B207))</x:f>
      </x:c>
      <x:c r="D207" s="14">
        <x:f>IF(B207="","",$F$8*SIN(B207) - $B$7*SIN($F$6*B207))</x:f>
      </x:c>
      <x:c r="E207" s="14">
        <x:f>IF(B207="","", C207 + $F$12*$F$9*(-H207)/IF(SQRT(G207^2+H207^2)=0,1,SQRT(G207^2+H207^2)))</x:f>
      </x:c>
      <x:c r="F207" s="14">
        <x:f>IF(B207="","", D207 + $F$12*$F$9*(G207)/IF(SQRT(G207^2+H207^2)=0,1,SQRT(G207^2+H207^2)))</x:f>
      </x:c>
      <x:c r="G207" s="14">
        <x:f>IF(B207="","", -$F$8*SIN(B207) - $B$7*$F$6*SIN($F$6*B207))</x:f>
      </x:c>
      <x:c r="H207" s="14">
        <x:f>IF(B207="","", $F$8*COS(B207) - $B$7*$F$6*COS($F$6*B207))</x:f>
      </x:c>
    </x:row>
    <x:row r="208">
      <x:c r="A208" s="13" t="n">
        <x:v>189</x:v>
      </x:c>
      <x:c r="B208" s="14">
        <x:f>IF($B$12&lt;189,"",$B$13+(189-1)*($B$14-$B$13)/($B$12-1))</x:f>
      </x:c>
      <x:c r="C208" s="14">
        <x:f>IF(B208="","",$F$8*COS(B208) + $B$7*COS($F$6*B208))</x:f>
      </x:c>
      <x:c r="D208" s="14">
        <x:f>IF(B208="","",$F$8*SIN(B208) - $B$7*SIN($F$6*B208))</x:f>
      </x:c>
      <x:c r="E208" s="14">
        <x:f>IF(B208="","", C208 + $F$12*$F$9*(-H208)/IF(SQRT(G208^2+H208^2)=0,1,SQRT(G208^2+H208^2)))</x:f>
      </x:c>
      <x:c r="F208" s="14">
        <x:f>IF(B208="","", D208 + $F$12*$F$9*(G208)/IF(SQRT(G208^2+H208^2)=0,1,SQRT(G208^2+H208^2)))</x:f>
      </x:c>
      <x:c r="G208" s="14">
        <x:f>IF(B208="","", -$F$8*SIN(B208) - $B$7*$F$6*SIN($F$6*B208))</x:f>
      </x:c>
      <x:c r="H208" s="14">
        <x:f>IF(B208="","", $F$8*COS(B208) - $B$7*$F$6*COS($F$6*B208))</x:f>
      </x:c>
    </x:row>
    <x:row r="209">
      <x:c r="A209" s="13" t="n">
        <x:v>190</x:v>
      </x:c>
      <x:c r="B209" s="14">
        <x:f>IF($B$12&lt;190,"",$B$13+(190-1)*($B$14-$B$13)/($B$12-1))</x:f>
      </x:c>
      <x:c r="C209" s="14">
        <x:f>IF(B209="","",$F$8*COS(B209) + $B$7*COS($F$6*B209))</x:f>
      </x:c>
      <x:c r="D209" s="14">
        <x:f>IF(B209="","",$F$8*SIN(B209) - $B$7*SIN($F$6*B209))</x:f>
      </x:c>
      <x:c r="E209" s="14">
        <x:f>IF(B209="","", C209 + $F$12*$F$9*(-H209)/IF(SQRT(G209^2+H209^2)=0,1,SQRT(G209^2+H209^2)))</x:f>
      </x:c>
      <x:c r="F209" s="14">
        <x:f>IF(B209="","", D209 + $F$12*$F$9*(G209)/IF(SQRT(G209^2+H209^2)=0,1,SQRT(G209^2+H209^2)))</x:f>
      </x:c>
      <x:c r="G209" s="14">
        <x:f>IF(B209="","", -$F$8*SIN(B209) - $B$7*$F$6*SIN($F$6*B209))</x:f>
      </x:c>
      <x:c r="H209" s="14">
        <x:f>IF(B209="","", $F$8*COS(B209) - $B$7*$F$6*COS($F$6*B209))</x:f>
      </x:c>
    </x:row>
    <x:row r="210">
      <x:c r="A210" s="13" t="n">
        <x:v>191</x:v>
      </x:c>
      <x:c r="B210" s="14">
        <x:f>IF($B$12&lt;191,"",$B$13+(191-1)*($B$14-$B$13)/($B$12-1))</x:f>
      </x:c>
      <x:c r="C210" s="14">
        <x:f>IF(B210="","",$F$8*COS(B210) + $B$7*COS($F$6*B210))</x:f>
      </x:c>
      <x:c r="D210" s="14">
        <x:f>IF(B210="","",$F$8*SIN(B210) - $B$7*SIN($F$6*B210))</x:f>
      </x:c>
      <x:c r="E210" s="14">
        <x:f>IF(B210="","", C210 + $F$12*$F$9*(-H210)/IF(SQRT(G210^2+H210^2)=0,1,SQRT(G210^2+H210^2)))</x:f>
      </x:c>
      <x:c r="F210" s="14">
        <x:f>IF(B210="","", D210 + $F$12*$F$9*(G210)/IF(SQRT(G210^2+H210^2)=0,1,SQRT(G210^2+H210^2)))</x:f>
      </x:c>
      <x:c r="G210" s="14">
        <x:f>IF(B210="","", -$F$8*SIN(B210) - $B$7*$F$6*SIN($F$6*B210))</x:f>
      </x:c>
      <x:c r="H210" s="14">
        <x:f>IF(B210="","", $F$8*COS(B210) - $B$7*$F$6*COS($F$6*B210))</x:f>
      </x:c>
    </x:row>
    <x:row r="211">
      <x:c r="A211" s="13" t="n">
        <x:v>192</x:v>
      </x:c>
      <x:c r="B211" s="14">
        <x:f>IF($B$12&lt;192,"",$B$13+(192-1)*($B$14-$B$13)/($B$12-1))</x:f>
      </x:c>
      <x:c r="C211" s="14">
        <x:f>IF(B211="","",$F$8*COS(B211) + $B$7*COS($F$6*B211))</x:f>
      </x:c>
      <x:c r="D211" s="14">
        <x:f>IF(B211="","",$F$8*SIN(B211) - $B$7*SIN($F$6*B211))</x:f>
      </x:c>
      <x:c r="E211" s="14">
        <x:f>IF(B211="","", C211 + $F$12*$F$9*(-H211)/IF(SQRT(G211^2+H211^2)=0,1,SQRT(G211^2+H211^2)))</x:f>
      </x:c>
      <x:c r="F211" s="14">
        <x:f>IF(B211="","", D211 + $F$12*$F$9*(G211)/IF(SQRT(G211^2+H211^2)=0,1,SQRT(G211^2+H211^2)))</x:f>
      </x:c>
      <x:c r="G211" s="14">
        <x:f>IF(B211="","", -$F$8*SIN(B211) - $B$7*$F$6*SIN($F$6*B211))</x:f>
      </x:c>
      <x:c r="H211" s="14">
        <x:f>IF(B211="","", $F$8*COS(B211) - $B$7*$F$6*COS($F$6*B211))</x:f>
      </x:c>
    </x:row>
    <x:row r="212">
      <x:c r="A212" s="13" t="n">
        <x:v>193</x:v>
      </x:c>
      <x:c r="B212" s="14">
        <x:f>IF($B$12&lt;193,"",$B$13+(193-1)*($B$14-$B$13)/($B$12-1))</x:f>
      </x:c>
      <x:c r="C212" s="14">
        <x:f>IF(B212="","",$F$8*COS(B212) + $B$7*COS($F$6*B212))</x:f>
      </x:c>
      <x:c r="D212" s="14">
        <x:f>IF(B212="","",$F$8*SIN(B212) - $B$7*SIN($F$6*B212))</x:f>
      </x:c>
      <x:c r="E212" s="14">
        <x:f>IF(B212="","", C212 + $F$12*$F$9*(-H212)/IF(SQRT(G212^2+H212^2)=0,1,SQRT(G212^2+H212^2)))</x:f>
      </x:c>
      <x:c r="F212" s="14">
        <x:f>IF(B212="","", D212 + $F$12*$F$9*(G212)/IF(SQRT(G212^2+H212^2)=0,1,SQRT(G212^2+H212^2)))</x:f>
      </x:c>
      <x:c r="G212" s="14">
        <x:f>IF(B212="","", -$F$8*SIN(B212) - $B$7*$F$6*SIN($F$6*B212))</x:f>
      </x:c>
      <x:c r="H212" s="14">
        <x:f>IF(B212="","", $F$8*COS(B212) - $B$7*$F$6*COS($F$6*B212))</x:f>
      </x:c>
    </x:row>
    <x:row r="213">
      <x:c r="A213" s="13" t="n">
        <x:v>194</x:v>
      </x:c>
      <x:c r="B213" s="14">
        <x:f>IF($B$12&lt;194,"",$B$13+(194-1)*($B$14-$B$13)/($B$12-1))</x:f>
      </x:c>
      <x:c r="C213" s="14">
        <x:f>IF(B213="","",$F$8*COS(B213) + $B$7*COS($F$6*B213))</x:f>
      </x:c>
      <x:c r="D213" s="14">
        <x:f>IF(B213="","",$F$8*SIN(B213) - $B$7*SIN($F$6*B213))</x:f>
      </x:c>
      <x:c r="E213" s="14">
        <x:f>IF(B213="","", C213 + $F$12*$F$9*(-H213)/IF(SQRT(G213^2+H213^2)=0,1,SQRT(G213^2+H213^2)))</x:f>
      </x:c>
      <x:c r="F213" s="14">
        <x:f>IF(B213="","", D213 + $F$12*$F$9*(G213)/IF(SQRT(G213^2+H213^2)=0,1,SQRT(G213^2+H213^2)))</x:f>
      </x:c>
      <x:c r="G213" s="14">
        <x:f>IF(B213="","", -$F$8*SIN(B213) - $B$7*$F$6*SIN($F$6*B213))</x:f>
      </x:c>
      <x:c r="H213" s="14">
        <x:f>IF(B213="","", $F$8*COS(B213) - $B$7*$F$6*COS($F$6*B213))</x:f>
      </x:c>
    </x:row>
    <x:row r="214">
      <x:c r="A214" s="13" t="n">
        <x:v>195</x:v>
      </x:c>
      <x:c r="B214" s="14">
        <x:f>IF($B$12&lt;195,"",$B$13+(195-1)*($B$14-$B$13)/($B$12-1))</x:f>
      </x:c>
      <x:c r="C214" s="14">
        <x:f>IF(B214="","",$F$8*COS(B214) + $B$7*COS($F$6*B214))</x:f>
      </x:c>
      <x:c r="D214" s="14">
        <x:f>IF(B214="","",$F$8*SIN(B214) - $B$7*SIN($F$6*B214))</x:f>
      </x:c>
      <x:c r="E214" s="14">
        <x:f>IF(B214="","", C214 + $F$12*$F$9*(-H214)/IF(SQRT(G214^2+H214^2)=0,1,SQRT(G214^2+H214^2)))</x:f>
      </x:c>
      <x:c r="F214" s="14">
        <x:f>IF(B214="","", D214 + $F$12*$F$9*(G214)/IF(SQRT(G214^2+H214^2)=0,1,SQRT(G214^2+H214^2)))</x:f>
      </x:c>
      <x:c r="G214" s="14">
        <x:f>IF(B214="","", -$F$8*SIN(B214) - $B$7*$F$6*SIN($F$6*B214))</x:f>
      </x:c>
      <x:c r="H214" s="14">
        <x:f>IF(B214="","", $F$8*COS(B214) - $B$7*$F$6*COS($F$6*B214))</x:f>
      </x:c>
    </x:row>
    <x:row r="215">
      <x:c r="A215" s="13" t="n">
        <x:v>196</x:v>
      </x:c>
      <x:c r="B215" s="14">
        <x:f>IF($B$12&lt;196,"",$B$13+(196-1)*($B$14-$B$13)/($B$12-1))</x:f>
      </x:c>
      <x:c r="C215" s="14">
        <x:f>IF(B215="","",$F$8*COS(B215) + $B$7*COS($F$6*B215))</x:f>
      </x:c>
      <x:c r="D215" s="14">
        <x:f>IF(B215="","",$F$8*SIN(B215) - $B$7*SIN($F$6*B215))</x:f>
      </x:c>
      <x:c r="E215" s="14">
        <x:f>IF(B215="","", C215 + $F$12*$F$9*(-H215)/IF(SQRT(G215^2+H215^2)=0,1,SQRT(G215^2+H215^2)))</x:f>
      </x:c>
      <x:c r="F215" s="14">
        <x:f>IF(B215="","", D215 + $F$12*$F$9*(G215)/IF(SQRT(G215^2+H215^2)=0,1,SQRT(G215^2+H215^2)))</x:f>
      </x:c>
      <x:c r="G215" s="14">
        <x:f>IF(B215="","", -$F$8*SIN(B215) - $B$7*$F$6*SIN($F$6*B215))</x:f>
      </x:c>
      <x:c r="H215" s="14">
        <x:f>IF(B215="","", $F$8*COS(B215) - $B$7*$F$6*COS($F$6*B215))</x:f>
      </x:c>
    </x:row>
    <x:row r="216">
      <x:c r="A216" s="13" t="n">
        <x:v>197</x:v>
      </x:c>
      <x:c r="B216" s="14">
        <x:f>IF($B$12&lt;197,"",$B$13+(197-1)*($B$14-$B$13)/($B$12-1))</x:f>
      </x:c>
      <x:c r="C216" s="14">
        <x:f>IF(B216="","",$F$8*COS(B216) + $B$7*COS($F$6*B216))</x:f>
      </x:c>
      <x:c r="D216" s="14">
        <x:f>IF(B216="","",$F$8*SIN(B216) - $B$7*SIN($F$6*B216))</x:f>
      </x:c>
      <x:c r="E216" s="14">
        <x:f>IF(B216="","", C216 + $F$12*$F$9*(-H216)/IF(SQRT(G216^2+H216^2)=0,1,SQRT(G216^2+H216^2)))</x:f>
      </x:c>
      <x:c r="F216" s="14">
        <x:f>IF(B216="","", D216 + $F$12*$F$9*(G216)/IF(SQRT(G216^2+H216^2)=0,1,SQRT(G216^2+H216^2)))</x:f>
      </x:c>
      <x:c r="G216" s="14">
        <x:f>IF(B216="","", -$F$8*SIN(B216) - $B$7*$F$6*SIN($F$6*B216))</x:f>
      </x:c>
      <x:c r="H216" s="14">
        <x:f>IF(B216="","", $F$8*COS(B216) - $B$7*$F$6*COS($F$6*B216))</x:f>
      </x:c>
    </x:row>
    <x:row r="217">
      <x:c r="A217" s="13" t="n">
        <x:v>198</x:v>
      </x:c>
      <x:c r="B217" s="14">
        <x:f>IF($B$12&lt;198,"",$B$13+(198-1)*($B$14-$B$13)/($B$12-1))</x:f>
      </x:c>
      <x:c r="C217" s="14">
        <x:f>IF(B217="","",$F$8*COS(B217) + $B$7*COS($F$6*B217))</x:f>
      </x:c>
      <x:c r="D217" s="14">
        <x:f>IF(B217="","",$F$8*SIN(B217) - $B$7*SIN($F$6*B217))</x:f>
      </x:c>
      <x:c r="E217" s="14">
        <x:f>IF(B217="","", C217 + $F$12*$F$9*(-H217)/IF(SQRT(G217^2+H217^2)=0,1,SQRT(G217^2+H217^2)))</x:f>
      </x:c>
      <x:c r="F217" s="14">
        <x:f>IF(B217="","", D217 + $F$12*$F$9*(G217)/IF(SQRT(G217^2+H217^2)=0,1,SQRT(G217^2+H217^2)))</x:f>
      </x:c>
      <x:c r="G217" s="14">
        <x:f>IF(B217="","", -$F$8*SIN(B217) - $B$7*$F$6*SIN($F$6*B217))</x:f>
      </x:c>
      <x:c r="H217" s="14">
        <x:f>IF(B217="","", $F$8*COS(B217) - $B$7*$F$6*COS($F$6*B217))</x:f>
      </x:c>
    </x:row>
    <x:row r="218">
      <x:c r="A218" s="13" t="n">
        <x:v>199</x:v>
      </x:c>
      <x:c r="B218" s="14">
        <x:f>IF($B$12&lt;199,"",$B$13+(199-1)*($B$14-$B$13)/($B$12-1))</x:f>
      </x:c>
      <x:c r="C218" s="14">
        <x:f>IF(B218="","",$F$8*COS(B218) + $B$7*COS($F$6*B218))</x:f>
      </x:c>
      <x:c r="D218" s="14">
        <x:f>IF(B218="","",$F$8*SIN(B218) - $B$7*SIN($F$6*B218))</x:f>
      </x:c>
      <x:c r="E218" s="14">
        <x:f>IF(B218="","", C218 + $F$12*$F$9*(-H218)/IF(SQRT(G218^2+H218^2)=0,1,SQRT(G218^2+H218^2)))</x:f>
      </x:c>
      <x:c r="F218" s="14">
        <x:f>IF(B218="","", D218 + $F$12*$F$9*(G218)/IF(SQRT(G218^2+H218^2)=0,1,SQRT(G218^2+H218^2)))</x:f>
      </x:c>
      <x:c r="G218" s="14">
        <x:f>IF(B218="","", -$F$8*SIN(B218) - $B$7*$F$6*SIN($F$6*B218))</x:f>
      </x:c>
      <x:c r="H218" s="14">
        <x:f>IF(B218="","", $F$8*COS(B218) - $B$7*$F$6*COS($F$6*B218))</x:f>
      </x:c>
    </x:row>
    <x:row r="219">
      <x:c r="A219" s="13" t="n">
        <x:v>200</x:v>
      </x:c>
      <x:c r="B219" s="14">
        <x:f>IF($B$12&lt;200,"",$B$13+(200-1)*($B$14-$B$13)/($B$12-1))</x:f>
      </x:c>
      <x:c r="C219" s="14">
        <x:f>IF(B219="","",$F$8*COS(B219) + $B$7*COS($F$6*B219))</x:f>
      </x:c>
      <x:c r="D219" s="14">
        <x:f>IF(B219="","",$F$8*SIN(B219) - $B$7*SIN($F$6*B219))</x:f>
      </x:c>
      <x:c r="E219" s="14">
        <x:f>IF(B219="","", C219 + $F$12*$F$9*(-H219)/IF(SQRT(G219^2+H219^2)=0,1,SQRT(G219^2+H219^2)))</x:f>
      </x:c>
      <x:c r="F219" s="14">
        <x:f>IF(B219="","", D219 + $F$12*$F$9*(G219)/IF(SQRT(G219^2+H219^2)=0,1,SQRT(G219^2+H219^2)))</x:f>
      </x:c>
      <x:c r="G219" s="14">
        <x:f>IF(B219="","", -$F$8*SIN(B219) - $B$7*$F$6*SIN($F$6*B219))</x:f>
      </x:c>
      <x:c r="H219" s="14">
        <x:f>IF(B219="","", $F$8*COS(B219) - $B$7*$F$6*COS($F$6*B219))</x:f>
      </x:c>
    </x:row>
    <x:row r="220">
      <x:c r="A220" s="13" t="n">
        <x:v>201</x:v>
      </x:c>
      <x:c r="B220" s="14">
        <x:f>IF($B$12&lt;201,"",$B$13+(201-1)*($B$14-$B$13)/($B$12-1))</x:f>
      </x:c>
      <x:c r="C220" s="14">
        <x:f>IF(B220="","",$F$8*COS(B220) + $B$7*COS($F$6*B220))</x:f>
      </x:c>
      <x:c r="D220" s="14">
        <x:f>IF(B220="","",$F$8*SIN(B220) - $B$7*SIN($F$6*B220))</x:f>
      </x:c>
      <x:c r="E220" s="14">
        <x:f>IF(B220="","", C220 + $F$12*$F$9*(-H220)/IF(SQRT(G220^2+H220^2)=0,1,SQRT(G220^2+H220^2)))</x:f>
      </x:c>
      <x:c r="F220" s="14">
        <x:f>IF(B220="","", D220 + $F$12*$F$9*(G220)/IF(SQRT(G220^2+H220^2)=0,1,SQRT(G220^2+H220^2)))</x:f>
      </x:c>
      <x:c r="G220" s="14">
        <x:f>IF(B220="","", -$F$8*SIN(B220) - $B$7*$F$6*SIN($F$6*B220))</x:f>
      </x:c>
      <x:c r="H220" s="14">
        <x:f>IF(B220="","", $F$8*COS(B220) - $B$7*$F$6*COS($F$6*B220))</x:f>
      </x:c>
    </x:row>
    <x:row r="221">
      <x:c r="A221" s="13" t="n">
        <x:v>202</x:v>
      </x:c>
      <x:c r="B221" s="14">
        <x:f>IF($B$12&lt;202,"",$B$13+(202-1)*($B$14-$B$13)/($B$12-1))</x:f>
      </x:c>
      <x:c r="C221" s="14">
        <x:f>IF(B221="","",$F$8*COS(B221) + $B$7*COS($F$6*B221))</x:f>
      </x:c>
      <x:c r="D221" s="14">
        <x:f>IF(B221="","",$F$8*SIN(B221) - $B$7*SIN($F$6*B221))</x:f>
      </x:c>
      <x:c r="E221" s="14">
        <x:f>IF(B221="","", C221 + $F$12*$F$9*(-H221)/IF(SQRT(G221^2+H221^2)=0,1,SQRT(G221^2+H221^2)))</x:f>
      </x:c>
      <x:c r="F221" s="14">
        <x:f>IF(B221="","", D221 + $F$12*$F$9*(G221)/IF(SQRT(G221^2+H221^2)=0,1,SQRT(G221^2+H221^2)))</x:f>
      </x:c>
      <x:c r="G221" s="14">
        <x:f>IF(B221="","", -$F$8*SIN(B221) - $B$7*$F$6*SIN($F$6*B221))</x:f>
      </x:c>
      <x:c r="H221" s="14">
        <x:f>IF(B221="","", $F$8*COS(B221) - $B$7*$F$6*COS($F$6*B221))</x:f>
      </x:c>
    </x:row>
    <x:row r="222">
      <x:c r="A222" s="13" t="n">
        <x:v>203</x:v>
      </x:c>
      <x:c r="B222" s="14">
        <x:f>IF($B$12&lt;203,"",$B$13+(203-1)*($B$14-$B$13)/($B$12-1))</x:f>
      </x:c>
      <x:c r="C222" s="14">
        <x:f>IF(B222="","",$F$8*COS(B222) + $B$7*COS($F$6*B222))</x:f>
      </x:c>
      <x:c r="D222" s="14">
        <x:f>IF(B222="","",$F$8*SIN(B222) - $B$7*SIN($F$6*B222))</x:f>
      </x:c>
      <x:c r="E222" s="14">
        <x:f>IF(B222="","", C222 + $F$12*$F$9*(-H222)/IF(SQRT(G222^2+H222^2)=0,1,SQRT(G222^2+H222^2)))</x:f>
      </x:c>
      <x:c r="F222" s="14">
        <x:f>IF(B222="","", D222 + $F$12*$F$9*(G222)/IF(SQRT(G222^2+H222^2)=0,1,SQRT(G222^2+H222^2)))</x:f>
      </x:c>
      <x:c r="G222" s="14">
        <x:f>IF(B222="","", -$F$8*SIN(B222) - $B$7*$F$6*SIN($F$6*B222))</x:f>
      </x:c>
      <x:c r="H222" s="14">
        <x:f>IF(B222="","", $F$8*COS(B222) - $B$7*$F$6*COS($F$6*B222))</x:f>
      </x:c>
    </x:row>
    <x:row r="223">
      <x:c r="A223" s="13" t="n">
        <x:v>204</x:v>
      </x:c>
      <x:c r="B223" s="14">
        <x:f>IF($B$12&lt;204,"",$B$13+(204-1)*($B$14-$B$13)/($B$12-1))</x:f>
      </x:c>
      <x:c r="C223" s="14">
        <x:f>IF(B223="","",$F$8*COS(B223) + $B$7*COS($F$6*B223))</x:f>
      </x:c>
      <x:c r="D223" s="14">
        <x:f>IF(B223="","",$F$8*SIN(B223) - $B$7*SIN($F$6*B223))</x:f>
      </x:c>
      <x:c r="E223" s="14">
        <x:f>IF(B223="","", C223 + $F$12*$F$9*(-H223)/IF(SQRT(G223^2+H223^2)=0,1,SQRT(G223^2+H223^2)))</x:f>
      </x:c>
      <x:c r="F223" s="14">
        <x:f>IF(B223="","", D223 + $F$12*$F$9*(G223)/IF(SQRT(G223^2+H223^2)=0,1,SQRT(G223^2+H223^2)))</x:f>
      </x:c>
      <x:c r="G223" s="14">
        <x:f>IF(B223="","", -$F$8*SIN(B223) - $B$7*$F$6*SIN($F$6*B223))</x:f>
      </x:c>
      <x:c r="H223" s="14">
        <x:f>IF(B223="","", $F$8*COS(B223) - $B$7*$F$6*COS($F$6*B223))</x:f>
      </x:c>
    </x:row>
    <x:row r="224">
      <x:c r="A224" s="13" t="n">
        <x:v>205</x:v>
      </x:c>
      <x:c r="B224" s="14">
        <x:f>IF($B$12&lt;205,"",$B$13+(205-1)*($B$14-$B$13)/($B$12-1))</x:f>
      </x:c>
      <x:c r="C224" s="14">
        <x:f>IF(B224="","",$F$8*COS(B224) + $B$7*COS($F$6*B224))</x:f>
      </x:c>
      <x:c r="D224" s="14">
        <x:f>IF(B224="","",$F$8*SIN(B224) - $B$7*SIN($F$6*B224))</x:f>
      </x:c>
      <x:c r="E224" s="14">
        <x:f>IF(B224="","", C224 + $F$12*$F$9*(-H224)/IF(SQRT(G224^2+H224^2)=0,1,SQRT(G224^2+H224^2)))</x:f>
      </x:c>
      <x:c r="F224" s="14">
        <x:f>IF(B224="","", D224 + $F$12*$F$9*(G224)/IF(SQRT(G224^2+H224^2)=0,1,SQRT(G224^2+H224^2)))</x:f>
      </x:c>
      <x:c r="G224" s="14">
        <x:f>IF(B224="","", -$F$8*SIN(B224) - $B$7*$F$6*SIN($F$6*B224))</x:f>
      </x:c>
      <x:c r="H224" s="14">
        <x:f>IF(B224="","", $F$8*COS(B224) - $B$7*$F$6*COS($F$6*B224))</x:f>
      </x:c>
    </x:row>
    <x:row r="225">
      <x:c r="A225" s="13" t="n">
        <x:v>206</x:v>
      </x:c>
      <x:c r="B225" s="14">
        <x:f>IF($B$12&lt;206,"",$B$13+(206-1)*($B$14-$B$13)/($B$12-1))</x:f>
      </x:c>
      <x:c r="C225" s="14">
        <x:f>IF(B225="","",$F$8*COS(B225) + $B$7*COS($F$6*B225))</x:f>
      </x:c>
      <x:c r="D225" s="14">
        <x:f>IF(B225="","",$F$8*SIN(B225) - $B$7*SIN($F$6*B225))</x:f>
      </x:c>
      <x:c r="E225" s="14">
        <x:f>IF(B225="","", C225 + $F$12*$F$9*(-H225)/IF(SQRT(G225^2+H225^2)=0,1,SQRT(G225^2+H225^2)))</x:f>
      </x:c>
      <x:c r="F225" s="14">
        <x:f>IF(B225="","", D225 + $F$12*$F$9*(G225)/IF(SQRT(G225^2+H225^2)=0,1,SQRT(G225^2+H225^2)))</x:f>
      </x:c>
      <x:c r="G225" s="14">
        <x:f>IF(B225="","", -$F$8*SIN(B225) - $B$7*$F$6*SIN($F$6*B225))</x:f>
      </x:c>
      <x:c r="H225" s="14">
        <x:f>IF(B225="","", $F$8*COS(B225) - $B$7*$F$6*COS($F$6*B225))</x:f>
      </x:c>
    </x:row>
    <x:row r="226">
      <x:c r="A226" s="13" t="n">
        <x:v>207</x:v>
      </x:c>
      <x:c r="B226" s="14">
        <x:f>IF($B$12&lt;207,"",$B$13+(207-1)*($B$14-$B$13)/($B$12-1))</x:f>
      </x:c>
      <x:c r="C226" s="14">
        <x:f>IF(B226="","",$F$8*COS(B226) + $B$7*COS($F$6*B226))</x:f>
      </x:c>
      <x:c r="D226" s="14">
        <x:f>IF(B226="","",$F$8*SIN(B226) - $B$7*SIN($F$6*B226))</x:f>
      </x:c>
      <x:c r="E226" s="14">
        <x:f>IF(B226="","", C226 + $F$12*$F$9*(-H226)/IF(SQRT(G226^2+H226^2)=0,1,SQRT(G226^2+H226^2)))</x:f>
      </x:c>
      <x:c r="F226" s="14">
        <x:f>IF(B226="","", D226 + $F$12*$F$9*(G226)/IF(SQRT(G226^2+H226^2)=0,1,SQRT(G226^2+H226^2)))</x:f>
      </x:c>
      <x:c r="G226" s="14">
        <x:f>IF(B226="","", -$F$8*SIN(B226) - $B$7*$F$6*SIN($F$6*B226))</x:f>
      </x:c>
      <x:c r="H226" s="14">
        <x:f>IF(B226="","", $F$8*COS(B226) - $B$7*$F$6*COS($F$6*B226))</x:f>
      </x:c>
    </x:row>
    <x:row r="227">
      <x:c r="A227" s="13" t="n">
        <x:v>208</x:v>
      </x:c>
      <x:c r="B227" s="14">
        <x:f>IF($B$12&lt;208,"",$B$13+(208-1)*($B$14-$B$13)/($B$12-1))</x:f>
      </x:c>
      <x:c r="C227" s="14">
        <x:f>IF(B227="","",$F$8*COS(B227) + $B$7*COS($F$6*B227))</x:f>
      </x:c>
      <x:c r="D227" s="14">
        <x:f>IF(B227="","",$F$8*SIN(B227) - $B$7*SIN($F$6*B227))</x:f>
      </x:c>
      <x:c r="E227" s="14">
        <x:f>IF(B227="","", C227 + $F$12*$F$9*(-H227)/IF(SQRT(G227^2+H227^2)=0,1,SQRT(G227^2+H227^2)))</x:f>
      </x:c>
      <x:c r="F227" s="14">
        <x:f>IF(B227="","", D227 + $F$12*$F$9*(G227)/IF(SQRT(G227^2+H227^2)=0,1,SQRT(G227^2+H227^2)))</x:f>
      </x:c>
      <x:c r="G227" s="14">
        <x:f>IF(B227="","", -$F$8*SIN(B227) - $B$7*$F$6*SIN($F$6*B227))</x:f>
      </x:c>
      <x:c r="H227" s="14">
        <x:f>IF(B227="","", $F$8*COS(B227) - $B$7*$F$6*COS($F$6*B227))</x:f>
      </x:c>
    </x:row>
    <x:row r="228">
      <x:c r="A228" s="13" t="n">
        <x:v>209</x:v>
      </x:c>
      <x:c r="B228" s="14">
        <x:f>IF($B$12&lt;209,"",$B$13+(209-1)*($B$14-$B$13)/($B$12-1))</x:f>
      </x:c>
      <x:c r="C228" s="14">
        <x:f>IF(B228="","",$F$8*COS(B228) + $B$7*COS($F$6*B228))</x:f>
      </x:c>
      <x:c r="D228" s="14">
        <x:f>IF(B228="","",$F$8*SIN(B228) - $B$7*SIN($F$6*B228))</x:f>
      </x:c>
      <x:c r="E228" s="14">
        <x:f>IF(B228="","", C228 + $F$12*$F$9*(-H228)/IF(SQRT(G228^2+H228^2)=0,1,SQRT(G228^2+H228^2)))</x:f>
      </x:c>
      <x:c r="F228" s="14">
        <x:f>IF(B228="","", D228 + $F$12*$F$9*(G228)/IF(SQRT(G228^2+H228^2)=0,1,SQRT(G228^2+H228^2)))</x:f>
      </x:c>
      <x:c r="G228" s="14">
        <x:f>IF(B228="","", -$F$8*SIN(B228) - $B$7*$F$6*SIN($F$6*B228))</x:f>
      </x:c>
      <x:c r="H228" s="14">
        <x:f>IF(B228="","", $F$8*COS(B228) - $B$7*$F$6*COS($F$6*B228))</x:f>
      </x:c>
    </x:row>
    <x:row r="229">
      <x:c r="A229" s="13" t="n">
        <x:v>210</x:v>
      </x:c>
      <x:c r="B229" s="14">
        <x:f>IF($B$12&lt;210,"",$B$13+(210-1)*($B$14-$B$13)/($B$12-1))</x:f>
      </x:c>
      <x:c r="C229" s="14">
        <x:f>IF(B229="","",$F$8*COS(B229) + $B$7*COS($F$6*B229))</x:f>
      </x:c>
      <x:c r="D229" s="14">
        <x:f>IF(B229="","",$F$8*SIN(B229) - $B$7*SIN($F$6*B229))</x:f>
      </x:c>
      <x:c r="E229" s="14">
        <x:f>IF(B229="","", C229 + $F$12*$F$9*(-H229)/IF(SQRT(G229^2+H229^2)=0,1,SQRT(G229^2+H229^2)))</x:f>
      </x:c>
      <x:c r="F229" s="14">
        <x:f>IF(B229="","", D229 + $F$12*$F$9*(G229)/IF(SQRT(G229^2+H229^2)=0,1,SQRT(G229^2+H229^2)))</x:f>
      </x:c>
      <x:c r="G229" s="14">
        <x:f>IF(B229="","", -$F$8*SIN(B229) - $B$7*$F$6*SIN($F$6*B229))</x:f>
      </x:c>
      <x:c r="H229" s="14">
        <x:f>IF(B229="","", $F$8*COS(B229) - $B$7*$F$6*COS($F$6*B229))</x:f>
      </x:c>
    </x:row>
    <x:row r="230">
      <x:c r="A230" s="13" t="n">
        <x:v>211</x:v>
      </x:c>
      <x:c r="B230" s="14">
        <x:f>IF($B$12&lt;211,"",$B$13+(211-1)*($B$14-$B$13)/($B$12-1))</x:f>
      </x:c>
      <x:c r="C230" s="14">
        <x:f>IF(B230="","",$F$8*COS(B230) + $B$7*COS($F$6*B230))</x:f>
      </x:c>
      <x:c r="D230" s="14">
        <x:f>IF(B230="","",$F$8*SIN(B230) - $B$7*SIN($F$6*B230))</x:f>
      </x:c>
      <x:c r="E230" s="14">
        <x:f>IF(B230="","", C230 + $F$12*$F$9*(-H230)/IF(SQRT(G230^2+H230^2)=0,1,SQRT(G230^2+H230^2)))</x:f>
      </x:c>
      <x:c r="F230" s="14">
        <x:f>IF(B230="","", D230 + $F$12*$F$9*(G230)/IF(SQRT(G230^2+H230^2)=0,1,SQRT(G230^2+H230^2)))</x:f>
      </x:c>
      <x:c r="G230" s="14">
        <x:f>IF(B230="","", -$F$8*SIN(B230) - $B$7*$F$6*SIN($F$6*B230))</x:f>
      </x:c>
      <x:c r="H230" s="14">
        <x:f>IF(B230="","", $F$8*COS(B230) - $B$7*$F$6*COS($F$6*B230))</x:f>
      </x:c>
    </x:row>
    <x:row r="231">
      <x:c r="A231" s="13" t="n">
        <x:v>212</x:v>
      </x:c>
      <x:c r="B231" s="14">
        <x:f>IF($B$12&lt;212,"",$B$13+(212-1)*($B$14-$B$13)/($B$12-1))</x:f>
      </x:c>
      <x:c r="C231" s="14">
        <x:f>IF(B231="","",$F$8*COS(B231) + $B$7*COS($F$6*B231))</x:f>
      </x:c>
      <x:c r="D231" s="14">
        <x:f>IF(B231="","",$F$8*SIN(B231) - $B$7*SIN($F$6*B231))</x:f>
      </x:c>
      <x:c r="E231" s="14">
        <x:f>IF(B231="","", C231 + $F$12*$F$9*(-H231)/IF(SQRT(G231^2+H231^2)=0,1,SQRT(G231^2+H231^2)))</x:f>
      </x:c>
      <x:c r="F231" s="14">
        <x:f>IF(B231="","", D231 + $F$12*$F$9*(G231)/IF(SQRT(G231^2+H231^2)=0,1,SQRT(G231^2+H231^2)))</x:f>
      </x:c>
      <x:c r="G231" s="14">
        <x:f>IF(B231="","", -$F$8*SIN(B231) - $B$7*$F$6*SIN($F$6*B231))</x:f>
      </x:c>
      <x:c r="H231" s="14">
        <x:f>IF(B231="","", $F$8*COS(B231) - $B$7*$F$6*COS($F$6*B231))</x:f>
      </x:c>
    </x:row>
    <x:row r="232">
      <x:c r="A232" s="13" t="n">
        <x:v>213</x:v>
      </x:c>
      <x:c r="B232" s="14">
        <x:f>IF($B$12&lt;213,"",$B$13+(213-1)*($B$14-$B$13)/($B$12-1))</x:f>
      </x:c>
      <x:c r="C232" s="14">
        <x:f>IF(B232="","",$F$8*COS(B232) + $B$7*COS($F$6*B232))</x:f>
      </x:c>
      <x:c r="D232" s="14">
        <x:f>IF(B232="","",$F$8*SIN(B232) - $B$7*SIN($F$6*B232))</x:f>
      </x:c>
      <x:c r="E232" s="14">
        <x:f>IF(B232="","", C232 + $F$12*$F$9*(-H232)/IF(SQRT(G232^2+H232^2)=0,1,SQRT(G232^2+H232^2)))</x:f>
      </x:c>
      <x:c r="F232" s="14">
        <x:f>IF(B232="","", D232 + $F$12*$F$9*(G232)/IF(SQRT(G232^2+H232^2)=0,1,SQRT(G232^2+H232^2)))</x:f>
      </x:c>
      <x:c r="G232" s="14">
        <x:f>IF(B232="","", -$F$8*SIN(B232) - $B$7*$F$6*SIN($F$6*B232))</x:f>
      </x:c>
      <x:c r="H232" s="14">
        <x:f>IF(B232="","", $F$8*COS(B232) - $B$7*$F$6*COS($F$6*B232))</x:f>
      </x:c>
    </x:row>
    <x:row r="233">
      <x:c r="A233" s="13" t="n">
        <x:v>214</x:v>
      </x:c>
      <x:c r="B233" s="14">
        <x:f>IF($B$12&lt;214,"",$B$13+(214-1)*($B$14-$B$13)/($B$12-1))</x:f>
      </x:c>
      <x:c r="C233" s="14">
        <x:f>IF(B233="","",$F$8*COS(B233) + $B$7*COS($F$6*B233))</x:f>
      </x:c>
      <x:c r="D233" s="14">
        <x:f>IF(B233="","",$F$8*SIN(B233) - $B$7*SIN($F$6*B233))</x:f>
      </x:c>
      <x:c r="E233" s="14">
        <x:f>IF(B233="","", C233 + $F$12*$F$9*(-H233)/IF(SQRT(G233^2+H233^2)=0,1,SQRT(G233^2+H233^2)))</x:f>
      </x:c>
      <x:c r="F233" s="14">
        <x:f>IF(B233="","", D233 + $F$12*$F$9*(G233)/IF(SQRT(G233^2+H233^2)=0,1,SQRT(G233^2+H233^2)))</x:f>
      </x:c>
      <x:c r="G233" s="14">
        <x:f>IF(B233="","", -$F$8*SIN(B233) - $B$7*$F$6*SIN($F$6*B233))</x:f>
      </x:c>
      <x:c r="H233" s="14">
        <x:f>IF(B233="","", $F$8*COS(B233) - $B$7*$F$6*COS($F$6*B233))</x:f>
      </x:c>
    </x:row>
    <x:row r="234">
      <x:c r="A234" s="13" t="n">
        <x:v>215</x:v>
      </x:c>
      <x:c r="B234" s="14">
        <x:f>IF($B$12&lt;215,"",$B$13+(215-1)*($B$14-$B$13)/($B$12-1))</x:f>
      </x:c>
      <x:c r="C234" s="14">
        <x:f>IF(B234="","",$F$8*COS(B234) + $B$7*COS($F$6*B234))</x:f>
      </x:c>
      <x:c r="D234" s="14">
        <x:f>IF(B234="","",$F$8*SIN(B234) - $B$7*SIN($F$6*B234))</x:f>
      </x:c>
      <x:c r="E234" s="14">
        <x:f>IF(B234="","", C234 + $F$12*$F$9*(-H234)/IF(SQRT(G234^2+H234^2)=0,1,SQRT(G234^2+H234^2)))</x:f>
      </x:c>
      <x:c r="F234" s="14">
        <x:f>IF(B234="","", D234 + $F$12*$F$9*(G234)/IF(SQRT(G234^2+H234^2)=0,1,SQRT(G234^2+H234^2)))</x:f>
      </x:c>
      <x:c r="G234" s="14">
        <x:f>IF(B234="","", -$F$8*SIN(B234) - $B$7*$F$6*SIN($F$6*B234))</x:f>
      </x:c>
      <x:c r="H234" s="14">
        <x:f>IF(B234="","", $F$8*COS(B234) - $B$7*$F$6*COS($F$6*B234))</x:f>
      </x:c>
    </x:row>
    <x:row r="235">
      <x:c r="A235" s="13" t="n">
        <x:v>216</x:v>
      </x:c>
      <x:c r="B235" s="14">
        <x:f>IF($B$12&lt;216,"",$B$13+(216-1)*($B$14-$B$13)/($B$12-1))</x:f>
      </x:c>
      <x:c r="C235" s="14">
        <x:f>IF(B235="","",$F$8*COS(B235) + $B$7*COS($F$6*B235))</x:f>
      </x:c>
      <x:c r="D235" s="14">
        <x:f>IF(B235="","",$F$8*SIN(B235) - $B$7*SIN($F$6*B235))</x:f>
      </x:c>
      <x:c r="E235" s="14">
        <x:f>IF(B235="","", C235 + $F$12*$F$9*(-H235)/IF(SQRT(G235^2+H235^2)=0,1,SQRT(G235^2+H235^2)))</x:f>
      </x:c>
      <x:c r="F235" s="14">
        <x:f>IF(B235="","", D235 + $F$12*$F$9*(G235)/IF(SQRT(G235^2+H235^2)=0,1,SQRT(G235^2+H235^2)))</x:f>
      </x:c>
      <x:c r="G235" s="14">
        <x:f>IF(B235="","", -$F$8*SIN(B235) - $B$7*$F$6*SIN($F$6*B235))</x:f>
      </x:c>
      <x:c r="H235" s="14">
        <x:f>IF(B235="","", $F$8*COS(B235) - $B$7*$F$6*COS($F$6*B235))</x:f>
      </x:c>
    </x:row>
    <x:row r="236">
      <x:c r="A236" s="13" t="n">
        <x:v>217</x:v>
      </x:c>
      <x:c r="B236" s="14">
        <x:f>IF($B$12&lt;217,"",$B$13+(217-1)*($B$14-$B$13)/($B$12-1))</x:f>
      </x:c>
      <x:c r="C236" s="14">
        <x:f>IF(B236="","",$F$8*COS(B236) + $B$7*COS($F$6*B236))</x:f>
      </x:c>
      <x:c r="D236" s="14">
        <x:f>IF(B236="","",$F$8*SIN(B236) - $B$7*SIN($F$6*B236))</x:f>
      </x:c>
      <x:c r="E236" s="14">
        <x:f>IF(B236="","", C236 + $F$12*$F$9*(-H236)/IF(SQRT(G236^2+H236^2)=0,1,SQRT(G236^2+H236^2)))</x:f>
      </x:c>
      <x:c r="F236" s="14">
        <x:f>IF(B236="","", D236 + $F$12*$F$9*(G236)/IF(SQRT(G236^2+H236^2)=0,1,SQRT(G236^2+H236^2)))</x:f>
      </x:c>
      <x:c r="G236" s="14">
        <x:f>IF(B236="","", -$F$8*SIN(B236) - $B$7*$F$6*SIN($F$6*B236))</x:f>
      </x:c>
      <x:c r="H236" s="14">
        <x:f>IF(B236="","", $F$8*COS(B236) - $B$7*$F$6*COS($F$6*B236))</x:f>
      </x:c>
    </x:row>
    <x:row r="237">
      <x:c r="A237" s="13" t="n">
        <x:v>218</x:v>
      </x:c>
      <x:c r="B237" s="14">
        <x:f>IF($B$12&lt;218,"",$B$13+(218-1)*($B$14-$B$13)/($B$12-1))</x:f>
      </x:c>
      <x:c r="C237" s="14">
        <x:f>IF(B237="","",$F$8*COS(B237) + $B$7*COS($F$6*B237))</x:f>
      </x:c>
      <x:c r="D237" s="14">
        <x:f>IF(B237="","",$F$8*SIN(B237) - $B$7*SIN($F$6*B237))</x:f>
      </x:c>
      <x:c r="E237" s="14">
        <x:f>IF(B237="","", C237 + $F$12*$F$9*(-H237)/IF(SQRT(G237^2+H237^2)=0,1,SQRT(G237^2+H237^2)))</x:f>
      </x:c>
      <x:c r="F237" s="14">
        <x:f>IF(B237="","", D237 + $F$12*$F$9*(G237)/IF(SQRT(G237^2+H237^2)=0,1,SQRT(G237^2+H237^2)))</x:f>
      </x:c>
      <x:c r="G237" s="14">
        <x:f>IF(B237="","", -$F$8*SIN(B237) - $B$7*$F$6*SIN($F$6*B237))</x:f>
      </x:c>
      <x:c r="H237" s="14">
        <x:f>IF(B237="","", $F$8*COS(B237) - $B$7*$F$6*COS($F$6*B237))</x:f>
      </x:c>
    </x:row>
    <x:row r="238">
      <x:c r="A238" s="13" t="n">
        <x:v>219</x:v>
      </x:c>
      <x:c r="B238" s="14">
        <x:f>IF($B$12&lt;219,"",$B$13+(219-1)*($B$14-$B$13)/($B$12-1))</x:f>
      </x:c>
      <x:c r="C238" s="14">
        <x:f>IF(B238="","",$F$8*COS(B238) + $B$7*COS($F$6*B238))</x:f>
      </x:c>
      <x:c r="D238" s="14">
        <x:f>IF(B238="","",$F$8*SIN(B238) - $B$7*SIN($F$6*B238))</x:f>
      </x:c>
      <x:c r="E238" s="14">
        <x:f>IF(B238="","", C238 + $F$12*$F$9*(-H238)/IF(SQRT(G238^2+H238^2)=0,1,SQRT(G238^2+H238^2)))</x:f>
      </x:c>
      <x:c r="F238" s="14">
        <x:f>IF(B238="","", D238 + $F$12*$F$9*(G238)/IF(SQRT(G238^2+H238^2)=0,1,SQRT(G238^2+H238^2)))</x:f>
      </x:c>
      <x:c r="G238" s="14">
        <x:f>IF(B238="","", -$F$8*SIN(B238) - $B$7*$F$6*SIN($F$6*B238))</x:f>
      </x:c>
      <x:c r="H238" s="14">
        <x:f>IF(B238="","", $F$8*COS(B238) - $B$7*$F$6*COS($F$6*B238))</x:f>
      </x:c>
    </x:row>
    <x:row r="239">
      <x:c r="A239" s="13" t="n">
        <x:v>220</x:v>
      </x:c>
      <x:c r="B239" s="14">
        <x:f>IF($B$12&lt;220,"",$B$13+(220-1)*($B$14-$B$13)/($B$12-1))</x:f>
      </x:c>
      <x:c r="C239" s="14">
        <x:f>IF(B239="","",$F$8*COS(B239) + $B$7*COS($F$6*B239))</x:f>
      </x:c>
      <x:c r="D239" s="14">
        <x:f>IF(B239="","",$F$8*SIN(B239) - $B$7*SIN($F$6*B239))</x:f>
      </x:c>
      <x:c r="E239" s="14">
        <x:f>IF(B239="","", C239 + $F$12*$F$9*(-H239)/IF(SQRT(G239^2+H239^2)=0,1,SQRT(G239^2+H239^2)))</x:f>
      </x:c>
      <x:c r="F239" s="14">
        <x:f>IF(B239="","", D239 + $F$12*$F$9*(G239)/IF(SQRT(G239^2+H239^2)=0,1,SQRT(G239^2+H239^2)))</x:f>
      </x:c>
      <x:c r="G239" s="14">
        <x:f>IF(B239="","", -$F$8*SIN(B239) - $B$7*$F$6*SIN($F$6*B239))</x:f>
      </x:c>
      <x:c r="H239" s="14">
        <x:f>IF(B239="","", $F$8*COS(B239) - $B$7*$F$6*COS($F$6*B239))</x:f>
      </x:c>
    </x:row>
    <x:row r="240">
      <x:c r="A240" s="13" t="n">
        <x:v>221</x:v>
      </x:c>
      <x:c r="B240" s="14">
        <x:f>IF($B$12&lt;221,"",$B$13+(221-1)*($B$14-$B$13)/($B$12-1))</x:f>
      </x:c>
      <x:c r="C240" s="14">
        <x:f>IF(B240="","",$F$8*COS(B240) + $B$7*COS($F$6*B240))</x:f>
      </x:c>
      <x:c r="D240" s="14">
        <x:f>IF(B240="","",$F$8*SIN(B240) - $B$7*SIN($F$6*B240))</x:f>
      </x:c>
      <x:c r="E240" s="14">
        <x:f>IF(B240="","", C240 + $F$12*$F$9*(-H240)/IF(SQRT(G240^2+H240^2)=0,1,SQRT(G240^2+H240^2)))</x:f>
      </x:c>
      <x:c r="F240" s="14">
        <x:f>IF(B240="","", D240 + $F$12*$F$9*(G240)/IF(SQRT(G240^2+H240^2)=0,1,SQRT(G240^2+H240^2)))</x:f>
      </x:c>
      <x:c r="G240" s="14">
        <x:f>IF(B240="","", -$F$8*SIN(B240) - $B$7*$F$6*SIN($F$6*B240))</x:f>
      </x:c>
      <x:c r="H240" s="14">
        <x:f>IF(B240="","", $F$8*COS(B240) - $B$7*$F$6*COS($F$6*B240))</x:f>
      </x:c>
    </x:row>
    <x:row r="241">
      <x:c r="A241" s="13" t="n">
        <x:v>222</x:v>
      </x:c>
      <x:c r="B241" s="14">
        <x:f>IF($B$12&lt;222,"",$B$13+(222-1)*($B$14-$B$13)/($B$12-1))</x:f>
      </x:c>
      <x:c r="C241" s="14">
        <x:f>IF(B241="","",$F$8*COS(B241) + $B$7*COS($F$6*B241))</x:f>
      </x:c>
      <x:c r="D241" s="14">
        <x:f>IF(B241="","",$F$8*SIN(B241) - $B$7*SIN($F$6*B241))</x:f>
      </x:c>
      <x:c r="E241" s="14">
        <x:f>IF(B241="","", C241 + $F$12*$F$9*(-H241)/IF(SQRT(G241^2+H241^2)=0,1,SQRT(G241^2+H241^2)))</x:f>
      </x:c>
      <x:c r="F241" s="14">
        <x:f>IF(B241="","", D241 + $F$12*$F$9*(G241)/IF(SQRT(G241^2+H241^2)=0,1,SQRT(G241^2+H241^2)))</x:f>
      </x:c>
      <x:c r="G241" s="14">
        <x:f>IF(B241="","", -$F$8*SIN(B241) - $B$7*$F$6*SIN($F$6*B241))</x:f>
      </x:c>
      <x:c r="H241" s="14">
        <x:f>IF(B241="","", $F$8*COS(B241) - $B$7*$F$6*COS($F$6*B241))</x:f>
      </x:c>
    </x:row>
    <x:row r="242">
      <x:c r="A242" s="13" t="n">
        <x:v>223</x:v>
      </x:c>
      <x:c r="B242" s="14">
        <x:f>IF($B$12&lt;223,"",$B$13+(223-1)*($B$14-$B$13)/($B$12-1))</x:f>
      </x:c>
      <x:c r="C242" s="14">
        <x:f>IF(B242="","",$F$8*COS(B242) + $B$7*COS($F$6*B242))</x:f>
      </x:c>
      <x:c r="D242" s="14">
        <x:f>IF(B242="","",$F$8*SIN(B242) - $B$7*SIN($F$6*B242))</x:f>
      </x:c>
      <x:c r="E242" s="14">
        <x:f>IF(B242="","", C242 + $F$12*$F$9*(-H242)/IF(SQRT(G242^2+H242^2)=0,1,SQRT(G242^2+H242^2)))</x:f>
      </x:c>
      <x:c r="F242" s="14">
        <x:f>IF(B242="","", D242 + $F$12*$F$9*(G242)/IF(SQRT(G242^2+H242^2)=0,1,SQRT(G242^2+H242^2)))</x:f>
      </x:c>
      <x:c r="G242" s="14">
        <x:f>IF(B242="","", -$F$8*SIN(B242) - $B$7*$F$6*SIN($F$6*B242))</x:f>
      </x:c>
      <x:c r="H242" s="14">
        <x:f>IF(B242="","", $F$8*COS(B242) - $B$7*$F$6*COS($F$6*B242))</x:f>
      </x:c>
    </x:row>
    <x:row r="243">
      <x:c r="A243" s="13" t="n">
        <x:v>224</x:v>
      </x:c>
      <x:c r="B243" s="14">
        <x:f>IF($B$12&lt;224,"",$B$13+(224-1)*($B$14-$B$13)/($B$12-1))</x:f>
      </x:c>
      <x:c r="C243" s="14">
        <x:f>IF(B243="","",$F$8*COS(B243) + $B$7*COS($F$6*B243))</x:f>
      </x:c>
      <x:c r="D243" s="14">
        <x:f>IF(B243="","",$F$8*SIN(B243) - $B$7*SIN($F$6*B243))</x:f>
      </x:c>
      <x:c r="E243" s="14">
        <x:f>IF(B243="","", C243 + $F$12*$F$9*(-H243)/IF(SQRT(G243^2+H243^2)=0,1,SQRT(G243^2+H243^2)))</x:f>
      </x:c>
      <x:c r="F243" s="14">
        <x:f>IF(B243="","", D243 + $F$12*$F$9*(G243)/IF(SQRT(G243^2+H243^2)=0,1,SQRT(G243^2+H243^2)))</x:f>
      </x:c>
      <x:c r="G243" s="14">
        <x:f>IF(B243="","", -$F$8*SIN(B243) - $B$7*$F$6*SIN($F$6*B243))</x:f>
      </x:c>
      <x:c r="H243" s="14">
        <x:f>IF(B243="","", $F$8*COS(B243) - $B$7*$F$6*COS($F$6*B243))</x:f>
      </x:c>
    </x:row>
    <x:row r="244">
      <x:c r="A244" s="13" t="n">
        <x:v>225</x:v>
      </x:c>
      <x:c r="B244" s="14">
        <x:f>IF($B$12&lt;225,"",$B$13+(225-1)*($B$14-$B$13)/($B$12-1))</x:f>
      </x:c>
      <x:c r="C244" s="14">
        <x:f>IF(B244="","",$F$8*COS(B244) + $B$7*COS($F$6*B244))</x:f>
      </x:c>
      <x:c r="D244" s="14">
        <x:f>IF(B244="","",$F$8*SIN(B244) - $B$7*SIN($F$6*B244))</x:f>
      </x:c>
      <x:c r="E244" s="14">
        <x:f>IF(B244="","", C244 + $F$12*$F$9*(-H244)/IF(SQRT(G244^2+H244^2)=0,1,SQRT(G244^2+H244^2)))</x:f>
      </x:c>
      <x:c r="F244" s="14">
        <x:f>IF(B244="","", D244 + $F$12*$F$9*(G244)/IF(SQRT(G244^2+H244^2)=0,1,SQRT(G244^2+H244^2)))</x:f>
      </x:c>
      <x:c r="G244" s="14">
        <x:f>IF(B244="","", -$F$8*SIN(B244) - $B$7*$F$6*SIN($F$6*B244))</x:f>
      </x:c>
      <x:c r="H244" s="14">
        <x:f>IF(B244="","", $F$8*COS(B244) - $B$7*$F$6*COS($F$6*B244))</x:f>
      </x:c>
    </x:row>
    <x:row r="245">
      <x:c r="A245" s="13" t="n">
        <x:v>226</x:v>
      </x:c>
      <x:c r="B245" s="14">
        <x:f>IF($B$12&lt;226,"",$B$13+(226-1)*($B$14-$B$13)/($B$12-1))</x:f>
      </x:c>
      <x:c r="C245" s="14">
        <x:f>IF(B245="","",$F$8*COS(B245) + $B$7*COS($F$6*B245))</x:f>
      </x:c>
      <x:c r="D245" s="14">
        <x:f>IF(B245="","",$F$8*SIN(B245) - $B$7*SIN($F$6*B245))</x:f>
      </x:c>
      <x:c r="E245" s="14">
        <x:f>IF(B245="","", C245 + $F$12*$F$9*(-H245)/IF(SQRT(G245^2+H245^2)=0,1,SQRT(G245^2+H245^2)))</x:f>
      </x:c>
      <x:c r="F245" s="14">
        <x:f>IF(B245="","", D245 + $F$12*$F$9*(G245)/IF(SQRT(G245^2+H245^2)=0,1,SQRT(G245^2+H245^2)))</x:f>
      </x:c>
      <x:c r="G245" s="14">
        <x:f>IF(B245="","", -$F$8*SIN(B245) - $B$7*$F$6*SIN($F$6*B245))</x:f>
      </x:c>
      <x:c r="H245" s="14">
        <x:f>IF(B245="","", $F$8*COS(B245) - $B$7*$F$6*COS($F$6*B245))</x:f>
      </x:c>
    </x:row>
    <x:row r="246">
      <x:c r="A246" s="13" t="n">
        <x:v>227</x:v>
      </x:c>
      <x:c r="B246" s="14">
        <x:f>IF($B$12&lt;227,"",$B$13+(227-1)*($B$14-$B$13)/($B$12-1))</x:f>
      </x:c>
      <x:c r="C246" s="14">
        <x:f>IF(B246="","",$F$8*COS(B246) + $B$7*COS($F$6*B246))</x:f>
      </x:c>
      <x:c r="D246" s="14">
        <x:f>IF(B246="","",$F$8*SIN(B246) - $B$7*SIN($F$6*B246))</x:f>
      </x:c>
      <x:c r="E246" s="14">
        <x:f>IF(B246="","", C246 + $F$12*$F$9*(-H246)/IF(SQRT(G246^2+H246^2)=0,1,SQRT(G246^2+H246^2)))</x:f>
      </x:c>
      <x:c r="F246" s="14">
        <x:f>IF(B246="","", D246 + $F$12*$F$9*(G246)/IF(SQRT(G246^2+H246^2)=0,1,SQRT(G246^2+H246^2)))</x:f>
      </x:c>
      <x:c r="G246" s="14">
        <x:f>IF(B246="","", -$F$8*SIN(B246) - $B$7*$F$6*SIN($F$6*B246))</x:f>
      </x:c>
      <x:c r="H246" s="14">
        <x:f>IF(B246="","", $F$8*COS(B246) - $B$7*$F$6*COS($F$6*B246))</x:f>
      </x:c>
    </x:row>
    <x:row r="247">
      <x:c r="A247" s="13" t="n">
        <x:v>228</x:v>
      </x:c>
      <x:c r="B247" s="14">
        <x:f>IF($B$12&lt;228,"",$B$13+(228-1)*($B$14-$B$13)/($B$12-1))</x:f>
      </x:c>
      <x:c r="C247" s="14">
        <x:f>IF(B247="","",$F$8*COS(B247) + $B$7*COS($F$6*B247))</x:f>
      </x:c>
      <x:c r="D247" s="14">
        <x:f>IF(B247="","",$F$8*SIN(B247) - $B$7*SIN($F$6*B247))</x:f>
      </x:c>
      <x:c r="E247" s="14">
        <x:f>IF(B247="","", C247 + $F$12*$F$9*(-H247)/IF(SQRT(G247^2+H247^2)=0,1,SQRT(G247^2+H247^2)))</x:f>
      </x:c>
      <x:c r="F247" s="14">
        <x:f>IF(B247="","", D247 + $F$12*$F$9*(G247)/IF(SQRT(G247^2+H247^2)=0,1,SQRT(G247^2+H247^2)))</x:f>
      </x:c>
      <x:c r="G247" s="14">
        <x:f>IF(B247="","", -$F$8*SIN(B247) - $B$7*$F$6*SIN($F$6*B247))</x:f>
      </x:c>
      <x:c r="H247" s="14">
        <x:f>IF(B247="","", $F$8*COS(B247) - $B$7*$F$6*COS($F$6*B247))</x:f>
      </x:c>
    </x:row>
    <x:row r="248">
      <x:c r="A248" s="13" t="n">
        <x:v>229</x:v>
      </x:c>
      <x:c r="B248" s="14">
        <x:f>IF($B$12&lt;229,"",$B$13+(229-1)*($B$14-$B$13)/($B$12-1))</x:f>
      </x:c>
      <x:c r="C248" s="14">
        <x:f>IF(B248="","",$F$8*COS(B248) + $B$7*COS($F$6*B248))</x:f>
      </x:c>
      <x:c r="D248" s="14">
        <x:f>IF(B248="","",$F$8*SIN(B248) - $B$7*SIN($F$6*B248))</x:f>
      </x:c>
      <x:c r="E248" s="14">
        <x:f>IF(B248="","", C248 + $F$12*$F$9*(-H248)/IF(SQRT(G248^2+H248^2)=0,1,SQRT(G248^2+H248^2)))</x:f>
      </x:c>
      <x:c r="F248" s="14">
        <x:f>IF(B248="","", D248 + $F$12*$F$9*(G248)/IF(SQRT(G248^2+H248^2)=0,1,SQRT(G248^2+H248^2)))</x:f>
      </x:c>
      <x:c r="G248" s="14">
        <x:f>IF(B248="","", -$F$8*SIN(B248) - $B$7*$F$6*SIN($F$6*B248))</x:f>
      </x:c>
      <x:c r="H248" s="14">
        <x:f>IF(B248="","", $F$8*COS(B248) - $B$7*$F$6*COS($F$6*B248))</x:f>
      </x:c>
    </x:row>
    <x:row r="249">
      <x:c r="A249" s="13" t="n">
        <x:v>230</x:v>
      </x:c>
      <x:c r="B249" s="14">
        <x:f>IF($B$12&lt;230,"",$B$13+(230-1)*($B$14-$B$13)/($B$12-1))</x:f>
      </x:c>
      <x:c r="C249" s="14">
        <x:f>IF(B249="","",$F$8*COS(B249) + $B$7*COS($F$6*B249))</x:f>
      </x:c>
      <x:c r="D249" s="14">
        <x:f>IF(B249="","",$F$8*SIN(B249) - $B$7*SIN($F$6*B249))</x:f>
      </x:c>
      <x:c r="E249" s="14">
        <x:f>IF(B249="","", C249 + $F$12*$F$9*(-H249)/IF(SQRT(G249^2+H249^2)=0,1,SQRT(G249^2+H249^2)))</x:f>
      </x:c>
      <x:c r="F249" s="14">
        <x:f>IF(B249="","", D249 + $F$12*$F$9*(G249)/IF(SQRT(G249^2+H249^2)=0,1,SQRT(G249^2+H249^2)))</x:f>
      </x:c>
      <x:c r="G249" s="14">
        <x:f>IF(B249="","", -$F$8*SIN(B249) - $B$7*$F$6*SIN($F$6*B249))</x:f>
      </x:c>
      <x:c r="H249" s="14">
        <x:f>IF(B249="","", $F$8*COS(B249) - $B$7*$F$6*COS($F$6*B249))</x:f>
      </x:c>
    </x:row>
    <x:row r="250">
      <x:c r="A250" s="13" t="n">
        <x:v>231</x:v>
      </x:c>
      <x:c r="B250" s="14">
        <x:f>IF($B$12&lt;231,"",$B$13+(231-1)*($B$14-$B$13)/($B$12-1))</x:f>
      </x:c>
      <x:c r="C250" s="14">
        <x:f>IF(B250="","",$F$8*COS(B250) + $B$7*COS($F$6*B250))</x:f>
      </x:c>
      <x:c r="D250" s="14">
        <x:f>IF(B250="","",$F$8*SIN(B250) - $B$7*SIN($F$6*B250))</x:f>
      </x:c>
      <x:c r="E250" s="14">
        <x:f>IF(B250="","", C250 + $F$12*$F$9*(-H250)/IF(SQRT(G250^2+H250^2)=0,1,SQRT(G250^2+H250^2)))</x:f>
      </x:c>
      <x:c r="F250" s="14">
        <x:f>IF(B250="","", D250 + $F$12*$F$9*(G250)/IF(SQRT(G250^2+H250^2)=0,1,SQRT(G250^2+H250^2)))</x:f>
      </x:c>
      <x:c r="G250" s="14">
        <x:f>IF(B250="","", -$F$8*SIN(B250) - $B$7*$F$6*SIN($F$6*B250))</x:f>
      </x:c>
      <x:c r="H250" s="14">
        <x:f>IF(B250="","", $F$8*COS(B250) - $B$7*$F$6*COS($F$6*B250))</x:f>
      </x:c>
    </x:row>
    <x:row r="251">
      <x:c r="A251" s="13" t="n">
        <x:v>232</x:v>
      </x:c>
      <x:c r="B251" s="14">
        <x:f>IF($B$12&lt;232,"",$B$13+(232-1)*($B$14-$B$13)/($B$12-1))</x:f>
      </x:c>
      <x:c r="C251" s="14">
        <x:f>IF(B251="","",$F$8*COS(B251) + $B$7*COS($F$6*B251))</x:f>
      </x:c>
      <x:c r="D251" s="14">
        <x:f>IF(B251="","",$F$8*SIN(B251) - $B$7*SIN($F$6*B251))</x:f>
      </x:c>
      <x:c r="E251" s="14">
        <x:f>IF(B251="","", C251 + $F$12*$F$9*(-H251)/IF(SQRT(G251^2+H251^2)=0,1,SQRT(G251^2+H251^2)))</x:f>
      </x:c>
      <x:c r="F251" s="14">
        <x:f>IF(B251="","", D251 + $F$12*$F$9*(G251)/IF(SQRT(G251^2+H251^2)=0,1,SQRT(G251^2+H251^2)))</x:f>
      </x:c>
      <x:c r="G251" s="14">
        <x:f>IF(B251="","", -$F$8*SIN(B251) - $B$7*$F$6*SIN($F$6*B251))</x:f>
      </x:c>
      <x:c r="H251" s="14">
        <x:f>IF(B251="","", $F$8*COS(B251) - $B$7*$F$6*COS($F$6*B251))</x:f>
      </x:c>
    </x:row>
    <x:row r="252">
      <x:c r="A252" s="13" t="n">
        <x:v>233</x:v>
      </x:c>
      <x:c r="B252" s="14">
        <x:f>IF($B$12&lt;233,"",$B$13+(233-1)*($B$14-$B$13)/($B$12-1))</x:f>
      </x:c>
      <x:c r="C252" s="14">
        <x:f>IF(B252="","",$F$8*COS(B252) + $B$7*COS($F$6*B252))</x:f>
      </x:c>
      <x:c r="D252" s="14">
        <x:f>IF(B252="","",$F$8*SIN(B252) - $B$7*SIN($F$6*B252))</x:f>
      </x:c>
      <x:c r="E252" s="14">
        <x:f>IF(B252="","", C252 + $F$12*$F$9*(-H252)/IF(SQRT(G252^2+H252^2)=0,1,SQRT(G252^2+H252^2)))</x:f>
      </x:c>
      <x:c r="F252" s="14">
        <x:f>IF(B252="","", D252 + $F$12*$F$9*(G252)/IF(SQRT(G252^2+H252^2)=0,1,SQRT(G252^2+H252^2)))</x:f>
      </x:c>
      <x:c r="G252" s="14">
        <x:f>IF(B252="","", -$F$8*SIN(B252) - $B$7*$F$6*SIN($F$6*B252))</x:f>
      </x:c>
      <x:c r="H252" s="14">
        <x:f>IF(B252="","", $F$8*COS(B252) - $B$7*$F$6*COS($F$6*B252))</x:f>
      </x:c>
    </x:row>
    <x:row r="253">
      <x:c r="A253" s="13" t="n">
        <x:v>234</x:v>
      </x:c>
      <x:c r="B253" s="14">
        <x:f>IF($B$12&lt;234,"",$B$13+(234-1)*($B$14-$B$13)/($B$12-1))</x:f>
      </x:c>
      <x:c r="C253" s="14">
        <x:f>IF(B253="","",$F$8*COS(B253) + $B$7*COS($F$6*B253))</x:f>
      </x:c>
      <x:c r="D253" s="14">
        <x:f>IF(B253="","",$F$8*SIN(B253) - $B$7*SIN($F$6*B253))</x:f>
      </x:c>
      <x:c r="E253" s="14">
        <x:f>IF(B253="","", C253 + $F$12*$F$9*(-H253)/IF(SQRT(G253^2+H253^2)=0,1,SQRT(G253^2+H253^2)))</x:f>
      </x:c>
      <x:c r="F253" s="14">
        <x:f>IF(B253="","", D253 + $F$12*$F$9*(G253)/IF(SQRT(G253^2+H253^2)=0,1,SQRT(G253^2+H253^2)))</x:f>
      </x:c>
      <x:c r="G253" s="14">
        <x:f>IF(B253="","", -$F$8*SIN(B253) - $B$7*$F$6*SIN($F$6*B253))</x:f>
      </x:c>
      <x:c r="H253" s="14">
        <x:f>IF(B253="","", $F$8*COS(B253) - $B$7*$F$6*COS($F$6*B253))</x:f>
      </x:c>
    </x:row>
    <x:row r="254">
      <x:c r="A254" s="13" t="n">
        <x:v>235</x:v>
      </x:c>
      <x:c r="B254" s="14">
        <x:f>IF($B$12&lt;235,"",$B$13+(235-1)*($B$14-$B$13)/($B$12-1))</x:f>
      </x:c>
      <x:c r="C254" s="14">
        <x:f>IF(B254="","",$F$8*COS(B254) + $B$7*COS($F$6*B254))</x:f>
      </x:c>
      <x:c r="D254" s="14">
        <x:f>IF(B254="","",$F$8*SIN(B254) - $B$7*SIN($F$6*B254))</x:f>
      </x:c>
      <x:c r="E254" s="14">
        <x:f>IF(B254="","", C254 + $F$12*$F$9*(-H254)/IF(SQRT(G254^2+H254^2)=0,1,SQRT(G254^2+H254^2)))</x:f>
      </x:c>
      <x:c r="F254" s="14">
        <x:f>IF(B254="","", D254 + $F$12*$F$9*(G254)/IF(SQRT(G254^2+H254^2)=0,1,SQRT(G254^2+H254^2)))</x:f>
      </x:c>
      <x:c r="G254" s="14">
        <x:f>IF(B254="","", -$F$8*SIN(B254) - $B$7*$F$6*SIN($F$6*B254))</x:f>
      </x:c>
      <x:c r="H254" s="14">
        <x:f>IF(B254="","", $F$8*COS(B254) - $B$7*$F$6*COS($F$6*B254))</x:f>
      </x:c>
    </x:row>
    <x:row r="255">
      <x:c r="A255" s="13" t="n">
        <x:v>236</x:v>
      </x:c>
      <x:c r="B255" s="14">
        <x:f>IF($B$12&lt;236,"",$B$13+(236-1)*($B$14-$B$13)/($B$12-1))</x:f>
      </x:c>
      <x:c r="C255" s="14">
        <x:f>IF(B255="","",$F$8*COS(B255) + $B$7*COS($F$6*B255))</x:f>
      </x:c>
      <x:c r="D255" s="14">
        <x:f>IF(B255="","",$F$8*SIN(B255) - $B$7*SIN($F$6*B255))</x:f>
      </x:c>
      <x:c r="E255" s="14">
        <x:f>IF(B255="","", C255 + $F$12*$F$9*(-H255)/IF(SQRT(G255^2+H255^2)=0,1,SQRT(G255^2+H255^2)))</x:f>
      </x:c>
      <x:c r="F255" s="14">
        <x:f>IF(B255="","", D255 + $F$12*$F$9*(G255)/IF(SQRT(G255^2+H255^2)=0,1,SQRT(G255^2+H255^2)))</x:f>
      </x:c>
      <x:c r="G255" s="14">
        <x:f>IF(B255="","", -$F$8*SIN(B255) - $B$7*$F$6*SIN($F$6*B255))</x:f>
      </x:c>
      <x:c r="H255" s="14">
        <x:f>IF(B255="","", $F$8*COS(B255) - $B$7*$F$6*COS($F$6*B255))</x:f>
      </x:c>
    </x:row>
    <x:row r="256">
      <x:c r="A256" s="13" t="n">
        <x:v>237</x:v>
      </x:c>
      <x:c r="B256" s="14">
        <x:f>IF($B$12&lt;237,"",$B$13+(237-1)*($B$14-$B$13)/($B$12-1))</x:f>
      </x:c>
      <x:c r="C256" s="14">
        <x:f>IF(B256="","",$F$8*COS(B256) + $B$7*COS($F$6*B256))</x:f>
      </x:c>
      <x:c r="D256" s="14">
        <x:f>IF(B256="","",$F$8*SIN(B256) - $B$7*SIN($F$6*B256))</x:f>
      </x:c>
      <x:c r="E256" s="14">
        <x:f>IF(B256="","", C256 + $F$12*$F$9*(-H256)/IF(SQRT(G256^2+H256^2)=0,1,SQRT(G256^2+H256^2)))</x:f>
      </x:c>
      <x:c r="F256" s="14">
        <x:f>IF(B256="","", D256 + $F$12*$F$9*(G256)/IF(SQRT(G256^2+H256^2)=0,1,SQRT(G256^2+H256^2)))</x:f>
      </x:c>
      <x:c r="G256" s="14">
        <x:f>IF(B256="","", -$F$8*SIN(B256) - $B$7*$F$6*SIN($F$6*B256))</x:f>
      </x:c>
      <x:c r="H256" s="14">
        <x:f>IF(B256="","", $F$8*COS(B256) - $B$7*$F$6*COS($F$6*B256))</x:f>
      </x:c>
    </x:row>
    <x:row r="257">
      <x:c r="A257" s="13" t="n">
        <x:v>238</x:v>
      </x:c>
      <x:c r="B257" s="14">
        <x:f>IF($B$12&lt;238,"",$B$13+(238-1)*($B$14-$B$13)/($B$12-1))</x:f>
      </x:c>
      <x:c r="C257" s="14">
        <x:f>IF(B257="","",$F$8*COS(B257) + $B$7*COS($F$6*B257))</x:f>
      </x:c>
      <x:c r="D257" s="14">
        <x:f>IF(B257="","",$F$8*SIN(B257) - $B$7*SIN($F$6*B257))</x:f>
      </x:c>
      <x:c r="E257" s="14">
        <x:f>IF(B257="","", C257 + $F$12*$F$9*(-H257)/IF(SQRT(G257^2+H257^2)=0,1,SQRT(G257^2+H257^2)))</x:f>
      </x:c>
      <x:c r="F257" s="14">
        <x:f>IF(B257="","", D257 + $F$12*$F$9*(G257)/IF(SQRT(G257^2+H257^2)=0,1,SQRT(G257^2+H257^2)))</x:f>
      </x:c>
      <x:c r="G257" s="14">
        <x:f>IF(B257="","", -$F$8*SIN(B257) - $B$7*$F$6*SIN($F$6*B257))</x:f>
      </x:c>
      <x:c r="H257" s="14">
        <x:f>IF(B257="","", $F$8*COS(B257) - $B$7*$F$6*COS($F$6*B257))</x:f>
      </x:c>
    </x:row>
    <x:row r="258">
      <x:c r="A258" s="13" t="n">
        <x:v>239</x:v>
      </x:c>
      <x:c r="B258" s="14">
        <x:f>IF($B$12&lt;239,"",$B$13+(239-1)*($B$14-$B$13)/($B$12-1))</x:f>
      </x:c>
      <x:c r="C258" s="14">
        <x:f>IF(B258="","",$F$8*COS(B258) + $B$7*COS($F$6*B258))</x:f>
      </x:c>
      <x:c r="D258" s="14">
        <x:f>IF(B258="","",$F$8*SIN(B258) - $B$7*SIN($F$6*B258))</x:f>
      </x:c>
      <x:c r="E258" s="14">
        <x:f>IF(B258="","", C258 + $F$12*$F$9*(-H258)/IF(SQRT(G258^2+H258^2)=0,1,SQRT(G258^2+H258^2)))</x:f>
      </x:c>
      <x:c r="F258" s="14">
        <x:f>IF(B258="","", D258 + $F$12*$F$9*(G258)/IF(SQRT(G258^2+H258^2)=0,1,SQRT(G258^2+H258^2)))</x:f>
      </x:c>
      <x:c r="G258" s="14">
        <x:f>IF(B258="","", -$F$8*SIN(B258) - $B$7*$F$6*SIN($F$6*B258))</x:f>
      </x:c>
      <x:c r="H258" s="14">
        <x:f>IF(B258="","", $F$8*COS(B258) - $B$7*$F$6*COS($F$6*B258))</x:f>
      </x:c>
    </x:row>
    <x:row r="259">
      <x:c r="A259" s="13" t="n">
        <x:v>240</x:v>
      </x:c>
      <x:c r="B259" s="14">
        <x:f>IF($B$12&lt;240,"",$B$13+(240-1)*($B$14-$B$13)/($B$12-1))</x:f>
      </x:c>
      <x:c r="C259" s="14">
        <x:f>IF(B259="","",$F$8*COS(B259) + $B$7*COS($F$6*B259))</x:f>
      </x:c>
      <x:c r="D259" s="14">
        <x:f>IF(B259="","",$F$8*SIN(B259) - $B$7*SIN($F$6*B259))</x:f>
      </x:c>
      <x:c r="E259" s="14">
        <x:f>IF(B259="","", C259 + $F$12*$F$9*(-H259)/IF(SQRT(G259^2+H259^2)=0,1,SQRT(G259^2+H259^2)))</x:f>
      </x:c>
      <x:c r="F259" s="14">
        <x:f>IF(B259="","", D259 + $F$12*$F$9*(G259)/IF(SQRT(G259^2+H259^2)=0,1,SQRT(G259^2+H259^2)))</x:f>
      </x:c>
      <x:c r="G259" s="14">
        <x:f>IF(B259="","", -$F$8*SIN(B259) - $B$7*$F$6*SIN($F$6*B259))</x:f>
      </x:c>
      <x:c r="H259" s="14">
        <x:f>IF(B259="","", $F$8*COS(B259) - $B$7*$F$6*COS($F$6*B259))</x:f>
      </x:c>
    </x:row>
    <x:row r="260">
      <x:c r="A260" s="13" t="n">
        <x:v>241</x:v>
      </x:c>
      <x:c r="B260" s="14">
        <x:f>IF($B$12&lt;241,"",$B$13+(241-1)*($B$14-$B$13)/($B$12-1))</x:f>
      </x:c>
      <x:c r="C260" s="14">
        <x:f>IF(B260="","",$F$8*COS(B260) + $B$7*COS($F$6*B260))</x:f>
      </x:c>
      <x:c r="D260" s="14">
        <x:f>IF(B260="","",$F$8*SIN(B260) - $B$7*SIN($F$6*B260))</x:f>
      </x:c>
      <x:c r="E260" s="14">
        <x:f>IF(B260="","", C260 + $F$12*$F$9*(-H260)/IF(SQRT(G260^2+H260^2)=0,1,SQRT(G260^2+H260^2)))</x:f>
      </x:c>
      <x:c r="F260" s="14">
        <x:f>IF(B260="","", D260 + $F$12*$F$9*(G260)/IF(SQRT(G260^2+H260^2)=0,1,SQRT(G260^2+H260^2)))</x:f>
      </x:c>
      <x:c r="G260" s="14">
        <x:f>IF(B260="","", -$F$8*SIN(B260) - $B$7*$F$6*SIN($F$6*B260))</x:f>
      </x:c>
      <x:c r="H260" s="14">
        <x:f>IF(B260="","", $F$8*COS(B260) - $B$7*$F$6*COS($F$6*B260))</x:f>
      </x:c>
    </x:row>
    <x:row r="261">
      <x:c r="A261" s="13" t="n">
        <x:v>242</x:v>
      </x:c>
      <x:c r="B261" s="14">
        <x:f>IF($B$12&lt;242,"",$B$13+(242-1)*($B$14-$B$13)/($B$12-1))</x:f>
      </x:c>
      <x:c r="C261" s="14">
        <x:f>IF(B261="","",$F$8*COS(B261) + $B$7*COS($F$6*B261))</x:f>
      </x:c>
      <x:c r="D261" s="14">
        <x:f>IF(B261="","",$F$8*SIN(B261) - $B$7*SIN($F$6*B261))</x:f>
      </x:c>
      <x:c r="E261" s="14">
        <x:f>IF(B261="","", C261 + $F$12*$F$9*(-H261)/IF(SQRT(G261^2+H261^2)=0,1,SQRT(G261^2+H261^2)))</x:f>
      </x:c>
      <x:c r="F261" s="14">
        <x:f>IF(B261="","", D261 + $F$12*$F$9*(G261)/IF(SQRT(G261^2+H261^2)=0,1,SQRT(G261^2+H261^2)))</x:f>
      </x:c>
      <x:c r="G261" s="14">
        <x:f>IF(B261="","", -$F$8*SIN(B261) - $B$7*$F$6*SIN($F$6*B261))</x:f>
      </x:c>
      <x:c r="H261" s="14">
        <x:f>IF(B261="","", $F$8*COS(B261) - $B$7*$F$6*COS($F$6*B261))</x:f>
      </x:c>
    </x:row>
    <x:row r="262">
      <x:c r="A262" s="13" t="n">
        <x:v>243</x:v>
      </x:c>
      <x:c r="B262" s="14">
        <x:f>IF($B$12&lt;243,"",$B$13+(243-1)*($B$14-$B$13)/($B$12-1))</x:f>
      </x:c>
      <x:c r="C262" s="14">
        <x:f>IF(B262="","",$F$8*COS(B262) + $B$7*COS($F$6*B262))</x:f>
      </x:c>
      <x:c r="D262" s="14">
        <x:f>IF(B262="","",$F$8*SIN(B262) - $B$7*SIN($F$6*B262))</x:f>
      </x:c>
      <x:c r="E262" s="14">
        <x:f>IF(B262="","", C262 + $F$12*$F$9*(-H262)/IF(SQRT(G262^2+H262^2)=0,1,SQRT(G262^2+H262^2)))</x:f>
      </x:c>
      <x:c r="F262" s="14">
        <x:f>IF(B262="","", D262 + $F$12*$F$9*(G262)/IF(SQRT(G262^2+H262^2)=0,1,SQRT(G262^2+H262^2)))</x:f>
      </x:c>
      <x:c r="G262" s="14">
        <x:f>IF(B262="","", -$F$8*SIN(B262) - $B$7*$F$6*SIN($F$6*B262))</x:f>
      </x:c>
      <x:c r="H262" s="14">
        <x:f>IF(B262="","", $F$8*COS(B262) - $B$7*$F$6*COS($F$6*B262))</x:f>
      </x:c>
    </x:row>
    <x:row r="263">
      <x:c r="A263" s="13" t="n">
        <x:v>244</x:v>
      </x:c>
      <x:c r="B263" s="14">
        <x:f>IF($B$12&lt;244,"",$B$13+(244-1)*($B$14-$B$13)/($B$12-1))</x:f>
      </x:c>
      <x:c r="C263" s="14">
        <x:f>IF(B263="","",$F$8*COS(B263) + $B$7*COS($F$6*B263))</x:f>
      </x:c>
      <x:c r="D263" s="14">
        <x:f>IF(B263="","",$F$8*SIN(B263) - $B$7*SIN($F$6*B263))</x:f>
      </x:c>
      <x:c r="E263" s="14">
        <x:f>IF(B263="","", C263 + $F$12*$F$9*(-H263)/IF(SQRT(G263^2+H263^2)=0,1,SQRT(G263^2+H263^2)))</x:f>
      </x:c>
      <x:c r="F263" s="14">
        <x:f>IF(B263="","", D263 + $F$12*$F$9*(G263)/IF(SQRT(G263^2+H263^2)=0,1,SQRT(G263^2+H263^2)))</x:f>
      </x:c>
      <x:c r="G263" s="14">
        <x:f>IF(B263="","", -$F$8*SIN(B263) - $B$7*$F$6*SIN($F$6*B263))</x:f>
      </x:c>
      <x:c r="H263" s="14">
        <x:f>IF(B263="","", $F$8*COS(B263) - $B$7*$F$6*COS($F$6*B263))</x:f>
      </x:c>
    </x:row>
    <x:row r="264">
      <x:c r="A264" s="13" t="n">
        <x:v>245</x:v>
      </x:c>
      <x:c r="B264" s="14">
        <x:f>IF($B$12&lt;245,"",$B$13+(245-1)*($B$14-$B$13)/($B$12-1))</x:f>
      </x:c>
      <x:c r="C264" s="14">
        <x:f>IF(B264="","",$F$8*COS(B264) + $B$7*COS($F$6*B264))</x:f>
      </x:c>
      <x:c r="D264" s="14">
        <x:f>IF(B264="","",$F$8*SIN(B264) - $B$7*SIN($F$6*B264))</x:f>
      </x:c>
      <x:c r="E264" s="14">
        <x:f>IF(B264="","", C264 + $F$12*$F$9*(-H264)/IF(SQRT(G264^2+H264^2)=0,1,SQRT(G264^2+H264^2)))</x:f>
      </x:c>
      <x:c r="F264" s="14">
        <x:f>IF(B264="","", D264 + $F$12*$F$9*(G264)/IF(SQRT(G264^2+H264^2)=0,1,SQRT(G264^2+H264^2)))</x:f>
      </x:c>
      <x:c r="G264" s="14">
        <x:f>IF(B264="","", -$F$8*SIN(B264) - $B$7*$F$6*SIN($F$6*B264))</x:f>
      </x:c>
      <x:c r="H264" s="14">
        <x:f>IF(B264="","", $F$8*COS(B264) - $B$7*$F$6*COS($F$6*B264))</x:f>
      </x:c>
    </x:row>
    <x:row r="265">
      <x:c r="A265" s="13" t="n">
        <x:v>246</x:v>
      </x:c>
      <x:c r="B265" s="14">
        <x:f>IF($B$12&lt;246,"",$B$13+(246-1)*($B$14-$B$13)/($B$12-1))</x:f>
      </x:c>
      <x:c r="C265" s="14">
        <x:f>IF(B265="","",$F$8*COS(B265) + $B$7*COS($F$6*B265))</x:f>
      </x:c>
      <x:c r="D265" s="14">
        <x:f>IF(B265="","",$F$8*SIN(B265) - $B$7*SIN($F$6*B265))</x:f>
      </x:c>
      <x:c r="E265" s="14">
        <x:f>IF(B265="","", C265 + $F$12*$F$9*(-H265)/IF(SQRT(G265^2+H265^2)=0,1,SQRT(G265^2+H265^2)))</x:f>
      </x:c>
      <x:c r="F265" s="14">
        <x:f>IF(B265="","", D265 + $F$12*$F$9*(G265)/IF(SQRT(G265^2+H265^2)=0,1,SQRT(G265^2+H265^2)))</x:f>
      </x:c>
      <x:c r="G265" s="14">
        <x:f>IF(B265="","", -$F$8*SIN(B265) - $B$7*$F$6*SIN($F$6*B265))</x:f>
      </x:c>
      <x:c r="H265" s="14">
        <x:f>IF(B265="","", $F$8*COS(B265) - $B$7*$F$6*COS($F$6*B265))</x:f>
      </x:c>
    </x:row>
    <x:row r="266">
      <x:c r="A266" s="13" t="n">
        <x:v>247</x:v>
      </x:c>
      <x:c r="B266" s="14">
        <x:f>IF($B$12&lt;247,"",$B$13+(247-1)*($B$14-$B$13)/($B$12-1))</x:f>
      </x:c>
      <x:c r="C266" s="14">
        <x:f>IF(B266="","",$F$8*COS(B266) + $B$7*COS($F$6*B266))</x:f>
      </x:c>
      <x:c r="D266" s="14">
        <x:f>IF(B266="","",$F$8*SIN(B266) - $B$7*SIN($F$6*B266))</x:f>
      </x:c>
      <x:c r="E266" s="14">
        <x:f>IF(B266="","", C266 + $F$12*$F$9*(-H266)/IF(SQRT(G266^2+H266^2)=0,1,SQRT(G266^2+H266^2)))</x:f>
      </x:c>
      <x:c r="F266" s="14">
        <x:f>IF(B266="","", D266 + $F$12*$F$9*(G266)/IF(SQRT(G266^2+H266^2)=0,1,SQRT(G266^2+H266^2)))</x:f>
      </x:c>
      <x:c r="G266" s="14">
        <x:f>IF(B266="","", -$F$8*SIN(B266) - $B$7*$F$6*SIN($F$6*B266))</x:f>
      </x:c>
      <x:c r="H266" s="14">
        <x:f>IF(B266="","", $F$8*COS(B266) - $B$7*$F$6*COS($F$6*B266))</x:f>
      </x:c>
    </x:row>
    <x:row r="267">
      <x:c r="A267" s="13" t="n">
        <x:v>248</x:v>
      </x:c>
      <x:c r="B267" s="14">
        <x:f>IF($B$12&lt;248,"",$B$13+(248-1)*($B$14-$B$13)/($B$12-1))</x:f>
      </x:c>
      <x:c r="C267" s="14">
        <x:f>IF(B267="","",$F$8*COS(B267) + $B$7*COS($F$6*B267))</x:f>
      </x:c>
      <x:c r="D267" s="14">
        <x:f>IF(B267="","",$F$8*SIN(B267) - $B$7*SIN($F$6*B267))</x:f>
      </x:c>
      <x:c r="E267" s="14">
        <x:f>IF(B267="","", C267 + $F$12*$F$9*(-H267)/IF(SQRT(G267^2+H267^2)=0,1,SQRT(G267^2+H267^2)))</x:f>
      </x:c>
      <x:c r="F267" s="14">
        <x:f>IF(B267="","", D267 + $F$12*$F$9*(G267)/IF(SQRT(G267^2+H267^2)=0,1,SQRT(G267^2+H267^2)))</x:f>
      </x:c>
      <x:c r="G267" s="14">
        <x:f>IF(B267="","", -$F$8*SIN(B267) - $B$7*$F$6*SIN($F$6*B267))</x:f>
      </x:c>
      <x:c r="H267" s="14">
        <x:f>IF(B267="","", $F$8*COS(B267) - $B$7*$F$6*COS($F$6*B267))</x:f>
      </x:c>
    </x:row>
    <x:row r="268">
      <x:c r="A268" s="13" t="n">
        <x:v>249</x:v>
      </x:c>
      <x:c r="B268" s="14">
        <x:f>IF($B$12&lt;249,"",$B$13+(249-1)*($B$14-$B$13)/($B$12-1))</x:f>
      </x:c>
      <x:c r="C268" s="14">
        <x:f>IF(B268="","",$F$8*COS(B268) + $B$7*COS($F$6*B268))</x:f>
      </x:c>
      <x:c r="D268" s="14">
        <x:f>IF(B268="","",$F$8*SIN(B268) - $B$7*SIN($F$6*B268))</x:f>
      </x:c>
      <x:c r="E268" s="14">
        <x:f>IF(B268="","", C268 + $F$12*$F$9*(-H268)/IF(SQRT(G268^2+H268^2)=0,1,SQRT(G268^2+H268^2)))</x:f>
      </x:c>
      <x:c r="F268" s="14">
        <x:f>IF(B268="","", D268 + $F$12*$F$9*(G268)/IF(SQRT(G268^2+H268^2)=0,1,SQRT(G268^2+H268^2)))</x:f>
      </x:c>
      <x:c r="G268" s="14">
        <x:f>IF(B268="","", -$F$8*SIN(B268) - $B$7*$F$6*SIN($F$6*B268))</x:f>
      </x:c>
      <x:c r="H268" s="14">
        <x:f>IF(B268="","", $F$8*COS(B268) - $B$7*$F$6*COS($F$6*B268))</x:f>
      </x:c>
    </x:row>
    <x:row r="269">
      <x:c r="A269" s="13" t="n">
        <x:v>250</x:v>
      </x:c>
      <x:c r="B269" s="14">
        <x:f>IF($B$12&lt;250,"",$B$13+(250-1)*($B$14-$B$13)/($B$12-1))</x:f>
      </x:c>
      <x:c r="C269" s="14">
        <x:f>IF(B269="","",$F$8*COS(B269) + $B$7*COS($F$6*B269))</x:f>
      </x:c>
      <x:c r="D269" s="14">
        <x:f>IF(B269="","",$F$8*SIN(B269) - $B$7*SIN($F$6*B269))</x:f>
      </x:c>
      <x:c r="E269" s="14">
        <x:f>IF(B269="","", C269 + $F$12*$F$9*(-H269)/IF(SQRT(G269^2+H269^2)=0,1,SQRT(G269^2+H269^2)))</x:f>
      </x:c>
      <x:c r="F269" s="14">
        <x:f>IF(B269="","", D269 + $F$12*$F$9*(G269)/IF(SQRT(G269^2+H269^2)=0,1,SQRT(G269^2+H269^2)))</x:f>
      </x:c>
      <x:c r="G269" s="14">
        <x:f>IF(B269="","", -$F$8*SIN(B269) - $B$7*$F$6*SIN($F$6*B269))</x:f>
      </x:c>
      <x:c r="H269" s="14">
        <x:f>IF(B269="","", $F$8*COS(B269) - $B$7*$F$6*COS($F$6*B269))</x:f>
      </x:c>
    </x:row>
    <x:row r="270">
      <x:c r="A270" s="13" t="n">
        <x:v>251</x:v>
      </x:c>
      <x:c r="B270" s="14">
        <x:f>IF($B$12&lt;251,"",$B$13+(251-1)*($B$14-$B$13)/($B$12-1))</x:f>
      </x:c>
      <x:c r="C270" s="14">
        <x:f>IF(B270="","",$F$8*COS(B270) + $B$7*COS($F$6*B270))</x:f>
      </x:c>
      <x:c r="D270" s="14">
        <x:f>IF(B270="","",$F$8*SIN(B270) - $B$7*SIN($F$6*B270))</x:f>
      </x:c>
      <x:c r="E270" s="14">
        <x:f>IF(B270="","", C270 + $F$12*$F$9*(-H270)/IF(SQRT(G270^2+H270^2)=0,1,SQRT(G270^2+H270^2)))</x:f>
      </x:c>
      <x:c r="F270" s="14">
        <x:f>IF(B270="","", D270 + $F$12*$F$9*(G270)/IF(SQRT(G270^2+H270^2)=0,1,SQRT(G270^2+H270^2)))</x:f>
      </x:c>
      <x:c r="G270" s="14">
        <x:f>IF(B270="","", -$F$8*SIN(B270) - $B$7*$F$6*SIN($F$6*B270))</x:f>
      </x:c>
      <x:c r="H270" s="14">
        <x:f>IF(B270="","", $F$8*COS(B270) - $B$7*$F$6*COS($F$6*B270))</x:f>
      </x:c>
    </x:row>
    <x:row r="271">
      <x:c r="A271" s="13" t="n">
        <x:v>252</x:v>
      </x:c>
      <x:c r="B271" s="14">
        <x:f>IF($B$12&lt;252,"",$B$13+(252-1)*($B$14-$B$13)/($B$12-1))</x:f>
      </x:c>
      <x:c r="C271" s="14">
        <x:f>IF(B271="","",$F$8*COS(B271) + $B$7*COS($F$6*B271))</x:f>
      </x:c>
      <x:c r="D271" s="14">
        <x:f>IF(B271="","",$F$8*SIN(B271) - $B$7*SIN($F$6*B271))</x:f>
      </x:c>
      <x:c r="E271" s="14">
        <x:f>IF(B271="","", C271 + $F$12*$F$9*(-H271)/IF(SQRT(G271^2+H271^2)=0,1,SQRT(G271^2+H271^2)))</x:f>
      </x:c>
      <x:c r="F271" s="14">
        <x:f>IF(B271="","", D271 + $F$12*$F$9*(G271)/IF(SQRT(G271^2+H271^2)=0,1,SQRT(G271^2+H271^2)))</x:f>
      </x:c>
      <x:c r="G271" s="14">
        <x:f>IF(B271="","", -$F$8*SIN(B271) - $B$7*$F$6*SIN($F$6*B271))</x:f>
      </x:c>
      <x:c r="H271" s="14">
        <x:f>IF(B271="","", $F$8*COS(B271) - $B$7*$F$6*COS($F$6*B271))</x:f>
      </x:c>
    </x:row>
    <x:row r="272">
      <x:c r="A272" s="13" t="n">
        <x:v>253</x:v>
      </x:c>
      <x:c r="B272" s="14">
        <x:f>IF($B$12&lt;253,"",$B$13+(253-1)*($B$14-$B$13)/($B$12-1))</x:f>
      </x:c>
      <x:c r="C272" s="14">
        <x:f>IF(B272="","",$F$8*COS(B272) + $B$7*COS($F$6*B272))</x:f>
      </x:c>
      <x:c r="D272" s="14">
        <x:f>IF(B272="","",$F$8*SIN(B272) - $B$7*SIN($F$6*B272))</x:f>
      </x:c>
      <x:c r="E272" s="14">
        <x:f>IF(B272="","", C272 + $F$12*$F$9*(-H272)/IF(SQRT(G272^2+H272^2)=0,1,SQRT(G272^2+H272^2)))</x:f>
      </x:c>
      <x:c r="F272" s="14">
        <x:f>IF(B272="","", D272 + $F$12*$F$9*(G272)/IF(SQRT(G272^2+H272^2)=0,1,SQRT(G272^2+H272^2)))</x:f>
      </x:c>
      <x:c r="G272" s="14">
        <x:f>IF(B272="","", -$F$8*SIN(B272) - $B$7*$F$6*SIN($F$6*B272))</x:f>
      </x:c>
      <x:c r="H272" s="14">
        <x:f>IF(B272="","", $F$8*COS(B272) - $B$7*$F$6*COS($F$6*B272))</x:f>
      </x:c>
    </x:row>
    <x:row r="273">
      <x:c r="A273" s="13" t="n">
        <x:v>254</x:v>
      </x:c>
      <x:c r="B273" s="14">
        <x:f>IF($B$12&lt;254,"",$B$13+(254-1)*($B$14-$B$13)/($B$12-1))</x:f>
      </x:c>
      <x:c r="C273" s="14">
        <x:f>IF(B273="","",$F$8*COS(B273) + $B$7*COS($F$6*B273))</x:f>
      </x:c>
      <x:c r="D273" s="14">
        <x:f>IF(B273="","",$F$8*SIN(B273) - $B$7*SIN($F$6*B273))</x:f>
      </x:c>
      <x:c r="E273" s="14">
        <x:f>IF(B273="","", C273 + $F$12*$F$9*(-H273)/IF(SQRT(G273^2+H273^2)=0,1,SQRT(G273^2+H273^2)))</x:f>
      </x:c>
      <x:c r="F273" s="14">
        <x:f>IF(B273="","", D273 + $F$12*$F$9*(G273)/IF(SQRT(G273^2+H273^2)=0,1,SQRT(G273^2+H273^2)))</x:f>
      </x:c>
      <x:c r="G273" s="14">
        <x:f>IF(B273="","", -$F$8*SIN(B273) - $B$7*$F$6*SIN($F$6*B273))</x:f>
      </x:c>
      <x:c r="H273" s="14">
        <x:f>IF(B273="","", $F$8*COS(B273) - $B$7*$F$6*COS($F$6*B273))</x:f>
      </x:c>
    </x:row>
    <x:row r="274">
      <x:c r="A274" s="13" t="n">
        <x:v>255</x:v>
      </x:c>
      <x:c r="B274" s="14">
        <x:f>IF($B$12&lt;255,"",$B$13+(255-1)*($B$14-$B$13)/($B$12-1))</x:f>
      </x:c>
      <x:c r="C274" s="14">
        <x:f>IF(B274="","",$F$8*COS(B274) + $B$7*COS($F$6*B274))</x:f>
      </x:c>
      <x:c r="D274" s="14">
        <x:f>IF(B274="","",$F$8*SIN(B274) - $B$7*SIN($F$6*B274))</x:f>
      </x:c>
      <x:c r="E274" s="14">
        <x:f>IF(B274="","", C274 + $F$12*$F$9*(-H274)/IF(SQRT(G274^2+H274^2)=0,1,SQRT(G274^2+H274^2)))</x:f>
      </x:c>
      <x:c r="F274" s="14">
        <x:f>IF(B274="","", D274 + $F$12*$F$9*(G274)/IF(SQRT(G274^2+H274^2)=0,1,SQRT(G274^2+H274^2)))</x:f>
      </x:c>
      <x:c r="G274" s="14">
        <x:f>IF(B274="","", -$F$8*SIN(B274) - $B$7*$F$6*SIN($F$6*B274))</x:f>
      </x:c>
      <x:c r="H274" s="14">
        <x:f>IF(B274="","", $F$8*COS(B274) - $B$7*$F$6*COS($F$6*B274))</x:f>
      </x:c>
    </x:row>
    <x:row r="275">
      <x:c r="A275" s="13" t="n">
        <x:v>256</x:v>
      </x:c>
      <x:c r="B275" s="14">
        <x:f>IF($B$12&lt;256,"",$B$13+(256-1)*($B$14-$B$13)/($B$12-1))</x:f>
      </x:c>
      <x:c r="C275" s="14">
        <x:f>IF(B275="","",$F$8*COS(B275) + $B$7*COS($F$6*B275))</x:f>
      </x:c>
      <x:c r="D275" s="14">
        <x:f>IF(B275="","",$F$8*SIN(B275) - $B$7*SIN($F$6*B275))</x:f>
      </x:c>
      <x:c r="E275" s="14">
        <x:f>IF(B275="","", C275 + $F$12*$F$9*(-H275)/IF(SQRT(G275^2+H275^2)=0,1,SQRT(G275^2+H275^2)))</x:f>
      </x:c>
      <x:c r="F275" s="14">
        <x:f>IF(B275="","", D275 + $F$12*$F$9*(G275)/IF(SQRT(G275^2+H275^2)=0,1,SQRT(G275^2+H275^2)))</x:f>
      </x:c>
      <x:c r="G275" s="14">
        <x:f>IF(B275="","", -$F$8*SIN(B275) - $B$7*$F$6*SIN($F$6*B275))</x:f>
      </x:c>
      <x:c r="H275" s="14">
        <x:f>IF(B275="","", $F$8*COS(B275) - $B$7*$F$6*COS($F$6*B275))</x:f>
      </x:c>
    </x:row>
    <x:row r="276">
      <x:c r="A276" s="13" t="n">
        <x:v>257</x:v>
      </x:c>
      <x:c r="B276" s="14">
        <x:f>IF($B$12&lt;257,"",$B$13+(257-1)*($B$14-$B$13)/($B$12-1))</x:f>
      </x:c>
      <x:c r="C276" s="14">
        <x:f>IF(B276="","",$F$8*COS(B276) + $B$7*COS($F$6*B276))</x:f>
      </x:c>
      <x:c r="D276" s="14">
        <x:f>IF(B276="","",$F$8*SIN(B276) - $B$7*SIN($F$6*B276))</x:f>
      </x:c>
      <x:c r="E276" s="14">
        <x:f>IF(B276="","", C276 + $F$12*$F$9*(-H276)/IF(SQRT(G276^2+H276^2)=0,1,SQRT(G276^2+H276^2)))</x:f>
      </x:c>
      <x:c r="F276" s="14">
        <x:f>IF(B276="","", D276 + $F$12*$F$9*(G276)/IF(SQRT(G276^2+H276^2)=0,1,SQRT(G276^2+H276^2)))</x:f>
      </x:c>
      <x:c r="G276" s="14">
        <x:f>IF(B276="","", -$F$8*SIN(B276) - $B$7*$F$6*SIN($F$6*B276))</x:f>
      </x:c>
      <x:c r="H276" s="14">
        <x:f>IF(B276="","", $F$8*COS(B276) - $B$7*$F$6*COS($F$6*B276))</x:f>
      </x:c>
    </x:row>
    <x:row r="277">
      <x:c r="A277" s="13" t="n">
        <x:v>258</x:v>
      </x:c>
      <x:c r="B277" s="14">
        <x:f>IF($B$12&lt;258,"",$B$13+(258-1)*($B$14-$B$13)/($B$12-1))</x:f>
      </x:c>
      <x:c r="C277" s="14">
        <x:f>IF(B277="","",$F$8*COS(B277) + $B$7*COS($F$6*B277))</x:f>
      </x:c>
      <x:c r="D277" s="14">
        <x:f>IF(B277="","",$F$8*SIN(B277) - $B$7*SIN($F$6*B277))</x:f>
      </x:c>
      <x:c r="E277" s="14">
        <x:f>IF(B277="","", C277 + $F$12*$F$9*(-H277)/IF(SQRT(G277^2+H277^2)=0,1,SQRT(G277^2+H277^2)))</x:f>
      </x:c>
      <x:c r="F277" s="14">
        <x:f>IF(B277="","", D277 + $F$12*$F$9*(G277)/IF(SQRT(G277^2+H277^2)=0,1,SQRT(G277^2+H277^2)))</x:f>
      </x:c>
      <x:c r="G277" s="14">
        <x:f>IF(B277="","", -$F$8*SIN(B277) - $B$7*$F$6*SIN($F$6*B277))</x:f>
      </x:c>
      <x:c r="H277" s="14">
        <x:f>IF(B277="","", $F$8*COS(B277) - $B$7*$F$6*COS($F$6*B277))</x:f>
      </x:c>
    </x:row>
    <x:row r="278">
      <x:c r="A278" s="13" t="n">
        <x:v>259</x:v>
      </x:c>
      <x:c r="B278" s="14">
        <x:f>IF($B$12&lt;259,"",$B$13+(259-1)*($B$14-$B$13)/($B$12-1))</x:f>
      </x:c>
      <x:c r="C278" s="14">
        <x:f>IF(B278="","",$F$8*COS(B278) + $B$7*COS($F$6*B278))</x:f>
      </x:c>
      <x:c r="D278" s="14">
        <x:f>IF(B278="","",$F$8*SIN(B278) - $B$7*SIN($F$6*B278))</x:f>
      </x:c>
      <x:c r="E278" s="14">
        <x:f>IF(B278="","", C278 + $F$12*$F$9*(-H278)/IF(SQRT(G278^2+H278^2)=0,1,SQRT(G278^2+H278^2)))</x:f>
      </x:c>
      <x:c r="F278" s="14">
        <x:f>IF(B278="","", D278 + $F$12*$F$9*(G278)/IF(SQRT(G278^2+H278^2)=0,1,SQRT(G278^2+H278^2)))</x:f>
      </x:c>
      <x:c r="G278" s="14">
        <x:f>IF(B278="","", -$F$8*SIN(B278) - $B$7*$F$6*SIN($F$6*B278))</x:f>
      </x:c>
      <x:c r="H278" s="14">
        <x:f>IF(B278="","", $F$8*COS(B278) - $B$7*$F$6*COS($F$6*B278))</x:f>
      </x:c>
    </x:row>
    <x:row r="279">
      <x:c r="A279" s="13" t="n">
        <x:v>260</x:v>
      </x:c>
      <x:c r="B279" s="14">
        <x:f>IF($B$12&lt;260,"",$B$13+(260-1)*($B$14-$B$13)/($B$12-1))</x:f>
      </x:c>
      <x:c r="C279" s="14">
        <x:f>IF(B279="","",$F$8*COS(B279) + $B$7*COS($F$6*B279))</x:f>
      </x:c>
      <x:c r="D279" s="14">
        <x:f>IF(B279="","",$F$8*SIN(B279) - $B$7*SIN($F$6*B279))</x:f>
      </x:c>
      <x:c r="E279" s="14">
        <x:f>IF(B279="","", C279 + $F$12*$F$9*(-H279)/IF(SQRT(G279^2+H279^2)=0,1,SQRT(G279^2+H279^2)))</x:f>
      </x:c>
      <x:c r="F279" s="14">
        <x:f>IF(B279="","", D279 + $F$12*$F$9*(G279)/IF(SQRT(G279^2+H279^2)=0,1,SQRT(G279^2+H279^2)))</x:f>
      </x:c>
      <x:c r="G279" s="14">
        <x:f>IF(B279="","", -$F$8*SIN(B279) - $B$7*$F$6*SIN($F$6*B279))</x:f>
      </x:c>
      <x:c r="H279" s="14">
        <x:f>IF(B279="","", $F$8*COS(B279) - $B$7*$F$6*COS($F$6*B279))</x:f>
      </x:c>
    </x:row>
    <x:row r="280">
      <x:c r="A280" s="13" t="n">
        <x:v>261</x:v>
      </x:c>
      <x:c r="B280" s="14">
        <x:f>IF($B$12&lt;261,"",$B$13+(261-1)*($B$14-$B$13)/($B$12-1))</x:f>
      </x:c>
      <x:c r="C280" s="14">
        <x:f>IF(B280="","",$F$8*COS(B280) + $B$7*COS($F$6*B280))</x:f>
      </x:c>
      <x:c r="D280" s="14">
        <x:f>IF(B280="","",$F$8*SIN(B280) - $B$7*SIN($F$6*B280))</x:f>
      </x:c>
      <x:c r="E280" s="14">
        <x:f>IF(B280="","", C280 + $F$12*$F$9*(-H280)/IF(SQRT(G280^2+H280^2)=0,1,SQRT(G280^2+H280^2)))</x:f>
      </x:c>
      <x:c r="F280" s="14">
        <x:f>IF(B280="","", D280 + $F$12*$F$9*(G280)/IF(SQRT(G280^2+H280^2)=0,1,SQRT(G280^2+H280^2)))</x:f>
      </x:c>
      <x:c r="G280" s="14">
        <x:f>IF(B280="","", -$F$8*SIN(B280) - $B$7*$F$6*SIN($F$6*B280))</x:f>
      </x:c>
      <x:c r="H280" s="14">
        <x:f>IF(B280="","", $F$8*COS(B280) - $B$7*$F$6*COS($F$6*B280))</x:f>
      </x:c>
    </x:row>
    <x:row r="281">
      <x:c r="A281" s="13" t="n">
        <x:v>262</x:v>
      </x:c>
      <x:c r="B281" s="14">
        <x:f>IF($B$12&lt;262,"",$B$13+(262-1)*($B$14-$B$13)/($B$12-1))</x:f>
      </x:c>
      <x:c r="C281" s="14">
        <x:f>IF(B281="","",$F$8*COS(B281) + $B$7*COS($F$6*B281))</x:f>
      </x:c>
      <x:c r="D281" s="14">
        <x:f>IF(B281="","",$F$8*SIN(B281) - $B$7*SIN($F$6*B281))</x:f>
      </x:c>
      <x:c r="E281" s="14">
        <x:f>IF(B281="","", C281 + $F$12*$F$9*(-H281)/IF(SQRT(G281^2+H281^2)=0,1,SQRT(G281^2+H281^2)))</x:f>
      </x:c>
      <x:c r="F281" s="14">
        <x:f>IF(B281="","", D281 + $F$12*$F$9*(G281)/IF(SQRT(G281^2+H281^2)=0,1,SQRT(G281^2+H281^2)))</x:f>
      </x:c>
      <x:c r="G281" s="14">
        <x:f>IF(B281="","", -$F$8*SIN(B281) - $B$7*$F$6*SIN($F$6*B281))</x:f>
      </x:c>
      <x:c r="H281" s="14">
        <x:f>IF(B281="","", $F$8*COS(B281) - $B$7*$F$6*COS($F$6*B281))</x:f>
      </x:c>
    </x:row>
    <x:row r="282">
      <x:c r="A282" s="13" t="n">
        <x:v>263</x:v>
      </x:c>
      <x:c r="B282" s="14">
        <x:f>IF($B$12&lt;263,"",$B$13+(263-1)*($B$14-$B$13)/($B$12-1))</x:f>
      </x:c>
      <x:c r="C282" s="14">
        <x:f>IF(B282="","",$F$8*COS(B282) + $B$7*COS($F$6*B282))</x:f>
      </x:c>
      <x:c r="D282" s="14">
        <x:f>IF(B282="","",$F$8*SIN(B282) - $B$7*SIN($F$6*B282))</x:f>
      </x:c>
      <x:c r="E282" s="14">
        <x:f>IF(B282="","", C282 + $F$12*$F$9*(-H282)/IF(SQRT(G282^2+H282^2)=0,1,SQRT(G282^2+H282^2)))</x:f>
      </x:c>
      <x:c r="F282" s="14">
        <x:f>IF(B282="","", D282 + $F$12*$F$9*(G282)/IF(SQRT(G282^2+H282^2)=0,1,SQRT(G282^2+H282^2)))</x:f>
      </x:c>
      <x:c r="G282" s="14">
        <x:f>IF(B282="","", -$F$8*SIN(B282) - $B$7*$F$6*SIN($F$6*B282))</x:f>
      </x:c>
      <x:c r="H282" s="14">
        <x:f>IF(B282="","", $F$8*COS(B282) - $B$7*$F$6*COS($F$6*B282))</x:f>
      </x:c>
    </x:row>
    <x:row r="283">
      <x:c r="A283" s="13" t="n">
        <x:v>264</x:v>
      </x:c>
      <x:c r="B283" s="14">
        <x:f>IF($B$12&lt;264,"",$B$13+(264-1)*($B$14-$B$13)/($B$12-1))</x:f>
      </x:c>
      <x:c r="C283" s="14">
        <x:f>IF(B283="","",$F$8*COS(B283) + $B$7*COS($F$6*B283))</x:f>
      </x:c>
      <x:c r="D283" s="14">
        <x:f>IF(B283="","",$F$8*SIN(B283) - $B$7*SIN($F$6*B283))</x:f>
      </x:c>
      <x:c r="E283" s="14">
        <x:f>IF(B283="","", C283 + $F$12*$F$9*(-H283)/IF(SQRT(G283^2+H283^2)=0,1,SQRT(G283^2+H283^2)))</x:f>
      </x:c>
      <x:c r="F283" s="14">
        <x:f>IF(B283="","", D283 + $F$12*$F$9*(G283)/IF(SQRT(G283^2+H283^2)=0,1,SQRT(G283^2+H283^2)))</x:f>
      </x:c>
      <x:c r="G283" s="14">
        <x:f>IF(B283="","", -$F$8*SIN(B283) - $B$7*$F$6*SIN($F$6*B283))</x:f>
      </x:c>
      <x:c r="H283" s="14">
        <x:f>IF(B283="","", $F$8*COS(B283) - $B$7*$F$6*COS($F$6*B283))</x:f>
      </x:c>
    </x:row>
    <x:row r="284">
      <x:c r="A284" s="13" t="n">
        <x:v>265</x:v>
      </x:c>
      <x:c r="B284" s="14">
        <x:f>IF($B$12&lt;265,"",$B$13+(265-1)*($B$14-$B$13)/($B$12-1))</x:f>
      </x:c>
      <x:c r="C284" s="14">
        <x:f>IF(B284="","",$F$8*COS(B284) + $B$7*COS($F$6*B284))</x:f>
      </x:c>
      <x:c r="D284" s="14">
        <x:f>IF(B284="","",$F$8*SIN(B284) - $B$7*SIN($F$6*B284))</x:f>
      </x:c>
      <x:c r="E284" s="14">
        <x:f>IF(B284="","", C284 + $F$12*$F$9*(-H284)/IF(SQRT(G284^2+H284^2)=0,1,SQRT(G284^2+H284^2)))</x:f>
      </x:c>
      <x:c r="F284" s="14">
        <x:f>IF(B284="","", D284 + $F$12*$F$9*(G284)/IF(SQRT(G284^2+H284^2)=0,1,SQRT(G284^2+H284^2)))</x:f>
      </x:c>
      <x:c r="G284" s="14">
        <x:f>IF(B284="","", -$F$8*SIN(B284) - $B$7*$F$6*SIN($F$6*B284))</x:f>
      </x:c>
      <x:c r="H284" s="14">
        <x:f>IF(B284="","", $F$8*COS(B284) - $B$7*$F$6*COS($F$6*B284))</x:f>
      </x:c>
    </x:row>
    <x:row r="285">
      <x:c r="A285" s="13" t="n">
        <x:v>266</x:v>
      </x:c>
      <x:c r="B285" s="14">
        <x:f>IF($B$12&lt;266,"",$B$13+(266-1)*($B$14-$B$13)/($B$12-1))</x:f>
      </x:c>
      <x:c r="C285" s="14">
        <x:f>IF(B285="","",$F$8*COS(B285) + $B$7*COS($F$6*B285))</x:f>
      </x:c>
      <x:c r="D285" s="14">
        <x:f>IF(B285="","",$F$8*SIN(B285) - $B$7*SIN($F$6*B285))</x:f>
      </x:c>
      <x:c r="E285" s="14">
        <x:f>IF(B285="","", C285 + $F$12*$F$9*(-H285)/IF(SQRT(G285^2+H285^2)=0,1,SQRT(G285^2+H285^2)))</x:f>
      </x:c>
      <x:c r="F285" s="14">
        <x:f>IF(B285="","", D285 + $F$12*$F$9*(G285)/IF(SQRT(G285^2+H285^2)=0,1,SQRT(G285^2+H285^2)))</x:f>
      </x:c>
      <x:c r="G285" s="14">
        <x:f>IF(B285="","", -$F$8*SIN(B285) - $B$7*$F$6*SIN($F$6*B285))</x:f>
      </x:c>
      <x:c r="H285" s="14">
        <x:f>IF(B285="","", $F$8*COS(B285) - $B$7*$F$6*COS($F$6*B285))</x:f>
      </x:c>
    </x:row>
    <x:row r="286">
      <x:c r="A286" s="13" t="n">
        <x:v>267</x:v>
      </x:c>
      <x:c r="B286" s="14">
        <x:f>IF($B$12&lt;267,"",$B$13+(267-1)*($B$14-$B$13)/($B$12-1))</x:f>
      </x:c>
      <x:c r="C286" s="14">
        <x:f>IF(B286="","",$F$8*COS(B286) + $B$7*COS($F$6*B286))</x:f>
      </x:c>
      <x:c r="D286" s="14">
        <x:f>IF(B286="","",$F$8*SIN(B286) - $B$7*SIN($F$6*B286))</x:f>
      </x:c>
      <x:c r="E286" s="14">
        <x:f>IF(B286="","", C286 + $F$12*$F$9*(-H286)/IF(SQRT(G286^2+H286^2)=0,1,SQRT(G286^2+H286^2)))</x:f>
      </x:c>
      <x:c r="F286" s="14">
        <x:f>IF(B286="","", D286 + $F$12*$F$9*(G286)/IF(SQRT(G286^2+H286^2)=0,1,SQRT(G286^2+H286^2)))</x:f>
      </x:c>
      <x:c r="G286" s="14">
        <x:f>IF(B286="","", -$F$8*SIN(B286) - $B$7*$F$6*SIN($F$6*B286))</x:f>
      </x:c>
      <x:c r="H286" s="14">
        <x:f>IF(B286="","", $F$8*COS(B286) - $B$7*$F$6*COS($F$6*B286))</x:f>
      </x:c>
    </x:row>
    <x:row r="287">
      <x:c r="A287" s="13" t="n">
        <x:v>268</x:v>
      </x:c>
      <x:c r="B287" s="14">
        <x:f>IF($B$12&lt;268,"",$B$13+(268-1)*($B$14-$B$13)/($B$12-1))</x:f>
      </x:c>
      <x:c r="C287" s="14">
        <x:f>IF(B287="","",$F$8*COS(B287) + $B$7*COS($F$6*B287))</x:f>
      </x:c>
      <x:c r="D287" s="14">
        <x:f>IF(B287="","",$F$8*SIN(B287) - $B$7*SIN($F$6*B287))</x:f>
      </x:c>
      <x:c r="E287" s="14">
        <x:f>IF(B287="","", C287 + $F$12*$F$9*(-H287)/IF(SQRT(G287^2+H287^2)=0,1,SQRT(G287^2+H287^2)))</x:f>
      </x:c>
      <x:c r="F287" s="14">
        <x:f>IF(B287="","", D287 + $F$12*$F$9*(G287)/IF(SQRT(G287^2+H287^2)=0,1,SQRT(G287^2+H287^2)))</x:f>
      </x:c>
      <x:c r="G287" s="14">
        <x:f>IF(B287="","", -$F$8*SIN(B287) - $B$7*$F$6*SIN($F$6*B287))</x:f>
      </x:c>
      <x:c r="H287" s="14">
        <x:f>IF(B287="","", $F$8*COS(B287) - $B$7*$F$6*COS($F$6*B287))</x:f>
      </x:c>
    </x:row>
    <x:row r="288">
      <x:c r="A288" s="13" t="n">
        <x:v>269</x:v>
      </x:c>
      <x:c r="B288" s="14">
        <x:f>IF($B$12&lt;269,"",$B$13+(269-1)*($B$14-$B$13)/($B$12-1))</x:f>
      </x:c>
      <x:c r="C288" s="14">
        <x:f>IF(B288="","",$F$8*COS(B288) + $B$7*COS($F$6*B288))</x:f>
      </x:c>
      <x:c r="D288" s="14">
        <x:f>IF(B288="","",$F$8*SIN(B288) - $B$7*SIN($F$6*B288))</x:f>
      </x:c>
      <x:c r="E288" s="14">
        <x:f>IF(B288="","", C288 + $F$12*$F$9*(-H288)/IF(SQRT(G288^2+H288^2)=0,1,SQRT(G288^2+H288^2)))</x:f>
      </x:c>
      <x:c r="F288" s="14">
        <x:f>IF(B288="","", D288 + $F$12*$F$9*(G288)/IF(SQRT(G288^2+H288^2)=0,1,SQRT(G288^2+H288^2)))</x:f>
      </x:c>
      <x:c r="G288" s="14">
        <x:f>IF(B288="","", -$F$8*SIN(B288) - $B$7*$F$6*SIN($F$6*B288))</x:f>
      </x:c>
      <x:c r="H288" s="14">
        <x:f>IF(B288="","", $F$8*COS(B288) - $B$7*$F$6*COS($F$6*B288))</x:f>
      </x:c>
    </x:row>
    <x:row r="289">
      <x:c r="A289" s="13" t="n">
        <x:v>270</x:v>
      </x:c>
      <x:c r="B289" s="14">
        <x:f>IF($B$12&lt;270,"",$B$13+(270-1)*($B$14-$B$13)/($B$12-1))</x:f>
      </x:c>
      <x:c r="C289" s="14">
        <x:f>IF(B289="","",$F$8*COS(B289) + $B$7*COS($F$6*B289))</x:f>
      </x:c>
      <x:c r="D289" s="14">
        <x:f>IF(B289="","",$F$8*SIN(B289) - $B$7*SIN($F$6*B289))</x:f>
      </x:c>
      <x:c r="E289" s="14">
        <x:f>IF(B289="","", C289 + $F$12*$F$9*(-H289)/IF(SQRT(G289^2+H289^2)=0,1,SQRT(G289^2+H289^2)))</x:f>
      </x:c>
      <x:c r="F289" s="14">
        <x:f>IF(B289="","", D289 + $F$12*$F$9*(G289)/IF(SQRT(G289^2+H289^2)=0,1,SQRT(G289^2+H289^2)))</x:f>
      </x:c>
      <x:c r="G289" s="14">
        <x:f>IF(B289="","", -$F$8*SIN(B289) - $B$7*$F$6*SIN($F$6*B289))</x:f>
      </x:c>
      <x:c r="H289" s="14">
        <x:f>IF(B289="","", $F$8*COS(B289) - $B$7*$F$6*COS($F$6*B289))</x:f>
      </x:c>
    </x:row>
    <x:row r="290">
      <x:c r="A290" s="13" t="n">
        <x:v>271</x:v>
      </x:c>
      <x:c r="B290" s="14">
        <x:f>IF($B$12&lt;271,"",$B$13+(271-1)*($B$14-$B$13)/($B$12-1))</x:f>
      </x:c>
      <x:c r="C290" s="14">
        <x:f>IF(B290="","",$F$8*COS(B290) + $B$7*COS($F$6*B290))</x:f>
      </x:c>
      <x:c r="D290" s="14">
        <x:f>IF(B290="","",$F$8*SIN(B290) - $B$7*SIN($F$6*B290))</x:f>
      </x:c>
      <x:c r="E290" s="14">
        <x:f>IF(B290="","", C290 + $F$12*$F$9*(-H290)/IF(SQRT(G290^2+H290^2)=0,1,SQRT(G290^2+H290^2)))</x:f>
      </x:c>
      <x:c r="F290" s="14">
        <x:f>IF(B290="","", D290 + $F$12*$F$9*(G290)/IF(SQRT(G290^2+H290^2)=0,1,SQRT(G290^2+H290^2)))</x:f>
      </x:c>
      <x:c r="G290" s="14">
        <x:f>IF(B290="","", -$F$8*SIN(B290) - $B$7*$F$6*SIN($F$6*B290))</x:f>
      </x:c>
      <x:c r="H290" s="14">
        <x:f>IF(B290="","", $F$8*COS(B290) - $B$7*$F$6*COS($F$6*B290))</x:f>
      </x:c>
    </x:row>
    <x:row r="291">
      <x:c r="A291" s="13" t="n">
        <x:v>272</x:v>
      </x:c>
      <x:c r="B291" s="14">
        <x:f>IF($B$12&lt;272,"",$B$13+(272-1)*($B$14-$B$13)/($B$12-1))</x:f>
      </x:c>
      <x:c r="C291" s="14">
        <x:f>IF(B291="","",$F$8*COS(B291) + $B$7*COS($F$6*B291))</x:f>
      </x:c>
      <x:c r="D291" s="14">
        <x:f>IF(B291="","",$F$8*SIN(B291) - $B$7*SIN($F$6*B291))</x:f>
      </x:c>
      <x:c r="E291" s="14">
        <x:f>IF(B291="","", C291 + $F$12*$F$9*(-H291)/IF(SQRT(G291^2+H291^2)=0,1,SQRT(G291^2+H291^2)))</x:f>
      </x:c>
      <x:c r="F291" s="14">
        <x:f>IF(B291="","", D291 + $F$12*$F$9*(G291)/IF(SQRT(G291^2+H291^2)=0,1,SQRT(G291^2+H291^2)))</x:f>
      </x:c>
      <x:c r="G291" s="14">
        <x:f>IF(B291="","", -$F$8*SIN(B291) - $B$7*$F$6*SIN($F$6*B291))</x:f>
      </x:c>
      <x:c r="H291" s="14">
        <x:f>IF(B291="","", $F$8*COS(B291) - $B$7*$F$6*COS($F$6*B291))</x:f>
      </x:c>
    </x:row>
    <x:row r="292">
      <x:c r="A292" s="13" t="n">
        <x:v>273</x:v>
      </x:c>
      <x:c r="B292" s="14">
        <x:f>IF($B$12&lt;273,"",$B$13+(273-1)*($B$14-$B$13)/($B$12-1))</x:f>
      </x:c>
      <x:c r="C292" s="14">
        <x:f>IF(B292="","",$F$8*COS(B292) + $B$7*COS($F$6*B292))</x:f>
      </x:c>
      <x:c r="D292" s="14">
        <x:f>IF(B292="","",$F$8*SIN(B292) - $B$7*SIN($F$6*B292))</x:f>
      </x:c>
      <x:c r="E292" s="14">
        <x:f>IF(B292="","", C292 + $F$12*$F$9*(-H292)/IF(SQRT(G292^2+H292^2)=0,1,SQRT(G292^2+H292^2)))</x:f>
      </x:c>
      <x:c r="F292" s="14">
        <x:f>IF(B292="","", D292 + $F$12*$F$9*(G292)/IF(SQRT(G292^2+H292^2)=0,1,SQRT(G292^2+H292^2)))</x:f>
      </x:c>
      <x:c r="G292" s="14">
        <x:f>IF(B292="","", -$F$8*SIN(B292) - $B$7*$F$6*SIN($F$6*B292))</x:f>
      </x:c>
      <x:c r="H292" s="14">
        <x:f>IF(B292="","", $F$8*COS(B292) - $B$7*$F$6*COS($F$6*B292))</x:f>
      </x:c>
    </x:row>
    <x:row r="293">
      <x:c r="A293" s="13" t="n">
        <x:v>274</x:v>
      </x:c>
      <x:c r="B293" s="14">
        <x:f>IF($B$12&lt;274,"",$B$13+(274-1)*($B$14-$B$13)/($B$12-1))</x:f>
      </x:c>
      <x:c r="C293" s="14">
        <x:f>IF(B293="","",$F$8*COS(B293) + $B$7*COS($F$6*B293))</x:f>
      </x:c>
      <x:c r="D293" s="14">
        <x:f>IF(B293="","",$F$8*SIN(B293) - $B$7*SIN($F$6*B293))</x:f>
      </x:c>
      <x:c r="E293" s="14">
        <x:f>IF(B293="","", C293 + $F$12*$F$9*(-H293)/IF(SQRT(G293^2+H293^2)=0,1,SQRT(G293^2+H293^2)))</x:f>
      </x:c>
      <x:c r="F293" s="14">
        <x:f>IF(B293="","", D293 + $F$12*$F$9*(G293)/IF(SQRT(G293^2+H293^2)=0,1,SQRT(G293^2+H293^2)))</x:f>
      </x:c>
      <x:c r="G293" s="14">
        <x:f>IF(B293="","", -$F$8*SIN(B293) - $B$7*$F$6*SIN($F$6*B293))</x:f>
      </x:c>
      <x:c r="H293" s="14">
        <x:f>IF(B293="","", $F$8*COS(B293) - $B$7*$F$6*COS($F$6*B293))</x:f>
      </x:c>
    </x:row>
    <x:row r="294">
      <x:c r="A294" s="13" t="n">
        <x:v>275</x:v>
      </x:c>
      <x:c r="B294" s="14">
        <x:f>IF($B$12&lt;275,"",$B$13+(275-1)*($B$14-$B$13)/($B$12-1))</x:f>
      </x:c>
      <x:c r="C294" s="14">
        <x:f>IF(B294="","",$F$8*COS(B294) + $B$7*COS($F$6*B294))</x:f>
      </x:c>
      <x:c r="D294" s="14">
        <x:f>IF(B294="","",$F$8*SIN(B294) - $B$7*SIN($F$6*B294))</x:f>
      </x:c>
      <x:c r="E294" s="14">
        <x:f>IF(B294="","", C294 + $F$12*$F$9*(-H294)/IF(SQRT(G294^2+H294^2)=0,1,SQRT(G294^2+H294^2)))</x:f>
      </x:c>
      <x:c r="F294" s="14">
        <x:f>IF(B294="","", D294 + $F$12*$F$9*(G294)/IF(SQRT(G294^2+H294^2)=0,1,SQRT(G294^2+H294^2)))</x:f>
      </x:c>
      <x:c r="G294" s="14">
        <x:f>IF(B294="","", -$F$8*SIN(B294) - $B$7*$F$6*SIN($F$6*B294))</x:f>
      </x:c>
      <x:c r="H294" s="14">
        <x:f>IF(B294="","", $F$8*COS(B294) - $B$7*$F$6*COS($F$6*B294))</x:f>
      </x:c>
    </x:row>
    <x:row r="295">
      <x:c r="A295" s="13" t="n">
        <x:v>276</x:v>
      </x:c>
      <x:c r="B295" s="14">
        <x:f>IF($B$12&lt;276,"",$B$13+(276-1)*($B$14-$B$13)/($B$12-1))</x:f>
      </x:c>
      <x:c r="C295" s="14">
        <x:f>IF(B295="","",$F$8*COS(B295) + $B$7*COS($F$6*B295))</x:f>
      </x:c>
      <x:c r="D295" s="14">
        <x:f>IF(B295="","",$F$8*SIN(B295) - $B$7*SIN($F$6*B295))</x:f>
      </x:c>
      <x:c r="E295" s="14">
        <x:f>IF(B295="","", C295 + $F$12*$F$9*(-H295)/IF(SQRT(G295^2+H295^2)=0,1,SQRT(G295^2+H295^2)))</x:f>
      </x:c>
      <x:c r="F295" s="14">
        <x:f>IF(B295="","", D295 + $F$12*$F$9*(G295)/IF(SQRT(G295^2+H295^2)=0,1,SQRT(G295^2+H295^2)))</x:f>
      </x:c>
      <x:c r="G295" s="14">
        <x:f>IF(B295="","", -$F$8*SIN(B295) - $B$7*$F$6*SIN($F$6*B295))</x:f>
      </x:c>
      <x:c r="H295" s="14">
        <x:f>IF(B295="","", $F$8*COS(B295) - $B$7*$F$6*COS($F$6*B295))</x:f>
      </x:c>
    </x:row>
    <x:row r="296">
      <x:c r="A296" s="13" t="n">
        <x:v>277</x:v>
      </x:c>
      <x:c r="B296" s="14">
        <x:f>IF($B$12&lt;277,"",$B$13+(277-1)*($B$14-$B$13)/($B$12-1))</x:f>
      </x:c>
      <x:c r="C296" s="14">
        <x:f>IF(B296="","",$F$8*COS(B296) + $B$7*COS($F$6*B296))</x:f>
      </x:c>
      <x:c r="D296" s="14">
        <x:f>IF(B296="","",$F$8*SIN(B296) - $B$7*SIN($F$6*B296))</x:f>
      </x:c>
      <x:c r="E296" s="14">
        <x:f>IF(B296="","", C296 + $F$12*$F$9*(-H296)/IF(SQRT(G296^2+H296^2)=0,1,SQRT(G296^2+H296^2)))</x:f>
      </x:c>
      <x:c r="F296" s="14">
        <x:f>IF(B296="","", D296 + $F$12*$F$9*(G296)/IF(SQRT(G296^2+H296^2)=0,1,SQRT(G296^2+H296^2)))</x:f>
      </x:c>
      <x:c r="G296" s="14">
        <x:f>IF(B296="","", -$F$8*SIN(B296) - $B$7*$F$6*SIN($F$6*B296))</x:f>
      </x:c>
      <x:c r="H296" s="14">
        <x:f>IF(B296="","", $F$8*COS(B296) - $B$7*$F$6*COS($F$6*B296))</x:f>
      </x:c>
    </x:row>
    <x:row r="297">
      <x:c r="A297" s="13" t="n">
        <x:v>278</x:v>
      </x:c>
      <x:c r="B297" s="14">
        <x:f>IF($B$12&lt;278,"",$B$13+(278-1)*($B$14-$B$13)/($B$12-1))</x:f>
      </x:c>
      <x:c r="C297" s="14">
        <x:f>IF(B297="","",$F$8*COS(B297) + $B$7*COS($F$6*B297))</x:f>
      </x:c>
      <x:c r="D297" s="14">
        <x:f>IF(B297="","",$F$8*SIN(B297) - $B$7*SIN($F$6*B297))</x:f>
      </x:c>
      <x:c r="E297" s="14">
        <x:f>IF(B297="","", C297 + $F$12*$F$9*(-H297)/IF(SQRT(G297^2+H297^2)=0,1,SQRT(G297^2+H297^2)))</x:f>
      </x:c>
      <x:c r="F297" s="14">
        <x:f>IF(B297="","", D297 + $F$12*$F$9*(G297)/IF(SQRT(G297^2+H297^2)=0,1,SQRT(G297^2+H297^2)))</x:f>
      </x:c>
      <x:c r="G297" s="14">
        <x:f>IF(B297="","", -$F$8*SIN(B297) - $B$7*$F$6*SIN($F$6*B297))</x:f>
      </x:c>
      <x:c r="H297" s="14">
        <x:f>IF(B297="","", $F$8*COS(B297) - $B$7*$F$6*COS($F$6*B297))</x:f>
      </x:c>
    </x:row>
    <x:row r="298">
      <x:c r="A298" s="13" t="n">
        <x:v>279</x:v>
      </x:c>
      <x:c r="B298" s="14">
        <x:f>IF($B$12&lt;279,"",$B$13+(279-1)*($B$14-$B$13)/($B$12-1))</x:f>
      </x:c>
      <x:c r="C298" s="14">
        <x:f>IF(B298="","",$F$8*COS(B298) + $B$7*COS($F$6*B298))</x:f>
      </x:c>
      <x:c r="D298" s="14">
        <x:f>IF(B298="","",$F$8*SIN(B298) - $B$7*SIN($F$6*B298))</x:f>
      </x:c>
      <x:c r="E298" s="14">
        <x:f>IF(B298="","", C298 + $F$12*$F$9*(-H298)/IF(SQRT(G298^2+H298^2)=0,1,SQRT(G298^2+H298^2)))</x:f>
      </x:c>
      <x:c r="F298" s="14">
        <x:f>IF(B298="","", D298 + $F$12*$F$9*(G298)/IF(SQRT(G298^2+H298^2)=0,1,SQRT(G298^2+H298^2)))</x:f>
      </x:c>
      <x:c r="G298" s="14">
        <x:f>IF(B298="","", -$F$8*SIN(B298) - $B$7*$F$6*SIN($F$6*B298))</x:f>
      </x:c>
      <x:c r="H298" s="14">
        <x:f>IF(B298="","", $F$8*COS(B298) - $B$7*$F$6*COS($F$6*B298))</x:f>
      </x:c>
    </x:row>
    <x:row r="299">
      <x:c r="A299" s="13" t="n">
        <x:v>280</x:v>
      </x:c>
      <x:c r="B299" s="14">
        <x:f>IF($B$12&lt;280,"",$B$13+(280-1)*($B$14-$B$13)/($B$12-1))</x:f>
      </x:c>
      <x:c r="C299" s="14">
        <x:f>IF(B299="","",$F$8*COS(B299) + $B$7*COS($F$6*B299))</x:f>
      </x:c>
      <x:c r="D299" s="14">
        <x:f>IF(B299="","",$F$8*SIN(B299) - $B$7*SIN($F$6*B299))</x:f>
      </x:c>
      <x:c r="E299" s="14">
        <x:f>IF(B299="","", C299 + $F$12*$F$9*(-H299)/IF(SQRT(G299^2+H299^2)=0,1,SQRT(G299^2+H299^2)))</x:f>
      </x:c>
      <x:c r="F299" s="14">
        <x:f>IF(B299="","", D299 + $F$12*$F$9*(G299)/IF(SQRT(G299^2+H299^2)=0,1,SQRT(G299^2+H299^2)))</x:f>
      </x:c>
      <x:c r="G299" s="14">
        <x:f>IF(B299="","", -$F$8*SIN(B299) - $B$7*$F$6*SIN($F$6*B299))</x:f>
      </x:c>
      <x:c r="H299" s="14">
        <x:f>IF(B299="","", $F$8*COS(B299) - $B$7*$F$6*COS($F$6*B299))</x:f>
      </x:c>
    </x:row>
    <x:row r="300">
      <x:c r="A300" s="13" t="n">
        <x:v>281</x:v>
      </x:c>
      <x:c r="B300" s="14">
        <x:f>IF($B$12&lt;281,"",$B$13+(281-1)*($B$14-$B$13)/($B$12-1))</x:f>
      </x:c>
      <x:c r="C300" s="14">
        <x:f>IF(B300="","",$F$8*COS(B300) + $B$7*COS($F$6*B300))</x:f>
      </x:c>
      <x:c r="D300" s="14">
        <x:f>IF(B300="","",$F$8*SIN(B300) - $B$7*SIN($F$6*B300))</x:f>
      </x:c>
      <x:c r="E300" s="14">
        <x:f>IF(B300="","", C300 + $F$12*$F$9*(-H300)/IF(SQRT(G300^2+H300^2)=0,1,SQRT(G300^2+H300^2)))</x:f>
      </x:c>
      <x:c r="F300" s="14">
        <x:f>IF(B300="","", D300 + $F$12*$F$9*(G300)/IF(SQRT(G300^2+H300^2)=0,1,SQRT(G300^2+H300^2)))</x:f>
      </x:c>
      <x:c r="G300" s="14">
        <x:f>IF(B300="","", -$F$8*SIN(B300) - $B$7*$F$6*SIN($F$6*B300))</x:f>
      </x:c>
      <x:c r="H300" s="14">
        <x:f>IF(B300="","", $F$8*COS(B300) - $B$7*$F$6*COS($F$6*B300))</x:f>
      </x:c>
    </x:row>
    <x:row r="301">
      <x:c r="A301" s="13" t="n">
        <x:v>282</x:v>
      </x:c>
      <x:c r="B301" s="14">
        <x:f>IF($B$12&lt;282,"",$B$13+(282-1)*($B$14-$B$13)/($B$12-1))</x:f>
      </x:c>
      <x:c r="C301" s="14">
        <x:f>IF(B301="","",$F$8*COS(B301) + $B$7*COS($F$6*B301))</x:f>
      </x:c>
      <x:c r="D301" s="14">
        <x:f>IF(B301="","",$F$8*SIN(B301) - $B$7*SIN($F$6*B301))</x:f>
      </x:c>
      <x:c r="E301" s="14">
        <x:f>IF(B301="","", C301 + $F$12*$F$9*(-H301)/IF(SQRT(G301^2+H301^2)=0,1,SQRT(G301^2+H301^2)))</x:f>
      </x:c>
      <x:c r="F301" s="14">
        <x:f>IF(B301="","", D301 + $F$12*$F$9*(G301)/IF(SQRT(G301^2+H301^2)=0,1,SQRT(G301^2+H301^2)))</x:f>
      </x:c>
      <x:c r="G301" s="14">
        <x:f>IF(B301="","", -$F$8*SIN(B301) - $B$7*$F$6*SIN($F$6*B301))</x:f>
      </x:c>
      <x:c r="H301" s="14">
        <x:f>IF(B301="","", $F$8*COS(B301) - $B$7*$F$6*COS($F$6*B301))</x:f>
      </x:c>
    </x:row>
    <x:row r="302">
      <x:c r="A302" s="13" t="n">
        <x:v>283</x:v>
      </x:c>
      <x:c r="B302" s="14">
        <x:f>IF($B$12&lt;283,"",$B$13+(283-1)*($B$14-$B$13)/($B$12-1))</x:f>
      </x:c>
      <x:c r="C302" s="14">
        <x:f>IF(B302="","",$F$8*COS(B302) + $B$7*COS($F$6*B302))</x:f>
      </x:c>
      <x:c r="D302" s="14">
        <x:f>IF(B302="","",$F$8*SIN(B302) - $B$7*SIN($F$6*B302))</x:f>
      </x:c>
      <x:c r="E302" s="14">
        <x:f>IF(B302="","", C302 + $F$12*$F$9*(-H302)/IF(SQRT(G302^2+H302^2)=0,1,SQRT(G302^2+H302^2)))</x:f>
      </x:c>
      <x:c r="F302" s="14">
        <x:f>IF(B302="","", D302 + $F$12*$F$9*(G302)/IF(SQRT(G302^2+H302^2)=0,1,SQRT(G302^2+H302^2)))</x:f>
      </x:c>
      <x:c r="G302" s="14">
        <x:f>IF(B302="","", -$F$8*SIN(B302) - $B$7*$F$6*SIN($F$6*B302))</x:f>
      </x:c>
      <x:c r="H302" s="14">
        <x:f>IF(B302="","", $F$8*COS(B302) - $B$7*$F$6*COS($F$6*B302))</x:f>
      </x:c>
    </x:row>
    <x:row r="303">
      <x:c r="A303" s="13" t="n">
        <x:v>284</x:v>
      </x:c>
      <x:c r="B303" s="14">
        <x:f>IF($B$12&lt;284,"",$B$13+(284-1)*($B$14-$B$13)/($B$12-1))</x:f>
      </x:c>
      <x:c r="C303" s="14">
        <x:f>IF(B303="","",$F$8*COS(B303) + $B$7*COS($F$6*B303))</x:f>
      </x:c>
      <x:c r="D303" s="14">
        <x:f>IF(B303="","",$F$8*SIN(B303) - $B$7*SIN($F$6*B303))</x:f>
      </x:c>
      <x:c r="E303" s="14">
        <x:f>IF(B303="","", C303 + $F$12*$F$9*(-H303)/IF(SQRT(G303^2+H303^2)=0,1,SQRT(G303^2+H303^2)))</x:f>
      </x:c>
      <x:c r="F303" s="14">
        <x:f>IF(B303="","", D303 + $F$12*$F$9*(G303)/IF(SQRT(G303^2+H303^2)=0,1,SQRT(G303^2+H303^2)))</x:f>
      </x:c>
      <x:c r="G303" s="14">
        <x:f>IF(B303="","", -$F$8*SIN(B303) - $B$7*$F$6*SIN($F$6*B303))</x:f>
      </x:c>
      <x:c r="H303" s="14">
        <x:f>IF(B303="","", $F$8*COS(B303) - $B$7*$F$6*COS($F$6*B303))</x:f>
      </x:c>
    </x:row>
    <x:row r="304">
      <x:c r="A304" s="13" t="n">
        <x:v>285</x:v>
      </x:c>
      <x:c r="B304" s="14">
        <x:f>IF($B$12&lt;285,"",$B$13+(285-1)*($B$14-$B$13)/($B$12-1))</x:f>
      </x:c>
      <x:c r="C304" s="14">
        <x:f>IF(B304="","",$F$8*COS(B304) + $B$7*COS($F$6*B304))</x:f>
      </x:c>
      <x:c r="D304" s="14">
        <x:f>IF(B304="","",$F$8*SIN(B304) - $B$7*SIN($F$6*B304))</x:f>
      </x:c>
      <x:c r="E304" s="14">
        <x:f>IF(B304="","", C304 + $F$12*$F$9*(-H304)/IF(SQRT(G304^2+H304^2)=0,1,SQRT(G304^2+H304^2)))</x:f>
      </x:c>
      <x:c r="F304" s="14">
        <x:f>IF(B304="","", D304 + $F$12*$F$9*(G304)/IF(SQRT(G304^2+H304^2)=0,1,SQRT(G304^2+H304^2)))</x:f>
      </x:c>
      <x:c r="G304" s="14">
        <x:f>IF(B304="","", -$F$8*SIN(B304) - $B$7*$F$6*SIN($F$6*B304))</x:f>
      </x:c>
      <x:c r="H304" s="14">
        <x:f>IF(B304="","", $F$8*COS(B304) - $B$7*$F$6*COS($F$6*B304))</x:f>
      </x:c>
    </x:row>
    <x:row r="305">
      <x:c r="A305" s="13" t="n">
        <x:v>286</x:v>
      </x:c>
      <x:c r="B305" s="14">
        <x:f>IF($B$12&lt;286,"",$B$13+(286-1)*($B$14-$B$13)/($B$12-1))</x:f>
      </x:c>
      <x:c r="C305" s="14">
        <x:f>IF(B305="","",$F$8*COS(B305) + $B$7*COS($F$6*B305))</x:f>
      </x:c>
      <x:c r="D305" s="14">
        <x:f>IF(B305="","",$F$8*SIN(B305) - $B$7*SIN($F$6*B305))</x:f>
      </x:c>
      <x:c r="E305" s="14">
        <x:f>IF(B305="","", C305 + $F$12*$F$9*(-H305)/IF(SQRT(G305^2+H305^2)=0,1,SQRT(G305^2+H305^2)))</x:f>
      </x:c>
      <x:c r="F305" s="14">
        <x:f>IF(B305="","", D305 + $F$12*$F$9*(G305)/IF(SQRT(G305^2+H305^2)=0,1,SQRT(G305^2+H305^2)))</x:f>
      </x:c>
      <x:c r="G305" s="14">
        <x:f>IF(B305="","", -$F$8*SIN(B305) - $B$7*$F$6*SIN($F$6*B305))</x:f>
      </x:c>
      <x:c r="H305" s="14">
        <x:f>IF(B305="","", $F$8*COS(B305) - $B$7*$F$6*COS($F$6*B305))</x:f>
      </x:c>
    </x:row>
    <x:row r="306">
      <x:c r="A306" s="13" t="n">
        <x:v>287</x:v>
      </x:c>
      <x:c r="B306" s="14">
        <x:f>IF($B$12&lt;287,"",$B$13+(287-1)*($B$14-$B$13)/($B$12-1))</x:f>
      </x:c>
      <x:c r="C306" s="14">
        <x:f>IF(B306="","",$F$8*COS(B306) + $B$7*COS($F$6*B306))</x:f>
      </x:c>
      <x:c r="D306" s="14">
        <x:f>IF(B306="","",$F$8*SIN(B306) - $B$7*SIN($F$6*B306))</x:f>
      </x:c>
      <x:c r="E306" s="14">
        <x:f>IF(B306="","", C306 + $F$12*$F$9*(-H306)/IF(SQRT(G306^2+H306^2)=0,1,SQRT(G306^2+H306^2)))</x:f>
      </x:c>
      <x:c r="F306" s="14">
        <x:f>IF(B306="","", D306 + $F$12*$F$9*(G306)/IF(SQRT(G306^2+H306^2)=0,1,SQRT(G306^2+H306^2)))</x:f>
      </x:c>
      <x:c r="G306" s="14">
        <x:f>IF(B306="","", -$F$8*SIN(B306) - $B$7*$F$6*SIN($F$6*B306))</x:f>
      </x:c>
      <x:c r="H306" s="14">
        <x:f>IF(B306="","", $F$8*COS(B306) - $B$7*$F$6*COS($F$6*B306))</x:f>
      </x:c>
    </x:row>
    <x:row r="307">
      <x:c r="A307" s="13" t="n">
        <x:v>288</x:v>
      </x:c>
      <x:c r="B307" s="14">
        <x:f>IF($B$12&lt;288,"",$B$13+(288-1)*($B$14-$B$13)/($B$12-1))</x:f>
      </x:c>
      <x:c r="C307" s="14">
        <x:f>IF(B307="","",$F$8*COS(B307) + $B$7*COS($F$6*B307))</x:f>
      </x:c>
      <x:c r="D307" s="14">
        <x:f>IF(B307="","",$F$8*SIN(B307) - $B$7*SIN($F$6*B307))</x:f>
      </x:c>
      <x:c r="E307" s="14">
        <x:f>IF(B307="","", C307 + $F$12*$F$9*(-H307)/IF(SQRT(G307^2+H307^2)=0,1,SQRT(G307^2+H307^2)))</x:f>
      </x:c>
      <x:c r="F307" s="14">
        <x:f>IF(B307="","", D307 + $F$12*$F$9*(G307)/IF(SQRT(G307^2+H307^2)=0,1,SQRT(G307^2+H307^2)))</x:f>
      </x:c>
      <x:c r="G307" s="14">
        <x:f>IF(B307="","", -$F$8*SIN(B307) - $B$7*$F$6*SIN($F$6*B307))</x:f>
      </x:c>
      <x:c r="H307" s="14">
        <x:f>IF(B307="","", $F$8*COS(B307) - $B$7*$F$6*COS($F$6*B307))</x:f>
      </x:c>
    </x:row>
    <x:row r="308">
      <x:c r="A308" s="13" t="n">
        <x:v>289</x:v>
      </x:c>
      <x:c r="B308" s="14">
        <x:f>IF($B$12&lt;289,"",$B$13+(289-1)*($B$14-$B$13)/($B$12-1))</x:f>
      </x:c>
      <x:c r="C308" s="14">
        <x:f>IF(B308="","",$F$8*COS(B308) + $B$7*COS($F$6*B308))</x:f>
      </x:c>
      <x:c r="D308" s="14">
        <x:f>IF(B308="","",$F$8*SIN(B308) - $B$7*SIN($F$6*B308))</x:f>
      </x:c>
      <x:c r="E308" s="14">
        <x:f>IF(B308="","", C308 + $F$12*$F$9*(-H308)/IF(SQRT(G308^2+H308^2)=0,1,SQRT(G308^2+H308^2)))</x:f>
      </x:c>
      <x:c r="F308" s="14">
        <x:f>IF(B308="","", D308 + $F$12*$F$9*(G308)/IF(SQRT(G308^2+H308^2)=0,1,SQRT(G308^2+H308^2)))</x:f>
      </x:c>
      <x:c r="G308" s="14">
        <x:f>IF(B308="","", -$F$8*SIN(B308) - $B$7*$F$6*SIN($F$6*B308))</x:f>
      </x:c>
      <x:c r="H308" s="14">
        <x:f>IF(B308="","", $F$8*COS(B308) - $B$7*$F$6*COS($F$6*B308))</x:f>
      </x:c>
    </x:row>
    <x:row r="309">
      <x:c r="A309" s="13" t="n">
        <x:v>290</x:v>
      </x:c>
      <x:c r="B309" s="14">
        <x:f>IF($B$12&lt;290,"",$B$13+(290-1)*($B$14-$B$13)/($B$12-1))</x:f>
      </x:c>
      <x:c r="C309" s="14">
        <x:f>IF(B309="","",$F$8*COS(B309) + $B$7*COS($F$6*B309))</x:f>
      </x:c>
      <x:c r="D309" s="14">
        <x:f>IF(B309="","",$F$8*SIN(B309) - $B$7*SIN($F$6*B309))</x:f>
      </x:c>
      <x:c r="E309" s="14">
        <x:f>IF(B309="","", C309 + $F$12*$F$9*(-H309)/IF(SQRT(G309^2+H309^2)=0,1,SQRT(G309^2+H309^2)))</x:f>
      </x:c>
      <x:c r="F309" s="14">
        <x:f>IF(B309="","", D309 + $F$12*$F$9*(G309)/IF(SQRT(G309^2+H309^2)=0,1,SQRT(G309^2+H309^2)))</x:f>
      </x:c>
      <x:c r="G309" s="14">
        <x:f>IF(B309="","", -$F$8*SIN(B309) - $B$7*$F$6*SIN($F$6*B309))</x:f>
      </x:c>
      <x:c r="H309" s="14">
        <x:f>IF(B309="","", $F$8*COS(B309) - $B$7*$F$6*COS($F$6*B309))</x:f>
      </x:c>
    </x:row>
    <x:row r="310">
      <x:c r="A310" s="13" t="n">
        <x:v>291</x:v>
      </x:c>
      <x:c r="B310" s="14">
        <x:f>IF($B$12&lt;291,"",$B$13+(291-1)*($B$14-$B$13)/($B$12-1))</x:f>
      </x:c>
      <x:c r="C310" s="14">
        <x:f>IF(B310="","",$F$8*COS(B310) + $B$7*COS($F$6*B310))</x:f>
      </x:c>
      <x:c r="D310" s="14">
        <x:f>IF(B310="","",$F$8*SIN(B310) - $B$7*SIN($F$6*B310))</x:f>
      </x:c>
      <x:c r="E310" s="14">
        <x:f>IF(B310="","", C310 + $F$12*$F$9*(-H310)/IF(SQRT(G310^2+H310^2)=0,1,SQRT(G310^2+H310^2)))</x:f>
      </x:c>
      <x:c r="F310" s="14">
        <x:f>IF(B310="","", D310 + $F$12*$F$9*(G310)/IF(SQRT(G310^2+H310^2)=0,1,SQRT(G310^2+H310^2)))</x:f>
      </x:c>
      <x:c r="G310" s="14">
        <x:f>IF(B310="","", -$F$8*SIN(B310) - $B$7*$F$6*SIN($F$6*B310))</x:f>
      </x:c>
      <x:c r="H310" s="14">
        <x:f>IF(B310="","", $F$8*COS(B310) - $B$7*$F$6*COS($F$6*B310))</x:f>
      </x:c>
    </x:row>
    <x:row r="311">
      <x:c r="A311" s="13" t="n">
        <x:v>292</x:v>
      </x:c>
      <x:c r="B311" s="14">
        <x:f>IF($B$12&lt;292,"",$B$13+(292-1)*($B$14-$B$13)/($B$12-1))</x:f>
      </x:c>
      <x:c r="C311" s="14">
        <x:f>IF(B311="","",$F$8*COS(B311) + $B$7*COS($F$6*B311))</x:f>
      </x:c>
      <x:c r="D311" s="14">
        <x:f>IF(B311="","",$F$8*SIN(B311) - $B$7*SIN($F$6*B311))</x:f>
      </x:c>
      <x:c r="E311" s="14">
        <x:f>IF(B311="","", C311 + $F$12*$F$9*(-H311)/IF(SQRT(G311^2+H311^2)=0,1,SQRT(G311^2+H311^2)))</x:f>
      </x:c>
      <x:c r="F311" s="14">
        <x:f>IF(B311="","", D311 + $F$12*$F$9*(G311)/IF(SQRT(G311^2+H311^2)=0,1,SQRT(G311^2+H311^2)))</x:f>
      </x:c>
      <x:c r="G311" s="14">
        <x:f>IF(B311="","", -$F$8*SIN(B311) - $B$7*$F$6*SIN($F$6*B311))</x:f>
      </x:c>
      <x:c r="H311" s="14">
        <x:f>IF(B311="","", $F$8*COS(B311) - $B$7*$F$6*COS($F$6*B311))</x:f>
      </x:c>
    </x:row>
    <x:row r="312">
      <x:c r="A312" s="13" t="n">
        <x:v>293</x:v>
      </x:c>
      <x:c r="B312" s="14">
        <x:f>IF($B$12&lt;293,"",$B$13+(293-1)*($B$14-$B$13)/($B$12-1))</x:f>
      </x:c>
      <x:c r="C312" s="14">
        <x:f>IF(B312="","",$F$8*COS(B312) + $B$7*COS($F$6*B312))</x:f>
      </x:c>
      <x:c r="D312" s="14">
        <x:f>IF(B312="","",$F$8*SIN(B312) - $B$7*SIN($F$6*B312))</x:f>
      </x:c>
      <x:c r="E312" s="14">
        <x:f>IF(B312="","", C312 + $F$12*$F$9*(-H312)/IF(SQRT(G312^2+H312^2)=0,1,SQRT(G312^2+H312^2)))</x:f>
      </x:c>
      <x:c r="F312" s="14">
        <x:f>IF(B312="","", D312 + $F$12*$F$9*(G312)/IF(SQRT(G312^2+H312^2)=0,1,SQRT(G312^2+H312^2)))</x:f>
      </x:c>
      <x:c r="G312" s="14">
        <x:f>IF(B312="","", -$F$8*SIN(B312) - $B$7*$F$6*SIN($F$6*B312))</x:f>
      </x:c>
      <x:c r="H312" s="14">
        <x:f>IF(B312="","", $F$8*COS(B312) - $B$7*$F$6*COS($F$6*B312))</x:f>
      </x:c>
    </x:row>
    <x:row r="313">
      <x:c r="A313" s="13" t="n">
        <x:v>294</x:v>
      </x:c>
      <x:c r="B313" s="14">
        <x:f>IF($B$12&lt;294,"",$B$13+(294-1)*($B$14-$B$13)/($B$12-1))</x:f>
      </x:c>
      <x:c r="C313" s="14">
        <x:f>IF(B313="","",$F$8*COS(B313) + $B$7*COS($F$6*B313))</x:f>
      </x:c>
      <x:c r="D313" s="14">
        <x:f>IF(B313="","",$F$8*SIN(B313) - $B$7*SIN($F$6*B313))</x:f>
      </x:c>
      <x:c r="E313" s="14">
        <x:f>IF(B313="","", C313 + $F$12*$F$9*(-H313)/IF(SQRT(G313^2+H313^2)=0,1,SQRT(G313^2+H313^2)))</x:f>
      </x:c>
      <x:c r="F313" s="14">
        <x:f>IF(B313="","", D313 + $F$12*$F$9*(G313)/IF(SQRT(G313^2+H313^2)=0,1,SQRT(G313^2+H313^2)))</x:f>
      </x:c>
      <x:c r="G313" s="14">
        <x:f>IF(B313="","", -$F$8*SIN(B313) - $B$7*$F$6*SIN($F$6*B313))</x:f>
      </x:c>
      <x:c r="H313" s="14">
        <x:f>IF(B313="","", $F$8*COS(B313) - $B$7*$F$6*COS($F$6*B313))</x:f>
      </x:c>
    </x:row>
    <x:row r="314">
      <x:c r="A314" s="13" t="n">
        <x:v>295</x:v>
      </x:c>
      <x:c r="B314" s="14">
        <x:f>IF($B$12&lt;295,"",$B$13+(295-1)*($B$14-$B$13)/($B$12-1))</x:f>
      </x:c>
      <x:c r="C314" s="14">
        <x:f>IF(B314="","",$F$8*COS(B314) + $B$7*COS($F$6*B314))</x:f>
      </x:c>
      <x:c r="D314" s="14">
        <x:f>IF(B314="","",$F$8*SIN(B314) - $B$7*SIN($F$6*B314))</x:f>
      </x:c>
      <x:c r="E314" s="14">
        <x:f>IF(B314="","", C314 + $F$12*$F$9*(-H314)/IF(SQRT(G314^2+H314^2)=0,1,SQRT(G314^2+H314^2)))</x:f>
      </x:c>
      <x:c r="F314" s="14">
        <x:f>IF(B314="","", D314 + $F$12*$F$9*(G314)/IF(SQRT(G314^2+H314^2)=0,1,SQRT(G314^2+H314^2)))</x:f>
      </x:c>
      <x:c r="G314" s="14">
        <x:f>IF(B314="","", -$F$8*SIN(B314) - $B$7*$F$6*SIN($F$6*B314))</x:f>
      </x:c>
      <x:c r="H314" s="14">
        <x:f>IF(B314="","", $F$8*COS(B314) - $B$7*$F$6*COS($F$6*B314))</x:f>
      </x:c>
    </x:row>
    <x:row r="315">
      <x:c r="A315" s="13" t="n">
        <x:v>296</x:v>
      </x:c>
      <x:c r="B315" s="14">
        <x:f>IF($B$12&lt;296,"",$B$13+(296-1)*($B$14-$B$13)/($B$12-1))</x:f>
      </x:c>
      <x:c r="C315" s="14">
        <x:f>IF(B315="","",$F$8*COS(B315) + $B$7*COS($F$6*B315))</x:f>
      </x:c>
      <x:c r="D315" s="14">
        <x:f>IF(B315="","",$F$8*SIN(B315) - $B$7*SIN($F$6*B315))</x:f>
      </x:c>
      <x:c r="E315" s="14">
        <x:f>IF(B315="","", C315 + $F$12*$F$9*(-H315)/IF(SQRT(G315^2+H315^2)=0,1,SQRT(G315^2+H315^2)))</x:f>
      </x:c>
      <x:c r="F315" s="14">
        <x:f>IF(B315="","", D315 + $F$12*$F$9*(G315)/IF(SQRT(G315^2+H315^2)=0,1,SQRT(G315^2+H315^2)))</x:f>
      </x:c>
      <x:c r="G315" s="14">
        <x:f>IF(B315="","", -$F$8*SIN(B315) - $B$7*$F$6*SIN($F$6*B315))</x:f>
      </x:c>
      <x:c r="H315" s="14">
        <x:f>IF(B315="","", $F$8*COS(B315) - $B$7*$F$6*COS($F$6*B315))</x:f>
      </x:c>
    </x:row>
    <x:row r="316">
      <x:c r="A316" s="13" t="n">
        <x:v>297</x:v>
      </x:c>
      <x:c r="B316" s="14">
        <x:f>IF($B$12&lt;297,"",$B$13+(297-1)*($B$14-$B$13)/($B$12-1))</x:f>
      </x:c>
      <x:c r="C316" s="14">
        <x:f>IF(B316="","",$F$8*COS(B316) + $B$7*COS($F$6*B316))</x:f>
      </x:c>
      <x:c r="D316" s="14">
        <x:f>IF(B316="","",$F$8*SIN(B316) - $B$7*SIN($F$6*B316))</x:f>
      </x:c>
      <x:c r="E316" s="14">
        <x:f>IF(B316="","", C316 + $F$12*$F$9*(-H316)/IF(SQRT(G316^2+H316^2)=0,1,SQRT(G316^2+H316^2)))</x:f>
      </x:c>
      <x:c r="F316" s="14">
        <x:f>IF(B316="","", D316 + $F$12*$F$9*(G316)/IF(SQRT(G316^2+H316^2)=0,1,SQRT(G316^2+H316^2)))</x:f>
      </x:c>
      <x:c r="G316" s="14">
        <x:f>IF(B316="","", -$F$8*SIN(B316) - $B$7*$F$6*SIN($F$6*B316))</x:f>
      </x:c>
      <x:c r="H316" s="14">
        <x:f>IF(B316="","", $F$8*COS(B316) - $B$7*$F$6*COS($F$6*B316))</x:f>
      </x:c>
    </x:row>
    <x:row r="317">
      <x:c r="A317" s="13" t="n">
        <x:v>298</x:v>
      </x:c>
      <x:c r="B317" s="14">
        <x:f>IF($B$12&lt;298,"",$B$13+(298-1)*($B$14-$B$13)/($B$12-1))</x:f>
      </x:c>
      <x:c r="C317" s="14">
        <x:f>IF(B317="","",$F$8*COS(B317) + $B$7*COS($F$6*B317))</x:f>
      </x:c>
      <x:c r="D317" s="14">
        <x:f>IF(B317="","",$F$8*SIN(B317) - $B$7*SIN($F$6*B317))</x:f>
      </x:c>
      <x:c r="E317" s="14">
        <x:f>IF(B317="","", C317 + $F$12*$F$9*(-H317)/IF(SQRT(G317^2+H317^2)=0,1,SQRT(G317^2+H317^2)))</x:f>
      </x:c>
      <x:c r="F317" s="14">
        <x:f>IF(B317="","", D317 + $F$12*$F$9*(G317)/IF(SQRT(G317^2+H317^2)=0,1,SQRT(G317^2+H317^2)))</x:f>
      </x:c>
      <x:c r="G317" s="14">
        <x:f>IF(B317="","", -$F$8*SIN(B317) - $B$7*$F$6*SIN($F$6*B317))</x:f>
      </x:c>
      <x:c r="H317" s="14">
        <x:f>IF(B317="","", $F$8*COS(B317) - $B$7*$F$6*COS($F$6*B317))</x:f>
      </x:c>
    </x:row>
    <x:row r="318">
      <x:c r="A318" s="13" t="n">
        <x:v>299</x:v>
      </x:c>
      <x:c r="B318" s="14">
        <x:f>IF($B$12&lt;299,"",$B$13+(299-1)*($B$14-$B$13)/($B$12-1))</x:f>
      </x:c>
      <x:c r="C318" s="14">
        <x:f>IF(B318="","",$F$8*COS(B318) + $B$7*COS($F$6*B318))</x:f>
      </x:c>
      <x:c r="D318" s="14">
        <x:f>IF(B318="","",$F$8*SIN(B318) - $B$7*SIN($F$6*B318))</x:f>
      </x:c>
      <x:c r="E318" s="14">
        <x:f>IF(B318="","", C318 + $F$12*$F$9*(-H318)/IF(SQRT(G318^2+H318^2)=0,1,SQRT(G318^2+H318^2)))</x:f>
      </x:c>
      <x:c r="F318" s="14">
        <x:f>IF(B318="","", D318 + $F$12*$F$9*(G318)/IF(SQRT(G318^2+H318^2)=0,1,SQRT(G318^2+H318^2)))</x:f>
      </x:c>
      <x:c r="G318" s="14">
        <x:f>IF(B318="","", -$F$8*SIN(B318) - $B$7*$F$6*SIN($F$6*B318))</x:f>
      </x:c>
      <x:c r="H318" s="14">
        <x:f>IF(B318="","", $F$8*COS(B318) - $B$7*$F$6*COS($F$6*B318))</x:f>
      </x:c>
    </x:row>
    <x:row r="319">
      <x:c r="A319" s="13" t="n">
        <x:v>300</x:v>
      </x:c>
      <x:c r="B319" s="14">
        <x:f>IF($B$12&lt;300,"",$B$13+(300-1)*($B$14-$B$13)/($B$12-1))</x:f>
      </x:c>
      <x:c r="C319" s="14">
        <x:f>IF(B319="","",$F$8*COS(B319) + $B$7*COS($F$6*B319))</x:f>
      </x:c>
      <x:c r="D319" s="14">
        <x:f>IF(B319="","",$F$8*SIN(B319) - $B$7*SIN($F$6*B319))</x:f>
      </x:c>
      <x:c r="E319" s="14">
        <x:f>IF(B319="","", C319 + $F$12*$F$9*(-H319)/IF(SQRT(G319^2+H319^2)=0,1,SQRT(G319^2+H319^2)))</x:f>
      </x:c>
      <x:c r="F319" s="14">
        <x:f>IF(B319="","", D319 + $F$12*$F$9*(G319)/IF(SQRT(G319^2+H319^2)=0,1,SQRT(G319^2+H319^2)))</x:f>
      </x:c>
      <x:c r="G319" s="14">
        <x:f>IF(B319="","", -$F$8*SIN(B319) - $B$7*$F$6*SIN($F$6*B319))</x:f>
      </x:c>
      <x:c r="H319" s="14">
        <x:f>IF(B319="","", $F$8*COS(B319) - $B$7*$F$6*COS($F$6*B319))</x:f>
      </x:c>
    </x:row>
    <x:row r="320">
      <x:c r="A320" s="13" t="n">
        <x:v>301</x:v>
      </x:c>
      <x:c r="B320" s="14">
        <x:f>IF($B$12&lt;301,"",$B$13+(301-1)*($B$14-$B$13)/($B$12-1))</x:f>
      </x:c>
      <x:c r="C320" s="14">
        <x:f>IF(B320="","",$F$8*COS(B320) + $B$7*COS($F$6*B320))</x:f>
      </x:c>
      <x:c r="D320" s="14">
        <x:f>IF(B320="","",$F$8*SIN(B320) - $B$7*SIN($F$6*B320))</x:f>
      </x:c>
      <x:c r="E320" s="14">
        <x:f>IF(B320="","", C320 + $F$12*$F$9*(-H320)/IF(SQRT(G320^2+H320^2)=0,1,SQRT(G320^2+H320^2)))</x:f>
      </x:c>
      <x:c r="F320" s="14">
        <x:f>IF(B320="","", D320 + $F$12*$F$9*(G320)/IF(SQRT(G320^2+H320^2)=0,1,SQRT(G320^2+H320^2)))</x:f>
      </x:c>
      <x:c r="G320" s="14">
        <x:f>IF(B320="","", -$F$8*SIN(B320) - $B$7*$F$6*SIN($F$6*B320))</x:f>
      </x:c>
      <x:c r="H320" s="14">
        <x:f>IF(B320="","", $F$8*COS(B320) - $B$7*$F$6*COS($F$6*B320))</x:f>
      </x:c>
    </x:row>
    <x:row r="321">
      <x:c r="A321" s="13" t="n">
        <x:v>302</x:v>
      </x:c>
      <x:c r="B321" s="14">
        <x:f>IF($B$12&lt;302,"",$B$13+(302-1)*($B$14-$B$13)/($B$12-1))</x:f>
      </x:c>
      <x:c r="C321" s="14">
        <x:f>IF(B321="","",$F$8*COS(B321) + $B$7*COS($F$6*B321))</x:f>
      </x:c>
      <x:c r="D321" s="14">
        <x:f>IF(B321="","",$F$8*SIN(B321) - $B$7*SIN($F$6*B321))</x:f>
      </x:c>
      <x:c r="E321" s="14">
        <x:f>IF(B321="","", C321 + $F$12*$F$9*(-H321)/IF(SQRT(G321^2+H321^2)=0,1,SQRT(G321^2+H321^2)))</x:f>
      </x:c>
      <x:c r="F321" s="14">
        <x:f>IF(B321="","", D321 + $F$12*$F$9*(G321)/IF(SQRT(G321^2+H321^2)=0,1,SQRT(G321^2+H321^2)))</x:f>
      </x:c>
      <x:c r="G321" s="14">
        <x:f>IF(B321="","", -$F$8*SIN(B321) - $B$7*$F$6*SIN($F$6*B321))</x:f>
      </x:c>
      <x:c r="H321" s="14">
        <x:f>IF(B321="","", $F$8*COS(B321) - $B$7*$F$6*COS($F$6*B321))</x:f>
      </x:c>
    </x:row>
    <x:row r="322">
      <x:c r="A322" s="13" t="n">
        <x:v>303</x:v>
      </x:c>
      <x:c r="B322" s="14">
        <x:f>IF($B$12&lt;303,"",$B$13+(303-1)*($B$14-$B$13)/($B$12-1))</x:f>
      </x:c>
      <x:c r="C322" s="14">
        <x:f>IF(B322="","",$F$8*COS(B322) + $B$7*COS($F$6*B322))</x:f>
      </x:c>
      <x:c r="D322" s="14">
        <x:f>IF(B322="","",$F$8*SIN(B322) - $B$7*SIN($F$6*B322))</x:f>
      </x:c>
      <x:c r="E322" s="14">
        <x:f>IF(B322="","", C322 + $F$12*$F$9*(-H322)/IF(SQRT(G322^2+H322^2)=0,1,SQRT(G322^2+H322^2)))</x:f>
      </x:c>
      <x:c r="F322" s="14">
        <x:f>IF(B322="","", D322 + $F$12*$F$9*(G322)/IF(SQRT(G322^2+H322^2)=0,1,SQRT(G322^2+H322^2)))</x:f>
      </x:c>
      <x:c r="G322" s="14">
        <x:f>IF(B322="","", -$F$8*SIN(B322) - $B$7*$F$6*SIN($F$6*B322))</x:f>
      </x:c>
      <x:c r="H322" s="14">
        <x:f>IF(B322="","", $F$8*COS(B322) - $B$7*$F$6*COS($F$6*B322))</x:f>
      </x:c>
    </x:row>
    <x:row r="323">
      <x:c r="A323" s="13" t="n">
        <x:v>304</x:v>
      </x:c>
      <x:c r="B323" s="14">
        <x:f>IF($B$12&lt;304,"",$B$13+(304-1)*($B$14-$B$13)/($B$12-1))</x:f>
      </x:c>
      <x:c r="C323" s="14">
        <x:f>IF(B323="","",$F$8*COS(B323) + $B$7*COS($F$6*B323))</x:f>
      </x:c>
      <x:c r="D323" s="14">
        <x:f>IF(B323="","",$F$8*SIN(B323) - $B$7*SIN($F$6*B323))</x:f>
      </x:c>
      <x:c r="E323" s="14">
        <x:f>IF(B323="","", C323 + $F$12*$F$9*(-H323)/IF(SQRT(G323^2+H323^2)=0,1,SQRT(G323^2+H323^2)))</x:f>
      </x:c>
      <x:c r="F323" s="14">
        <x:f>IF(B323="","", D323 + $F$12*$F$9*(G323)/IF(SQRT(G323^2+H323^2)=0,1,SQRT(G323^2+H323^2)))</x:f>
      </x:c>
      <x:c r="G323" s="14">
        <x:f>IF(B323="","", -$F$8*SIN(B323) - $B$7*$F$6*SIN($F$6*B323))</x:f>
      </x:c>
      <x:c r="H323" s="14">
        <x:f>IF(B323="","", $F$8*COS(B323) - $B$7*$F$6*COS($F$6*B323))</x:f>
      </x:c>
    </x:row>
    <x:row r="324">
      <x:c r="A324" s="13" t="n">
        <x:v>305</x:v>
      </x:c>
      <x:c r="B324" s="14">
        <x:f>IF($B$12&lt;305,"",$B$13+(305-1)*($B$14-$B$13)/($B$12-1))</x:f>
      </x:c>
      <x:c r="C324" s="14">
        <x:f>IF(B324="","",$F$8*COS(B324) + $B$7*COS($F$6*B324))</x:f>
      </x:c>
      <x:c r="D324" s="14">
        <x:f>IF(B324="","",$F$8*SIN(B324) - $B$7*SIN($F$6*B324))</x:f>
      </x:c>
      <x:c r="E324" s="14">
        <x:f>IF(B324="","", C324 + $F$12*$F$9*(-H324)/IF(SQRT(G324^2+H324^2)=0,1,SQRT(G324^2+H324^2)))</x:f>
      </x:c>
      <x:c r="F324" s="14">
        <x:f>IF(B324="","", D324 + $F$12*$F$9*(G324)/IF(SQRT(G324^2+H324^2)=0,1,SQRT(G324^2+H324^2)))</x:f>
      </x:c>
      <x:c r="G324" s="14">
        <x:f>IF(B324="","", -$F$8*SIN(B324) - $B$7*$F$6*SIN($F$6*B324))</x:f>
      </x:c>
      <x:c r="H324" s="14">
        <x:f>IF(B324="","", $F$8*COS(B324) - $B$7*$F$6*COS($F$6*B324))</x:f>
      </x:c>
    </x:row>
    <x:row r="325">
      <x:c r="A325" s="13" t="n">
        <x:v>306</x:v>
      </x:c>
      <x:c r="B325" s="14">
        <x:f>IF($B$12&lt;306,"",$B$13+(306-1)*($B$14-$B$13)/($B$12-1))</x:f>
      </x:c>
      <x:c r="C325" s="14">
        <x:f>IF(B325="","",$F$8*COS(B325) + $B$7*COS($F$6*B325))</x:f>
      </x:c>
      <x:c r="D325" s="14">
        <x:f>IF(B325="","",$F$8*SIN(B325) - $B$7*SIN($F$6*B325))</x:f>
      </x:c>
      <x:c r="E325" s="14">
        <x:f>IF(B325="","", C325 + $F$12*$F$9*(-H325)/IF(SQRT(G325^2+H325^2)=0,1,SQRT(G325^2+H325^2)))</x:f>
      </x:c>
      <x:c r="F325" s="14">
        <x:f>IF(B325="","", D325 + $F$12*$F$9*(G325)/IF(SQRT(G325^2+H325^2)=0,1,SQRT(G325^2+H325^2)))</x:f>
      </x:c>
      <x:c r="G325" s="14">
        <x:f>IF(B325="","", -$F$8*SIN(B325) - $B$7*$F$6*SIN($F$6*B325))</x:f>
      </x:c>
      <x:c r="H325" s="14">
        <x:f>IF(B325="","", $F$8*COS(B325) - $B$7*$F$6*COS($F$6*B325))</x:f>
      </x:c>
    </x:row>
    <x:row r="326">
      <x:c r="A326" s="13" t="n">
        <x:v>307</x:v>
      </x:c>
      <x:c r="B326" s="14">
        <x:f>IF($B$12&lt;307,"",$B$13+(307-1)*($B$14-$B$13)/($B$12-1))</x:f>
      </x:c>
      <x:c r="C326" s="14">
        <x:f>IF(B326="","",$F$8*COS(B326) + $B$7*COS($F$6*B326))</x:f>
      </x:c>
      <x:c r="D326" s="14">
        <x:f>IF(B326="","",$F$8*SIN(B326) - $B$7*SIN($F$6*B326))</x:f>
      </x:c>
      <x:c r="E326" s="14">
        <x:f>IF(B326="","", C326 + $F$12*$F$9*(-H326)/IF(SQRT(G326^2+H326^2)=0,1,SQRT(G326^2+H326^2)))</x:f>
      </x:c>
      <x:c r="F326" s="14">
        <x:f>IF(B326="","", D326 + $F$12*$F$9*(G326)/IF(SQRT(G326^2+H326^2)=0,1,SQRT(G326^2+H326^2)))</x:f>
      </x:c>
      <x:c r="G326" s="14">
        <x:f>IF(B326="","", -$F$8*SIN(B326) - $B$7*$F$6*SIN($F$6*B326))</x:f>
      </x:c>
      <x:c r="H326" s="14">
        <x:f>IF(B326="","", $F$8*COS(B326) - $B$7*$F$6*COS($F$6*B326))</x:f>
      </x:c>
    </x:row>
    <x:row r="327">
      <x:c r="A327" s="13" t="n">
        <x:v>308</x:v>
      </x:c>
      <x:c r="B327" s="14">
        <x:f>IF($B$12&lt;308,"",$B$13+(308-1)*($B$14-$B$13)/($B$12-1))</x:f>
      </x:c>
      <x:c r="C327" s="14">
        <x:f>IF(B327="","",$F$8*COS(B327) + $B$7*COS($F$6*B327))</x:f>
      </x:c>
      <x:c r="D327" s="14">
        <x:f>IF(B327="","",$F$8*SIN(B327) - $B$7*SIN($F$6*B327))</x:f>
      </x:c>
      <x:c r="E327" s="14">
        <x:f>IF(B327="","", C327 + $F$12*$F$9*(-H327)/IF(SQRT(G327^2+H327^2)=0,1,SQRT(G327^2+H327^2)))</x:f>
      </x:c>
      <x:c r="F327" s="14">
        <x:f>IF(B327="","", D327 + $F$12*$F$9*(G327)/IF(SQRT(G327^2+H327^2)=0,1,SQRT(G327^2+H327^2)))</x:f>
      </x:c>
      <x:c r="G327" s="14">
        <x:f>IF(B327="","", -$F$8*SIN(B327) - $B$7*$F$6*SIN($F$6*B327))</x:f>
      </x:c>
      <x:c r="H327" s="14">
        <x:f>IF(B327="","", $F$8*COS(B327) - $B$7*$F$6*COS($F$6*B327))</x:f>
      </x:c>
    </x:row>
    <x:row r="328">
      <x:c r="A328" s="13" t="n">
        <x:v>309</x:v>
      </x:c>
      <x:c r="B328" s="14">
        <x:f>IF($B$12&lt;309,"",$B$13+(309-1)*($B$14-$B$13)/($B$12-1))</x:f>
      </x:c>
      <x:c r="C328" s="14">
        <x:f>IF(B328="","",$F$8*COS(B328) + $B$7*COS($F$6*B328))</x:f>
      </x:c>
      <x:c r="D328" s="14">
        <x:f>IF(B328="","",$F$8*SIN(B328) - $B$7*SIN($F$6*B328))</x:f>
      </x:c>
      <x:c r="E328" s="14">
        <x:f>IF(B328="","", C328 + $F$12*$F$9*(-H328)/IF(SQRT(G328^2+H328^2)=0,1,SQRT(G328^2+H328^2)))</x:f>
      </x:c>
      <x:c r="F328" s="14">
        <x:f>IF(B328="","", D328 + $F$12*$F$9*(G328)/IF(SQRT(G328^2+H328^2)=0,1,SQRT(G328^2+H328^2)))</x:f>
      </x:c>
      <x:c r="G328" s="14">
        <x:f>IF(B328="","", -$F$8*SIN(B328) - $B$7*$F$6*SIN($F$6*B328))</x:f>
      </x:c>
      <x:c r="H328" s="14">
        <x:f>IF(B328="","", $F$8*COS(B328) - $B$7*$F$6*COS($F$6*B328))</x:f>
      </x:c>
    </x:row>
    <x:row r="329">
      <x:c r="A329" s="13" t="n">
        <x:v>310</x:v>
      </x:c>
      <x:c r="B329" s="14">
        <x:f>IF($B$12&lt;310,"",$B$13+(310-1)*($B$14-$B$13)/($B$12-1))</x:f>
      </x:c>
      <x:c r="C329" s="14">
        <x:f>IF(B329="","",$F$8*COS(B329) + $B$7*COS($F$6*B329))</x:f>
      </x:c>
      <x:c r="D329" s="14">
        <x:f>IF(B329="","",$F$8*SIN(B329) - $B$7*SIN($F$6*B329))</x:f>
      </x:c>
      <x:c r="E329" s="14">
        <x:f>IF(B329="","", C329 + $F$12*$F$9*(-H329)/IF(SQRT(G329^2+H329^2)=0,1,SQRT(G329^2+H329^2)))</x:f>
      </x:c>
      <x:c r="F329" s="14">
        <x:f>IF(B329="","", D329 + $F$12*$F$9*(G329)/IF(SQRT(G329^2+H329^2)=0,1,SQRT(G329^2+H329^2)))</x:f>
      </x:c>
      <x:c r="G329" s="14">
        <x:f>IF(B329="","", -$F$8*SIN(B329) - $B$7*$F$6*SIN($F$6*B329))</x:f>
      </x:c>
      <x:c r="H329" s="14">
        <x:f>IF(B329="","", $F$8*COS(B329) - $B$7*$F$6*COS($F$6*B329))</x:f>
      </x:c>
    </x:row>
    <x:row r="330">
      <x:c r="A330" s="13" t="n">
        <x:v>311</x:v>
      </x:c>
      <x:c r="B330" s="14">
        <x:f>IF($B$12&lt;311,"",$B$13+(311-1)*($B$14-$B$13)/($B$12-1))</x:f>
      </x:c>
      <x:c r="C330" s="14">
        <x:f>IF(B330="","",$F$8*COS(B330) + $B$7*COS($F$6*B330))</x:f>
      </x:c>
      <x:c r="D330" s="14">
        <x:f>IF(B330="","",$F$8*SIN(B330) - $B$7*SIN($F$6*B330))</x:f>
      </x:c>
      <x:c r="E330" s="14">
        <x:f>IF(B330="","", C330 + $F$12*$F$9*(-H330)/IF(SQRT(G330^2+H330^2)=0,1,SQRT(G330^2+H330^2)))</x:f>
      </x:c>
      <x:c r="F330" s="14">
        <x:f>IF(B330="","", D330 + $F$12*$F$9*(G330)/IF(SQRT(G330^2+H330^2)=0,1,SQRT(G330^2+H330^2)))</x:f>
      </x:c>
      <x:c r="G330" s="14">
        <x:f>IF(B330="","", -$F$8*SIN(B330) - $B$7*$F$6*SIN($F$6*B330))</x:f>
      </x:c>
      <x:c r="H330" s="14">
        <x:f>IF(B330="","", $F$8*COS(B330) - $B$7*$F$6*COS($F$6*B330))</x:f>
      </x:c>
    </x:row>
    <x:row r="331">
      <x:c r="A331" s="13" t="n">
        <x:v>312</x:v>
      </x:c>
      <x:c r="B331" s="14">
        <x:f>IF($B$12&lt;312,"",$B$13+(312-1)*($B$14-$B$13)/($B$12-1))</x:f>
      </x:c>
      <x:c r="C331" s="14">
        <x:f>IF(B331="","",$F$8*COS(B331) + $B$7*COS($F$6*B331))</x:f>
      </x:c>
      <x:c r="D331" s="14">
        <x:f>IF(B331="","",$F$8*SIN(B331) - $B$7*SIN($F$6*B331))</x:f>
      </x:c>
      <x:c r="E331" s="14">
        <x:f>IF(B331="","", C331 + $F$12*$F$9*(-H331)/IF(SQRT(G331^2+H331^2)=0,1,SQRT(G331^2+H331^2)))</x:f>
      </x:c>
      <x:c r="F331" s="14">
        <x:f>IF(B331="","", D331 + $F$12*$F$9*(G331)/IF(SQRT(G331^2+H331^2)=0,1,SQRT(G331^2+H331^2)))</x:f>
      </x:c>
      <x:c r="G331" s="14">
        <x:f>IF(B331="","", -$F$8*SIN(B331) - $B$7*$F$6*SIN($F$6*B331))</x:f>
      </x:c>
      <x:c r="H331" s="14">
        <x:f>IF(B331="","", $F$8*COS(B331) - $B$7*$F$6*COS($F$6*B331))</x:f>
      </x:c>
    </x:row>
    <x:row r="332">
      <x:c r="A332" s="13" t="n">
        <x:v>313</x:v>
      </x:c>
      <x:c r="B332" s="14">
        <x:f>IF($B$12&lt;313,"",$B$13+(313-1)*($B$14-$B$13)/($B$12-1))</x:f>
      </x:c>
      <x:c r="C332" s="14">
        <x:f>IF(B332="","",$F$8*COS(B332) + $B$7*COS($F$6*B332))</x:f>
      </x:c>
      <x:c r="D332" s="14">
        <x:f>IF(B332="","",$F$8*SIN(B332) - $B$7*SIN($F$6*B332))</x:f>
      </x:c>
      <x:c r="E332" s="14">
        <x:f>IF(B332="","", C332 + $F$12*$F$9*(-H332)/IF(SQRT(G332^2+H332^2)=0,1,SQRT(G332^2+H332^2)))</x:f>
      </x:c>
      <x:c r="F332" s="14">
        <x:f>IF(B332="","", D332 + $F$12*$F$9*(G332)/IF(SQRT(G332^2+H332^2)=0,1,SQRT(G332^2+H332^2)))</x:f>
      </x:c>
      <x:c r="G332" s="14">
        <x:f>IF(B332="","", -$F$8*SIN(B332) - $B$7*$F$6*SIN($F$6*B332))</x:f>
      </x:c>
      <x:c r="H332" s="14">
        <x:f>IF(B332="","", $F$8*COS(B332) - $B$7*$F$6*COS($F$6*B332))</x:f>
      </x:c>
    </x:row>
    <x:row r="333">
      <x:c r="A333" s="13" t="n">
        <x:v>314</x:v>
      </x:c>
      <x:c r="B333" s="14">
        <x:f>IF($B$12&lt;314,"",$B$13+(314-1)*($B$14-$B$13)/($B$12-1))</x:f>
      </x:c>
      <x:c r="C333" s="14">
        <x:f>IF(B333="","",$F$8*COS(B333) + $B$7*COS($F$6*B333))</x:f>
      </x:c>
      <x:c r="D333" s="14">
        <x:f>IF(B333="","",$F$8*SIN(B333) - $B$7*SIN($F$6*B333))</x:f>
      </x:c>
      <x:c r="E333" s="14">
        <x:f>IF(B333="","", C333 + $F$12*$F$9*(-H333)/IF(SQRT(G333^2+H333^2)=0,1,SQRT(G333^2+H333^2)))</x:f>
      </x:c>
      <x:c r="F333" s="14">
        <x:f>IF(B333="","", D333 + $F$12*$F$9*(G333)/IF(SQRT(G333^2+H333^2)=0,1,SQRT(G333^2+H333^2)))</x:f>
      </x:c>
      <x:c r="G333" s="14">
        <x:f>IF(B333="","", -$F$8*SIN(B333) - $B$7*$F$6*SIN($F$6*B333))</x:f>
      </x:c>
      <x:c r="H333" s="14">
        <x:f>IF(B333="","", $F$8*COS(B333) - $B$7*$F$6*COS($F$6*B333))</x:f>
      </x:c>
    </x:row>
    <x:row r="334">
      <x:c r="A334" s="13" t="n">
        <x:v>315</x:v>
      </x:c>
      <x:c r="B334" s="14">
        <x:f>IF($B$12&lt;315,"",$B$13+(315-1)*($B$14-$B$13)/($B$12-1))</x:f>
      </x:c>
      <x:c r="C334" s="14">
        <x:f>IF(B334="","",$F$8*COS(B334) + $B$7*COS($F$6*B334))</x:f>
      </x:c>
      <x:c r="D334" s="14">
        <x:f>IF(B334="","",$F$8*SIN(B334) - $B$7*SIN($F$6*B334))</x:f>
      </x:c>
      <x:c r="E334" s="14">
        <x:f>IF(B334="","", C334 + $F$12*$F$9*(-H334)/IF(SQRT(G334^2+H334^2)=0,1,SQRT(G334^2+H334^2)))</x:f>
      </x:c>
      <x:c r="F334" s="14">
        <x:f>IF(B334="","", D334 + $F$12*$F$9*(G334)/IF(SQRT(G334^2+H334^2)=0,1,SQRT(G334^2+H334^2)))</x:f>
      </x:c>
      <x:c r="G334" s="14">
        <x:f>IF(B334="","", -$F$8*SIN(B334) - $B$7*$F$6*SIN($F$6*B334))</x:f>
      </x:c>
      <x:c r="H334" s="14">
        <x:f>IF(B334="","", $F$8*COS(B334) - $B$7*$F$6*COS($F$6*B334))</x:f>
      </x:c>
    </x:row>
    <x:row r="335">
      <x:c r="A335" s="13" t="n">
        <x:v>316</x:v>
      </x:c>
      <x:c r="B335" s="14">
        <x:f>IF($B$12&lt;316,"",$B$13+(316-1)*($B$14-$B$13)/($B$12-1))</x:f>
      </x:c>
      <x:c r="C335" s="14">
        <x:f>IF(B335="","",$F$8*COS(B335) + $B$7*COS($F$6*B335))</x:f>
      </x:c>
      <x:c r="D335" s="14">
        <x:f>IF(B335="","",$F$8*SIN(B335) - $B$7*SIN($F$6*B335))</x:f>
      </x:c>
      <x:c r="E335" s="14">
        <x:f>IF(B335="","", C335 + $F$12*$F$9*(-H335)/IF(SQRT(G335^2+H335^2)=0,1,SQRT(G335^2+H335^2)))</x:f>
      </x:c>
      <x:c r="F335" s="14">
        <x:f>IF(B335="","", D335 + $F$12*$F$9*(G335)/IF(SQRT(G335^2+H335^2)=0,1,SQRT(G335^2+H335^2)))</x:f>
      </x:c>
      <x:c r="G335" s="14">
        <x:f>IF(B335="","", -$F$8*SIN(B335) - $B$7*$F$6*SIN($F$6*B335))</x:f>
      </x:c>
      <x:c r="H335" s="14">
        <x:f>IF(B335="","", $F$8*COS(B335) - $B$7*$F$6*COS($F$6*B335))</x:f>
      </x:c>
    </x:row>
    <x:row r="336">
      <x:c r="A336" s="13" t="n">
        <x:v>317</x:v>
      </x:c>
      <x:c r="B336" s="14">
        <x:f>IF($B$12&lt;317,"",$B$13+(317-1)*($B$14-$B$13)/($B$12-1))</x:f>
      </x:c>
      <x:c r="C336" s="14">
        <x:f>IF(B336="","",$F$8*COS(B336) + $B$7*COS($F$6*B336))</x:f>
      </x:c>
      <x:c r="D336" s="14">
        <x:f>IF(B336="","",$F$8*SIN(B336) - $B$7*SIN($F$6*B336))</x:f>
      </x:c>
      <x:c r="E336" s="14">
        <x:f>IF(B336="","", C336 + $F$12*$F$9*(-H336)/IF(SQRT(G336^2+H336^2)=0,1,SQRT(G336^2+H336^2)))</x:f>
      </x:c>
      <x:c r="F336" s="14">
        <x:f>IF(B336="","", D336 + $F$12*$F$9*(G336)/IF(SQRT(G336^2+H336^2)=0,1,SQRT(G336^2+H336^2)))</x:f>
      </x:c>
      <x:c r="G336" s="14">
        <x:f>IF(B336="","", -$F$8*SIN(B336) - $B$7*$F$6*SIN($F$6*B336))</x:f>
      </x:c>
      <x:c r="H336" s="14">
        <x:f>IF(B336="","", $F$8*COS(B336) - $B$7*$F$6*COS($F$6*B336))</x:f>
      </x:c>
    </x:row>
    <x:row r="337">
      <x:c r="A337" s="13" t="n">
        <x:v>318</x:v>
      </x:c>
      <x:c r="B337" s="14">
        <x:f>IF($B$12&lt;318,"",$B$13+(318-1)*($B$14-$B$13)/($B$12-1))</x:f>
      </x:c>
      <x:c r="C337" s="14">
        <x:f>IF(B337="","",$F$8*COS(B337) + $B$7*COS($F$6*B337))</x:f>
      </x:c>
      <x:c r="D337" s="14">
        <x:f>IF(B337="","",$F$8*SIN(B337) - $B$7*SIN($F$6*B337))</x:f>
      </x:c>
      <x:c r="E337" s="14">
        <x:f>IF(B337="","", C337 + $F$12*$F$9*(-H337)/IF(SQRT(G337^2+H337^2)=0,1,SQRT(G337^2+H337^2)))</x:f>
      </x:c>
      <x:c r="F337" s="14">
        <x:f>IF(B337="","", D337 + $F$12*$F$9*(G337)/IF(SQRT(G337^2+H337^2)=0,1,SQRT(G337^2+H337^2)))</x:f>
      </x:c>
      <x:c r="G337" s="14">
        <x:f>IF(B337="","", -$F$8*SIN(B337) - $B$7*$F$6*SIN($F$6*B337))</x:f>
      </x:c>
      <x:c r="H337" s="14">
        <x:f>IF(B337="","", $F$8*COS(B337) - $B$7*$F$6*COS($F$6*B337))</x:f>
      </x:c>
    </x:row>
    <x:row r="338">
      <x:c r="A338" s="13" t="n">
        <x:v>319</x:v>
      </x:c>
      <x:c r="B338" s="14">
        <x:f>IF($B$12&lt;319,"",$B$13+(319-1)*($B$14-$B$13)/($B$12-1))</x:f>
      </x:c>
      <x:c r="C338" s="14">
        <x:f>IF(B338="","",$F$8*COS(B338) + $B$7*COS($F$6*B338))</x:f>
      </x:c>
      <x:c r="D338" s="14">
        <x:f>IF(B338="","",$F$8*SIN(B338) - $B$7*SIN($F$6*B338))</x:f>
      </x:c>
      <x:c r="E338" s="14">
        <x:f>IF(B338="","", C338 + $F$12*$F$9*(-H338)/IF(SQRT(G338^2+H338^2)=0,1,SQRT(G338^2+H338^2)))</x:f>
      </x:c>
      <x:c r="F338" s="14">
        <x:f>IF(B338="","", D338 + $F$12*$F$9*(G338)/IF(SQRT(G338^2+H338^2)=0,1,SQRT(G338^2+H338^2)))</x:f>
      </x:c>
      <x:c r="G338" s="14">
        <x:f>IF(B338="","", -$F$8*SIN(B338) - $B$7*$F$6*SIN($F$6*B338))</x:f>
      </x:c>
      <x:c r="H338" s="14">
        <x:f>IF(B338="","", $F$8*COS(B338) - $B$7*$F$6*COS($F$6*B338))</x:f>
      </x:c>
    </x:row>
    <x:row r="339">
      <x:c r="A339" s="13" t="n">
        <x:v>320</x:v>
      </x:c>
      <x:c r="B339" s="14">
        <x:f>IF($B$12&lt;320,"",$B$13+(320-1)*($B$14-$B$13)/($B$12-1))</x:f>
      </x:c>
      <x:c r="C339" s="14">
        <x:f>IF(B339="","",$F$8*COS(B339) + $B$7*COS($F$6*B339))</x:f>
      </x:c>
      <x:c r="D339" s="14">
        <x:f>IF(B339="","",$F$8*SIN(B339) - $B$7*SIN($F$6*B339))</x:f>
      </x:c>
      <x:c r="E339" s="14">
        <x:f>IF(B339="","", C339 + $F$12*$F$9*(-H339)/IF(SQRT(G339^2+H339^2)=0,1,SQRT(G339^2+H339^2)))</x:f>
      </x:c>
      <x:c r="F339" s="14">
        <x:f>IF(B339="","", D339 + $F$12*$F$9*(G339)/IF(SQRT(G339^2+H339^2)=0,1,SQRT(G339^2+H339^2)))</x:f>
      </x:c>
      <x:c r="G339" s="14">
        <x:f>IF(B339="","", -$F$8*SIN(B339) - $B$7*$F$6*SIN($F$6*B339))</x:f>
      </x:c>
      <x:c r="H339" s="14">
        <x:f>IF(B339="","", $F$8*COS(B339) - $B$7*$F$6*COS($F$6*B339))</x:f>
      </x:c>
    </x:row>
    <x:row r="340">
      <x:c r="A340" s="13" t="n">
        <x:v>321</x:v>
      </x:c>
      <x:c r="B340" s="14">
        <x:f>IF($B$12&lt;321,"",$B$13+(321-1)*($B$14-$B$13)/($B$12-1))</x:f>
      </x:c>
      <x:c r="C340" s="14">
        <x:f>IF(B340="","",$F$8*COS(B340) + $B$7*COS($F$6*B340))</x:f>
      </x:c>
      <x:c r="D340" s="14">
        <x:f>IF(B340="","",$F$8*SIN(B340) - $B$7*SIN($F$6*B340))</x:f>
      </x:c>
      <x:c r="E340" s="14">
        <x:f>IF(B340="","", C340 + $F$12*$F$9*(-H340)/IF(SQRT(G340^2+H340^2)=0,1,SQRT(G340^2+H340^2)))</x:f>
      </x:c>
      <x:c r="F340" s="14">
        <x:f>IF(B340="","", D340 + $F$12*$F$9*(G340)/IF(SQRT(G340^2+H340^2)=0,1,SQRT(G340^2+H340^2)))</x:f>
      </x:c>
      <x:c r="G340" s="14">
        <x:f>IF(B340="","", -$F$8*SIN(B340) - $B$7*$F$6*SIN($F$6*B340))</x:f>
      </x:c>
      <x:c r="H340" s="14">
        <x:f>IF(B340="","", $F$8*COS(B340) - $B$7*$F$6*COS($F$6*B340))</x:f>
      </x:c>
    </x:row>
    <x:row r="341">
      <x:c r="A341" s="13" t="n">
        <x:v>322</x:v>
      </x:c>
      <x:c r="B341" s="14">
        <x:f>IF($B$12&lt;322,"",$B$13+(322-1)*($B$14-$B$13)/($B$12-1))</x:f>
      </x:c>
      <x:c r="C341" s="14">
        <x:f>IF(B341="","",$F$8*COS(B341) + $B$7*COS($F$6*B341))</x:f>
      </x:c>
      <x:c r="D341" s="14">
        <x:f>IF(B341="","",$F$8*SIN(B341) - $B$7*SIN($F$6*B341))</x:f>
      </x:c>
      <x:c r="E341" s="14">
        <x:f>IF(B341="","", C341 + $F$12*$F$9*(-H341)/IF(SQRT(G341^2+H341^2)=0,1,SQRT(G341^2+H341^2)))</x:f>
      </x:c>
      <x:c r="F341" s="14">
        <x:f>IF(B341="","", D341 + $F$12*$F$9*(G341)/IF(SQRT(G341^2+H341^2)=0,1,SQRT(G341^2+H341^2)))</x:f>
      </x:c>
      <x:c r="G341" s="14">
        <x:f>IF(B341="","", -$F$8*SIN(B341) - $B$7*$F$6*SIN($F$6*B341))</x:f>
      </x:c>
      <x:c r="H341" s="14">
        <x:f>IF(B341="","", $F$8*COS(B341) - $B$7*$F$6*COS($F$6*B341))</x:f>
      </x:c>
    </x:row>
    <x:row r="342">
      <x:c r="A342" s="13" t="n">
        <x:v>323</x:v>
      </x:c>
      <x:c r="B342" s="14">
        <x:f>IF($B$12&lt;323,"",$B$13+(323-1)*($B$14-$B$13)/($B$12-1))</x:f>
      </x:c>
      <x:c r="C342" s="14">
        <x:f>IF(B342="","",$F$8*COS(B342) + $B$7*COS($F$6*B342))</x:f>
      </x:c>
      <x:c r="D342" s="14">
        <x:f>IF(B342="","",$F$8*SIN(B342) - $B$7*SIN($F$6*B342))</x:f>
      </x:c>
      <x:c r="E342" s="14">
        <x:f>IF(B342="","", C342 + $F$12*$F$9*(-H342)/IF(SQRT(G342^2+H342^2)=0,1,SQRT(G342^2+H342^2)))</x:f>
      </x:c>
      <x:c r="F342" s="14">
        <x:f>IF(B342="","", D342 + $F$12*$F$9*(G342)/IF(SQRT(G342^2+H342^2)=0,1,SQRT(G342^2+H342^2)))</x:f>
      </x:c>
      <x:c r="G342" s="14">
        <x:f>IF(B342="","", -$F$8*SIN(B342) - $B$7*$F$6*SIN($F$6*B342))</x:f>
      </x:c>
      <x:c r="H342" s="14">
        <x:f>IF(B342="","", $F$8*COS(B342) - $B$7*$F$6*COS($F$6*B342))</x:f>
      </x:c>
    </x:row>
    <x:row r="343">
      <x:c r="A343" s="13" t="n">
        <x:v>324</x:v>
      </x:c>
      <x:c r="B343" s="14">
        <x:f>IF($B$12&lt;324,"",$B$13+(324-1)*($B$14-$B$13)/($B$12-1))</x:f>
      </x:c>
      <x:c r="C343" s="14">
        <x:f>IF(B343="","",$F$8*COS(B343) + $B$7*COS($F$6*B343))</x:f>
      </x:c>
      <x:c r="D343" s="14">
        <x:f>IF(B343="","",$F$8*SIN(B343) - $B$7*SIN($F$6*B343))</x:f>
      </x:c>
      <x:c r="E343" s="14">
        <x:f>IF(B343="","", C343 + $F$12*$F$9*(-H343)/IF(SQRT(G343^2+H343^2)=0,1,SQRT(G343^2+H343^2)))</x:f>
      </x:c>
      <x:c r="F343" s="14">
        <x:f>IF(B343="","", D343 + $F$12*$F$9*(G343)/IF(SQRT(G343^2+H343^2)=0,1,SQRT(G343^2+H343^2)))</x:f>
      </x:c>
      <x:c r="G343" s="14">
        <x:f>IF(B343="","", -$F$8*SIN(B343) - $B$7*$F$6*SIN($F$6*B343))</x:f>
      </x:c>
      <x:c r="H343" s="14">
        <x:f>IF(B343="","", $F$8*COS(B343) - $B$7*$F$6*COS($F$6*B343))</x:f>
      </x:c>
    </x:row>
    <x:row r="344">
      <x:c r="A344" s="13" t="n">
        <x:v>325</x:v>
      </x:c>
      <x:c r="B344" s="14">
        <x:f>IF($B$12&lt;325,"",$B$13+(325-1)*($B$14-$B$13)/($B$12-1))</x:f>
      </x:c>
      <x:c r="C344" s="14">
        <x:f>IF(B344="","",$F$8*COS(B344) + $B$7*COS($F$6*B344))</x:f>
      </x:c>
      <x:c r="D344" s="14">
        <x:f>IF(B344="","",$F$8*SIN(B344) - $B$7*SIN($F$6*B344))</x:f>
      </x:c>
      <x:c r="E344" s="14">
        <x:f>IF(B344="","", C344 + $F$12*$F$9*(-H344)/IF(SQRT(G344^2+H344^2)=0,1,SQRT(G344^2+H344^2)))</x:f>
      </x:c>
      <x:c r="F344" s="14">
        <x:f>IF(B344="","", D344 + $F$12*$F$9*(G344)/IF(SQRT(G344^2+H344^2)=0,1,SQRT(G344^2+H344^2)))</x:f>
      </x:c>
      <x:c r="G344" s="14">
        <x:f>IF(B344="","", -$F$8*SIN(B344) - $B$7*$F$6*SIN($F$6*B344))</x:f>
      </x:c>
      <x:c r="H344" s="14">
        <x:f>IF(B344="","", $F$8*COS(B344) - $B$7*$F$6*COS($F$6*B344))</x:f>
      </x:c>
    </x:row>
    <x:row r="345">
      <x:c r="A345" s="13" t="n">
        <x:v>326</x:v>
      </x:c>
      <x:c r="B345" s="14">
        <x:f>IF($B$12&lt;326,"",$B$13+(326-1)*($B$14-$B$13)/($B$12-1))</x:f>
      </x:c>
      <x:c r="C345" s="14">
        <x:f>IF(B345="","",$F$8*COS(B345) + $B$7*COS($F$6*B345))</x:f>
      </x:c>
      <x:c r="D345" s="14">
        <x:f>IF(B345="","",$F$8*SIN(B345) - $B$7*SIN($F$6*B345))</x:f>
      </x:c>
      <x:c r="E345" s="14">
        <x:f>IF(B345="","", C345 + $F$12*$F$9*(-H345)/IF(SQRT(G345^2+H345^2)=0,1,SQRT(G345^2+H345^2)))</x:f>
      </x:c>
      <x:c r="F345" s="14">
        <x:f>IF(B345="","", D345 + $F$12*$F$9*(G345)/IF(SQRT(G345^2+H345^2)=0,1,SQRT(G345^2+H345^2)))</x:f>
      </x:c>
      <x:c r="G345" s="14">
        <x:f>IF(B345="","", -$F$8*SIN(B345) - $B$7*$F$6*SIN($F$6*B345))</x:f>
      </x:c>
      <x:c r="H345" s="14">
        <x:f>IF(B345="","", $F$8*COS(B345) - $B$7*$F$6*COS($F$6*B345))</x:f>
      </x:c>
    </x:row>
    <x:row r="346">
      <x:c r="A346" s="13" t="n">
        <x:v>327</x:v>
      </x:c>
      <x:c r="B346" s="14">
        <x:f>IF($B$12&lt;327,"",$B$13+(327-1)*($B$14-$B$13)/($B$12-1))</x:f>
      </x:c>
      <x:c r="C346" s="14">
        <x:f>IF(B346="","",$F$8*COS(B346) + $B$7*COS($F$6*B346))</x:f>
      </x:c>
      <x:c r="D346" s="14">
        <x:f>IF(B346="","",$F$8*SIN(B346) - $B$7*SIN($F$6*B346))</x:f>
      </x:c>
      <x:c r="E346" s="14">
        <x:f>IF(B346="","", C346 + $F$12*$F$9*(-H346)/IF(SQRT(G346^2+H346^2)=0,1,SQRT(G346^2+H346^2)))</x:f>
      </x:c>
      <x:c r="F346" s="14">
        <x:f>IF(B346="","", D346 + $F$12*$F$9*(G346)/IF(SQRT(G346^2+H346^2)=0,1,SQRT(G346^2+H346^2)))</x:f>
      </x:c>
      <x:c r="G346" s="14">
        <x:f>IF(B346="","", -$F$8*SIN(B346) - $B$7*$F$6*SIN($F$6*B346))</x:f>
      </x:c>
      <x:c r="H346" s="14">
        <x:f>IF(B346="","", $F$8*COS(B346) - $B$7*$F$6*COS($F$6*B346))</x:f>
      </x:c>
    </x:row>
    <x:row r="347">
      <x:c r="A347" s="13" t="n">
        <x:v>328</x:v>
      </x:c>
      <x:c r="B347" s="14">
        <x:f>IF($B$12&lt;328,"",$B$13+(328-1)*($B$14-$B$13)/($B$12-1))</x:f>
      </x:c>
      <x:c r="C347" s="14">
        <x:f>IF(B347="","",$F$8*COS(B347) + $B$7*COS($F$6*B347))</x:f>
      </x:c>
      <x:c r="D347" s="14">
        <x:f>IF(B347="","",$F$8*SIN(B347) - $B$7*SIN($F$6*B347))</x:f>
      </x:c>
      <x:c r="E347" s="14">
        <x:f>IF(B347="","", C347 + $F$12*$F$9*(-H347)/IF(SQRT(G347^2+H347^2)=0,1,SQRT(G347^2+H347^2)))</x:f>
      </x:c>
      <x:c r="F347" s="14">
        <x:f>IF(B347="","", D347 + $F$12*$F$9*(G347)/IF(SQRT(G347^2+H347^2)=0,1,SQRT(G347^2+H347^2)))</x:f>
      </x:c>
      <x:c r="G347" s="14">
        <x:f>IF(B347="","", -$F$8*SIN(B347) - $B$7*$F$6*SIN($F$6*B347))</x:f>
      </x:c>
      <x:c r="H347" s="14">
        <x:f>IF(B347="","", $F$8*COS(B347) - $B$7*$F$6*COS($F$6*B347))</x:f>
      </x:c>
    </x:row>
    <x:row r="348">
      <x:c r="A348" s="13" t="n">
        <x:v>329</x:v>
      </x:c>
      <x:c r="B348" s="14">
        <x:f>IF($B$12&lt;329,"",$B$13+(329-1)*($B$14-$B$13)/($B$12-1))</x:f>
      </x:c>
      <x:c r="C348" s="14">
        <x:f>IF(B348="","",$F$8*COS(B348) + $B$7*COS($F$6*B348))</x:f>
      </x:c>
      <x:c r="D348" s="14">
        <x:f>IF(B348="","",$F$8*SIN(B348) - $B$7*SIN($F$6*B348))</x:f>
      </x:c>
      <x:c r="E348" s="14">
        <x:f>IF(B348="","", C348 + $F$12*$F$9*(-H348)/IF(SQRT(G348^2+H348^2)=0,1,SQRT(G348^2+H348^2)))</x:f>
      </x:c>
      <x:c r="F348" s="14">
        <x:f>IF(B348="","", D348 + $F$12*$F$9*(G348)/IF(SQRT(G348^2+H348^2)=0,1,SQRT(G348^2+H348^2)))</x:f>
      </x:c>
      <x:c r="G348" s="14">
        <x:f>IF(B348="","", -$F$8*SIN(B348) - $B$7*$F$6*SIN($F$6*B348))</x:f>
      </x:c>
      <x:c r="H348" s="14">
        <x:f>IF(B348="","", $F$8*COS(B348) - $B$7*$F$6*COS($F$6*B348))</x:f>
      </x:c>
    </x:row>
    <x:row r="349">
      <x:c r="A349" s="13" t="n">
        <x:v>330</x:v>
      </x:c>
      <x:c r="B349" s="14">
        <x:f>IF($B$12&lt;330,"",$B$13+(330-1)*($B$14-$B$13)/($B$12-1))</x:f>
      </x:c>
      <x:c r="C349" s="14">
        <x:f>IF(B349="","",$F$8*COS(B349) + $B$7*COS($F$6*B349))</x:f>
      </x:c>
      <x:c r="D349" s="14">
        <x:f>IF(B349="","",$F$8*SIN(B349) - $B$7*SIN($F$6*B349))</x:f>
      </x:c>
      <x:c r="E349" s="14">
        <x:f>IF(B349="","", C349 + $F$12*$F$9*(-H349)/IF(SQRT(G349^2+H349^2)=0,1,SQRT(G349^2+H349^2)))</x:f>
      </x:c>
      <x:c r="F349" s="14">
        <x:f>IF(B349="","", D349 + $F$12*$F$9*(G349)/IF(SQRT(G349^2+H349^2)=0,1,SQRT(G349^2+H349^2)))</x:f>
      </x:c>
      <x:c r="G349" s="14">
        <x:f>IF(B349="","", -$F$8*SIN(B349) - $B$7*$F$6*SIN($F$6*B349))</x:f>
      </x:c>
      <x:c r="H349" s="14">
        <x:f>IF(B349="","", $F$8*COS(B349) - $B$7*$F$6*COS($F$6*B349))</x:f>
      </x:c>
    </x:row>
    <x:row r="350">
      <x:c r="A350" s="13" t="n">
        <x:v>331</x:v>
      </x:c>
      <x:c r="B350" s="14">
        <x:f>IF($B$12&lt;331,"",$B$13+(331-1)*($B$14-$B$13)/($B$12-1))</x:f>
      </x:c>
      <x:c r="C350" s="14">
        <x:f>IF(B350="","",$F$8*COS(B350) + $B$7*COS($F$6*B350))</x:f>
      </x:c>
      <x:c r="D350" s="14">
        <x:f>IF(B350="","",$F$8*SIN(B350) - $B$7*SIN($F$6*B350))</x:f>
      </x:c>
      <x:c r="E350" s="14">
        <x:f>IF(B350="","", C350 + $F$12*$F$9*(-H350)/IF(SQRT(G350^2+H350^2)=0,1,SQRT(G350^2+H350^2)))</x:f>
      </x:c>
      <x:c r="F350" s="14">
        <x:f>IF(B350="","", D350 + $F$12*$F$9*(G350)/IF(SQRT(G350^2+H350^2)=0,1,SQRT(G350^2+H350^2)))</x:f>
      </x:c>
      <x:c r="G350" s="14">
        <x:f>IF(B350="","", -$F$8*SIN(B350) - $B$7*$F$6*SIN($F$6*B350))</x:f>
      </x:c>
      <x:c r="H350" s="14">
        <x:f>IF(B350="","", $F$8*COS(B350) - $B$7*$F$6*COS($F$6*B350))</x:f>
      </x:c>
    </x:row>
    <x:row r="351">
      <x:c r="A351" s="13" t="n">
        <x:v>332</x:v>
      </x:c>
      <x:c r="B351" s="14">
        <x:f>IF($B$12&lt;332,"",$B$13+(332-1)*($B$14-$B$13)/($B$12-1))</x:f>
      </x:c>
      <x:c r="C351" s="14">
        <x:f>IF(B351="","",$F$8*COS(B351) + $B$7*COS($F$6*B351))</x:f>
      </x:c>
      <x:c r="D351" s="14">
        <x:f>IF(B351="","",$F$8*SIN(B351) - $B$7*SIN($F$6*B351))</x:f>
      </x:c>
      <x:c r="E351" s="14">
        <x:f>IF(B351="","", C351 + $F$12*$F$9*(-H351)/IF(SQRT(G351^2+H351^2)=0,1,SQRT(G351^2+H351^2)))</x:f>
      </x:c>
      <x:c r="F351" s="14">
        <x:f>IF(B351="","", D351 + $F$12*$F$9*(G351)/IF(SQRT(G351^2+H351^2)=0,1,SQRT(G351^2+H351^2)))</x:f>
      </x:c>
      <x:c r="G351" s="14">
        <x:f>IF(B351="","", -$F$8*SIN(B351) - $B$7*$F$6*SIN($F$6*B351))</x:f>
      </x:c>
      <x:c r="H351" s="14">
        <x:f>IF(B351="","", $F$8*COS(B351) - $B$7*$F$6*COS($F$6*B351))</x:f>
      </x:c>
    </x:row>
    <x:row r="352">
      <x:c r="A352" s="13" t="n">
        <x:v>333</x:v>
      </x:c>
      <x:c r="B352" s="14">
        <x:f>IF($B$12&lt;333,"",$B$13+(333-1)*($B$14-$B$13)/($B$12-1))</x:f>
      </x:c>
      <x:c r="C352" s="14">
        <x:f>IF(B352="","",$F$8*COS(B352) + $B$7*COS($F$6*B352))</x:f>
      </x:c>
      <x:c r="D352" s="14">
        <x:f>IF(B352="","",$F$8*SIN(B352) - $B$7*SIN($F$6*B352))</x:f>
      </x:c>
      <x:c r="E352" s="14">
        <x:f>IF(B352="","", C352 + $F$12*$F$9*(-H352)/IF(SQRT(G352^2+H352^2)=0,1,SQRT(G352^2+H352^2)))</x:f>
      </x:c>
      <x:c r="F352" s="14">
        <x:f>IF(B352="","", D352 + $F$12*$F$9*(G352)/IF(SQRT(G352^2+H352^2)=0,1,SQRT(G352^2+H352^2)))</x:f>
      </x:c>
      <x:c r="G352" s="14">
        <x:f>IF(B352="","", -$F$8*SIN(B352) - $B$7*$F$6*SIN($F$6*B352))</x:f>
      </x:c>
      <x:c r="H352" s="14">
        <x:f>IF(B352="","", $F$8*COS(B352) - $B$7*$F$6*COS($F$6*B352))</x:f>
      </x:c>
    </x:row>
    <x:row r="353">
      <x:c r="A353" s="13" t="n">
        <x:v>334</x:v>
      </x:c>
      <x:c r="B353" s="14">
        <x:f>IF($B$12&lt;334,"",$B$13+(334-1)*($B$14-$B$13)/($B$12-1))</x:f>
      </x:c>
      <x:c r="C353" s="14">
        <x:f>IF(B353="","",$F$8*COS(B353) + $B$7*COS($F$6*B353))</x:f>
      </x:c>
      <x:c r="D353" s="14">
        <x:f>IF(B353="","",$F$8*SIN(B353) - $B$7*SIN($F$6*B353))</x:f>
      </x:c>
      <x:c r="E353" s="14">
        <x:f>IF(B353="","", C353 + $F$12*$F$9*(-H353)/IF(SQRT(G353^2+H353^2)=0,1,SQRT(G353^2+H353^2)))</x:f>
      </x:c>
      <x:c r="F353" s="14">
        <x:f>IF(B353="","", D353 + $F$12*$F$9*(G353)/IF(SQRT(G353^2+H353^2)=0,1,SQRT(G353^2+H353^2)))</x:f>
      </x:c>
      <x:c r="G353" s="14">
        <x:f>IF(B353="","", -$F$8*SIN(B353) - $B$7*$F$6*SIN($F$6*B353))</x:f>
      </x:c>
      <x:c r="H353" s="14">
        <x:f>IF(B353="","", $F$8*COS(B353) - $B$7*$F$6*COS($F$6*B353))</x:f>
      </x:c>
    </x:row>
    <x:row r="354">
      <x:c r="A354" s="13" t="n">
        <x:v>335</x:v>
      </x:c>
      <x:c r="B354" s="14">
        <x:f>IF($B$12&lt;335,"",$B$13+(335-1)*($B$14-$B$13)/($B$12-1))</x:f>
      </x:c>
      <x:c r="C354" s="14">
        <x:f>IF(B354="","",$F$8*COS(B354) + $B$7*COS($F$6*B354))</x:f>
      </x:c>
      <x:c r="D354" s="14">
        <x:f>IF(B354="","",$F$8*SIN(B354) - $B$7*SIN($F$6*B354))</x:f>
      </x:c>
      <x:c r="E354" s="14">
        <x:f>IF(B354="","", C354 + $F$12*$F$9*(-H354)/IF(SQRT(G354^2+H354^2)=0,1,SQRT(G354^2+H354^2)))</x:f>
      </x:c>
      <x:c r="F354" s="14">
        <x:f>IF(B354="","", D354 + $F$12*$F$9*(G354)/IF(SQRT(G354^2+H354^2)=0,1,SQRT(G354^2+H354^2)))</x:f>
      </x:c>
      <x:c r="G354" s="14">
        <x:f>IF(B354="","", -$F$8*SIN(B354) - $B$7*$F$6*SIN($F$6*B354))</x:f>
      </x:c>
      <x:c r="H354" s="14">
        <x:f>IF(B354="","", $F$8*COS(B354) - $B$7*$F$6*COS($F$6*B354))</x:f>
      </x:c>
    </x:row>
    <x:row r="355">
      <x:c r="A355" s="13" t="n">
        <x:v>336</x:v>
      </x:c>
      <x:c r="B355" s="14">
        <x:f>IF($B$12&lt;336,"",$B$13+(336-1)*($B$14-$B$13)/($B$12-1))</x:f>
      </x:c>
      <x:c r="C355" s="14">
        <x:f>IF(B355="","",$F$8*COS(B355) + $B$7*COS($F$6*B355))</x:f>
      </x:c>
      <x:c r="D355" s="14">
        <x:f>IF(B355="","",$F$8*SIN(B355) - $B$7*SIN($F$6*B355))</x:f>
      </x:c>
      <x:c r="E355" s="14">
        <x:f>IF(B355="","", C355 + $F$12*$F$9*(-H355)/IF(SQRT(G355^2+H355^2)=0,1,SQRT(G355^2+H355^2)))</x:f>
      </x:c>
      <x:c r="F355" s="14">
        <x:f>IF(B355="","", D355 + $F$12*$F$9*(G355)/IF(SQRT(G355^2+H355^2)=0,1,SQRT(G355^2+H355^2)))</x:f>
      </x:c>
      <x:c r="G355" s="14">
        <x:f>IF(B355="","", -$F$8*SIN(B355) - $B$7*$F$6*SIN($F$6*B355))</x:f>
      </x:c>
      <x:c r="H355" s="14">
        <x:f>IF(B355="","", $F$8*COS(B355) - $B$7*$F$6*COS($F$6*B355))</x:f>
      </x:c>
    </x:row>
    <x:row r="356">
      <x:c r="A356" s="13" t="n">
        <x:v>337</x:v>
      </x:c>
      <x:c r="B356" s="14">
        <x:f>IF($B$12&lt;337,"",$B$13+(337-1)*($B$14-$B$13)/($B$12-1))</x:f>
      </x:c>
      <x:c r="C356" s="14">
        <x:f>IF(B356="","",$F$8*COS(B356) + $B$7*COS($F$6*B356))</x:f>
      </x:c>
      <x:c r="D356" s="14">
        <x:f>IF(B356="","",$F$8*SIN(B356) - $B$7*SIN($F$6*B356))</x:f>
      </x:c>
      <x:c r="E356" s="14">
        <x:f>IF(B356="","", C356 + $F$12*$F$9*(-H356)/IF(SQRT(G356^2+H356^2)=0,1,SQRT(G356^2+H356^2)))</x:f>
      </x:c>
      <x:c r="F356" s="14">
        <x:f>IF(B356="","", D356 + $F$12*$F$9*(G356)/IF(SQRT(G356^2+H356^2)=0,1,SQRT(G356^2+H356^2)))</x:f>
      </x:c>
      <x:c r="G356" s="14">
        <x:f>IF(B356="","", -$F$8*SIN(B356) - $B$7*$F$6*SIN($F$6*B356))</x:f>
      </x:c>
      <x:c r="H356" s="14">
        <x:f>IF(B356="","", $F$8*COS(B356) - $B$7*$F$6*COS($F$6*B356))</x:f>
      </x:c>
    </x:row>
    <x:row r="357">
      <x:c r="A357" s="13" t="n">
        <x:v>338</x:v>
      </x:c>
      <x:c r="B357" s="14">
        <x:f>IF($B$12&lt;338,"",$B$13+(338-1)*($B$14-$B$13)/($B$12-1))</x:f>
      </x:c>
      <x:c r="C357" s="14">
        <x:f>IF(B357="","",$F$8*COS(B357) + $B$7*COS($F$6*B357))</x:f>
      </x:c>
      <x:c r="D357" s="14">
        <x:f>IF(B357="","",$F$8*SIN(B357) - $B$7*SIN($F$6*B357))</x:f>
      </x:c>
      <x:c r="E357" s="14">
        <x:f>IF(B357="","", C357 + $F$12*$F$9*(-H357)/IF(SQRT(G357^2+H357^2)=0,1,SQRT(G357^2+H357^2)))</x:f>
      </x:c>
      <x:c r="F357" s="14">
        <x:f>IF(B357="","", D357 + $F$12*$F$9*(G357)/IF(SQRT(G357^2+H357^2)=0,1,SQRT(G357^2+H357^2)))</x:f>
      </x:c>
      <x:c r="G357" s="14">
        <x:f>IF(B357="","", -$F$8*SIN(B357) - $B$7*$F$6*SIN($F$6*B357))</x:f>
      </x:c>
      <x:c r="H357" s="14">
        <x:f>IF(B357="","", $F$8*COS(B357) - $B$7*$F$6*COS($F$6*B357))</x:f>
      </x:c>
    </x:row>
    <x:row r="358">
      <x:c r="A358" s="13" t="n">
        <x:v>339</x:v>
      </x:c>
      <x:c r="B358" s="14">
        <x:f>IF($B$12&lt;339,"",$B$13+(339-1)*($B$14-$B$13)/($B$12-1))</x:f>
      </x:c>
      <x:c r="C358" s="14">
        <x:f>IF(B358="","",$F$8*COS(B358) + $B$7*COS($F$6*B358))</x:f>
      </x:c>
      <x:c r="D358" s="14">
        <x:f>IF(B358="","",$F$8*SIN(B358) - $B$7*SIN($F$6*B358))</x:f>
      </x:c>
      <x:c r="E358" s="14">
        <x:f>IF(B358="","", C358 + $F$12*$F$9*(-H358)/IF(SQRT(G358^2+H358^2)=0,1,SQRT(G358^2+H358^2)))</x:f>
      </x:c>
      <x:c r="F358" s="14">
        <x:f>IF(B358="","", D358 + $F$12*$F$9*(G358)/IF(SQRT(G358^2+H358^2)=0,1,SQRT(G358^2+H358^2)))</x:f>
      </x:c>
      <x:c r="G358" s="14">
        <x:f>IF(B358="","", -$F$8*SIN(B358) - $B$7*$F$6*SIN($F$6*B358))</x:f>
      </x:c>
      <x:c r="H358" s="14">
        <x:f>IF(B358="","", $F$8*COS(B358) - $B$7*$F$6*COS($F$6*B358))</x:f>
      </x:c>
    </x:row>
    <x:row r="359">
      <x:c r="A359" s="13" t="n">
        <x:v>340</x:v>
      </x:c>
      <x:c r="B359" s="14">
        <x:f>IF($B$12&lt;340,"",$B$13+(340-1)*($B$14-$B$13)/($B$12-1))</x:f>
      </x:c>
      <x:c r="C359" s="14">
        <x:f>IF(B359="","",$F$8*COS(B359) + $B$7*COS($F$6*B359))</x:f>
      </x:c>
      <x:c r="D359" s="14">
        <x:f>IF(B359="","",$F$8*SIN(B359) - $B$7*SIN($F$6*B359))</x:f>
      </x:c>
      <x:c r="E359" s="14">
        <x:f>IF(B359="","", C359 + $F$12*$F$9*(-H359)/IF(SQRT(G359^2+H359^2)=0,1,SQRT(G359^2+H359^2)))</x:f>
      </x:c>
      <x:c r="F359" s="14">
        <x:f>IF(B359="","", D359 + $F$12*$F$9*(G359)/IF(SQRT(G359^2+H359^2)=0,1,SQRT(G359^2+H359^2)))</x:f>
      </x:c>
      <x:c r="G359" s="14">
        <x:f>IF(B359="","", -$F$8*SIN(B359) - $B$7*$F$6*SIN($F$6*B359))</x:f>
      </x:c>
      <x:c r="H359" s="14">
        <x:f>IF(B359="","", $F$8*COS(B359) - $B$7*$F$6*COS($F$6*B359))</x:f>
      </x:c>
    </x:row>
    <x:row r="360">
      <x:c r="A360" s="13" t="n">
        <x:v>341</x:v>
      </x:c>
      <x:c r="B360" s="14">
        <x:f>IF($B$12&lt;341,"",$B$13+(341-1)*($B$14-$B$13)/($B$12-1))</x:f>
      </x:c>
      <x:c r="C360" s="14">
        <x:f>IF(B360="","",$F$8*COS(B360) + $B$7*COS($F$6*B360))</x:f>
      </x:c>
      <x:c r="D360" s="14">
        <x:f>IF(B360="","",$F$8*SIN(B360) - $B$7*SIN($F$6*B360))</x:f>
      </x:c>
      <x:c r="E360" s="14">
        <x:f>IF(B360="","", C360 + $F$12*$F$9*(-H360)/IF(SQRT(G360^2+H360^2)=0,1,SQRT(G360^2+H360^2)))</x:f>
      </x:c>
      <x:c r="F360" s="14">
        <x:f>IF(B360="","", D360 + $F$12*$F$9*(G360)/IF(SQRT(G360^2+H360^2)=0,1,SQRT(G360^2+H360^2)))</x:f>
      </x:c>
      <x:c r="G360" s="14">
        <x:f>IF(B360="","", -$F$8*SIN(B360) - $B$7*$F$6*SIN($F$6*B360))</x:f>
      </x:c>
      <x:c r="H360" s="14">
        <x:f>IF(B360="","", $F$8*COS(B360) - $B$7*$F$6*COS($F$6*B360))</x:f>
      </x:c>
    </x:row>
    <x:row r="361">
      <x:c r="A361" s="13" t="n">
        <x:v>342</x:v>
      </x:c>
      <x:c r="B361" s="14">
        <x:f>IF($B$12&lt;342,"",$B$13+(342-1)*($B$14-$B$13)/($B$12-1))</x:f>
      </x:c>
      <x:c r="C361" s="14">
        <x:f>IF(B361="","",$F$8*COS(B361) + $B$7*COS($F$6*B361))</x:f>
      </x:c>
      <x:c r="D361" s="14">
        <x:f>IF(B361="","",$F$8*SIN(B361) - $B$7*SIN($F$6*B361))</x:f>
      </x:c>
      <x:c r="E361" s="14">
        <x:f>IF(B361="","", C361 + $F$12*$F$9*(-H361)/IF(SQRT(G361^2+H361^2)=0,1,SQRT(G361^2+H361^2)))</x:f>
      </x:c>
      <x:c r="F361" s="14">
        <x:f>IF(B361="","", D361 + $F$12*$F$9*(G361)/IF(SQRT(G361^2+H361^2)=0,1,SQRT(G361^2+H361^2)))</x:f>
      </x:c>
      <x:c r="G361" s="14">
        <x:f>IF(B361="","", -$F$8*SIN(B361) - $B$7*$F$6*SIN($F$6*B361))</x:f>
      </x:c>
      <x:c r="H361" s="14">
        <x:f>IF(B361="","", $F$8*COS(B361) - $B$7*$F$6*COS($F$6*B361))</x:f>
      </x:c>
    </x:row>
    <x:row r="362">
      <x:c r="A362" s="13" t="n">
        <x:v>343</x:v>
      </x:c>
      <x:c r="B362" s="14">
        <x:f>IF($B$12&lt;343,"",$B$13+(343-1)*($B$14-$B$13)/($B$12-1))</x:f>
      </x:c>
      <x:c r="C362" s="14">
        <x:f>IF(B362="","",$F$8*COS(B362) + $B$7*COS($F$6*B362))</x:f>
      </x:c>
      <x:c r="D362" s="14">
        <x:f>IF(B362="","",$F$8*SIN(B362) - $B$7*SIN($F$6*B362))</x:f>
      </x:c>
      <x:c r="E362" s="14">
        <x:f>IF(B362="","", C362 + $F$12*$F$9*(-H362)/IF(SQRT(G362^2+H362^2)=0,1,SQRT(G362^2+H362^2)))</x:f>
      </x:c>
      <x:c r="F362" s="14">
        <x:f>IF(B362="","", D362 + $F$12*$F$9*(G362)/IF(SQRT(G362^2+H362^2)=0,1,SQRT(G362^2+H362^2)))</x:f>
      </x:c>
      <x:c r="G362" s="14">
        <x:f>IF(B362="","", -$F$8*SIN(B362) - $B$7*$F$6*SIN($F$6*B362))</x:f>
      </x:c>
      <x:c r="H362" s="14">
        <x:f>IF(B362="","", $F$8*COS(B362) - $B$7*$F$6*COS($F$6*B362))</x:f>
      </x:c>
    </x:row>
    <x:row r="363">
      <x:c r="A363" s="13" t="n">
        <x:v>344</x:v>
      </x:c>
      <x:c r="B363" s="14">
        <x:f>IF($B$12&lt;344,"",$B$13+(344-1)*($B$14-$B$13)/($B$12-1))</x:f>
      </x:c>
      <x:c r="C363" s="14">
        <x:f>IF(B363="","",$F$8*COS(B363) + $B$7*COS($F$6*B363))</x:f>
      </x:c>
      <x:c r="D363" s="14">
        <x:f>IF(B363="","",$F$8*SIN(B363) - $B$7*SIN($F$6*B363))</x:f>
      </x:c>
      <x:c r="E363" s="14">
        <x:f>IF(B363="","", C363 + $F$12*$F$9*(-H363)/IF(SQRT(G363^2+H363^2)=0,1,SQRT(G363^2+H363^2)))</x:f>
      </x:c>
      <x:c r="F363" s="14">
        <x:f>IF(B363="","", D363 + $F$12*$F$9*(G363)/IF(SQRT(G363^2+H363^2)=0,1,SQRT(G363^2+H363^2)))</x:f>
      </x:c>
      <x:c r="G363" s="14">
        <x:f>IF(B363="","", -$F$8*SIN(B363) - $B$7*$F$6*SIN($F$6*B363))</x:f>
      </x:c>
      <x:c r="H363" s="14">
        <x:f>IF(B363="","", $F$8*COS(B363) - $B$7*$F$6*COS($F$6*B363))</x:f>
      </x:c>
    </x:row>
    <x:row r="364">
      <x:c r="A364" s="13" t="n">
        <x:v>345</x:v>
      </x:c>
      <x:c r="B364" s="14">
        <x:f>IF($B$12&lt;345,"",$B$13+(345-1)*($B$14-$B$13)/($B$12-1))</x:f>
      </x:c>
      <x:c r="C364" s="14">
        <x:f>IF(B364="","",$F$8*COS(B364) + $B$7*COS($F$6*B364))</x:f>
      </x:c>
      <x:c r="D364" s="14">
        <x:f>IF(B364="","",$F$8*SIN(B364) - $B$7*SIN($F$6*B364))</x:f>
      </x:c>
      <x:c r="E364" s="14">
        <x:f>IF(B364="","", C364 + $F$12*$F$9*(-H364)/IF(SQRT(G364^2+H364^2)=0,1,SQRT(G364^2+H364^2)))</x:f>
      </x:c>
      <x:c r="F364" s="14">
        <x:f>IF(B364="","", D364 + $F$12*$F$9*(G364)/IF(SQRT(G364^2+H364^2)=0,1,SQRT(G364^2+H364^2)))</x:f>
      </x:c>
      <x:c r="G364" s="14">
        <x:f>IF(B364="","", -$F$8*SIN(B364) - $B$7*$F$6*SIN($F$6*B364))</x:f>
      </x:c>
      <x:c r="H364" s="14">
        <x:f>IF(B364="","", $F$8*COS(B364) - $B$7*$F$6*COS($F$6*B364))</x:f>
      </x:c>
    </x:row>
    <x:row r="365">
      <x:c r="A365" s="13" t="n">
        <x:v>346</x:v>
      </x:c>
      <x:c r="B365" s="14">
        <x:f>IF($B$12&lt;346,"",$B$13+(346-1)*($B$14-$B$13)/($B$12-1))</x:f>
      </x:c>
      <x:c r="C365" s="14">
        <x:f>IF(B365="","",$F$8*COS(B365) + $B$7*COS($F$6*B365))</x:f>
      </x:c>
      <x:c r="D365" s="14">
        <x:f>IF(B365="","",$F$8*SIN(B365) - $B$7*SIN($F$6*B365))</x:f>
      </x:c>
      <x:c r="E365" s="14">
        <x:f>IF(B365="","", C365 + $F$12*$F$9*(-H365)/IF(SQRT(G365^2+H365^2)=0,1,SQRT(G365^2+H365^2)))</x:f>
      </x:c>
      <x:c r="F365" s="14">
        <x:f>IF(B365="","", D365 + $F$12*$F$9*(G365)/IF(SQRT(G365^2+H365^2)=0,1,SQRT(G365^2+H365^2)))</x:f>
      </x:c>
      <x:c r="G365" s="14">
        <x:f>IF(B365="","", -$F$8*SIN(B365) - $B$7*$F$6*SIN($F$6*B365))</x:f>
      </x:c>
      <x:c r="H365" s="14">
        <x:f>IF(B365="","", $F$8*COS(B365) - $B$7*$F$6*COS($F$6*B365))</x:f>
      </x:c>
    </x:row>
    <x:row r="366">
      <x:c r="A366" s="13" t="n">
        <x:v>347</x:v>
      </x:c>
      <x:c r="B366" s="14">
        <x:f>IF($B$12&lt;347,"",$B$13+(347-1)*($B$14-$B$13)/($B$12-1))</x:f>
      </x:c>
      <x:c r="C366" s="14">
        <x:f>IF(B366="","",$F$8*COS(B366) + $B$7*COS($F$6*B366))</x:f>
      </x:c>
      <x:c r="D366" s="14">
        <x:f>IF(B366="","",$F$8*SIN(B366) - $B$7*SIN($F$6*B366))</x:f>
      </x:c>
      <x:c r="E366" s="14">
        <x:f>IF(B366="","", C366 + $F$12*$F$9*(-H366)/IF(SQRT(G366^2+H366^2)=0,1,SQRT(G366^2+H366^2)))</x:f>
      </x:c>
      <x:c r="F366" s="14">
        <x:f>IF(B366="","", D366 + $F$12*$F$9*(G366)/IF(SQRT(G366^2+H366^2)=0,1,SQRT(G366^2+H366^2)))</x:f>
      </x:c>
      <x:c r="G366" s="14">
        <x:f>IF(B366="","", -$F$8*SIN(B366) - $B$7*$F$6*SIN($F$6*B366))</x:f>
      </x:c>
      <x:c r="H366" s="14">
        <x:f>IF(B366="","", $F$8*COS(B366) - $B$7*$F$6*COS($F$6*B366))</x:f>
      </x:c>
    </x:row>
    <x:row r="367">
      <x:c r="A367" s="13" t="n">
        <x:v>348</x:v>
      </x:c>
      <x:c r="B367" s="14">
        <x:f>IF($B$12&lt;348,"",$B$13+(348-1)*($B$14-$B$13)/($B$12-1))</x:f>
      </x:c>
      <x:c r="C367" s="14">
        <x:f>IF(B367="","",$F$8*COS(B367) + $B$7*COS($F$6*B367))</x:f>
      </x:c>
      <x:c r="D367" s="14">
        <x:f>IF(B367="","",$F$8*SIN(B367) - $B$7*SIN($F$6*B367))</x:f>
      </x:c>
      <x:c r="E367" s="14">
        <x:f>IF(B367="","", C367 + $F$12*$F$9*(-H367)/IF(SQRT(G367^2+H367^2)=0,1,SQRT(G367^2+H367^2)))</x:f>
      </x:c>
      <x:c r="F367" s="14">
        <x:f>IF(B367="","", D367 + $F$12*$F$9*(G367)/IF(SQRT(G367^2+H367^2)=0,1,SQRT(G367^2+H367^2)))</x:f>
      </x:c>
      <x:c r="G367" s="14">
        <x:f>IF(B367="","", -$F$8*SIN(B367) - $B$7*$F$6*SIN($F$6*B367))</x:f>
      </x:c>
      <x:c r="H367" s="14">
        <x:f>IF(B367="","", $F$8*COS(B367) - $B$7*$F$6*COS($F$6*B367))</x:f>
      </x:c>
    </x:row>
    <x:row r="368">
      <x:c r="A368" s="13" t="n">
        <x:v>349</x:v>
      </x:c>
      <x:c r="B368" s="14">
        <x:f>IF($B$12&lt;349,"",$B$13+(349-1)*($B$14-$B$13)/($B$12-1))</x:f>
      </x:c>
      <x:c r="C368" s="14">
        <x:f>IF(B368="","",$F$8*COS(B368) + $B$7*COS($F$6*B368))</x:f>
      </x:c>
      <x:c r="D368" s="14">
        <x:f>IF(B368="","",$F$8*SIN(B368) - $B$7*SIN($F$6*B368))</x:f>
      </x:c>
      <x:c r="E368" s="14">
        <x:f>IF(B368="","", C368 + $F$12*$F$9*(-H368)/IF(SQRT(G368^2+H368^2)=0,1,SQRT(G368^2+H368^2)))</x:f>
      </x:c>
      <x:c r="F368" s="14">
        <x:f>IF(B368="","", D368 + $F$12*$F$9*(G368)/IF(SQRT(G368^2+H368^2)=0,1,SQRT(G368^2+H368^2)))</x:f>
      </x:c>
      <x:c r="G368" s="14">
        <x:f>IF(B368="","", -$F$8*SIN(B368) - $B$7*$F$6*SIN($F$6*B368))</x:f>
      </x:c>
      <x:c r="H368" s="14">
        <x:f>IF(B368="","", $F$8*COS(B368) - $B$7*$F$6*COS($F$6*B368))</x:f>
      </x:c>
    </x:row>
    <x:row r="369">
      <x:c r="A369" s="13" t="n">
        <x:v>350</x:v>
      </x:c>
      <x:c r="B369" s="14">
        <x:f>IF($B$12&lt;350,"",$B$13+(350-1)*($B$14-$B$13)/($B$12-1))</x:f>
      </x:c>
      <x:c r="C369" s="14">
        <x:f>IF(B369="","",$F$8*COS(B369) + $B$7*COS($F$6*B369))</x:f>
      </x:c>
      <x:c r="D369" s="14">
        <x:f>IF(B369="","",$F$8*SIN(B369) - $B$7*SIN($F$6*B369))</x:f>
      </x:c>
      <x:c r="E369" s="14">
        <x:f>IF(B369="","", C369 + $F$12*$F$9*(-H369)/IF(SQRT(G369^2+H369^2)=0,1,SQRT(G369^2+H369^2)))</x:f>
      </x:c>
      <x:c r="F369" s="14">
        <x:f>IF(B369="","", D369 + $F$12*$F$9*(G369)/IF(SQRT(G369^2+H369^2)=0,1,SQRT(G369^2+H369^2)))</x:f>
      </x:c>
      <x:c r="G369" s="14">
        <x:f>IF(B369="","", -$F$8*SIN(B369) - $B$7*$F$6*SIN($F$6*B369))</x:f>
      </x:c>
      <x:c r="H369" s="14">
        <x:f>IF(B369="","", $F$8*COS(B369) - $B$7*$F$6*COS($F$6*B369))</x:f>
      </x:c>
    </x:row>
    <x:row r="370">
      <x:c r="A370" s="13" t="n">
        <x:v>351</x:v>
      </x:c>
      <x:c r="B370" s="14">
        <x:f>IF($B$12&lt;351,"",$B$13+(351-1)*($B$14-$B$13)/($B$12-1))</x:f>
      </x:c>
      <x:c r="C370" s="14">
        <x:f>IF(B370="","",$F$8*COS(B370) + $B$7*COS($F$6*B370))</x:f>
      </x:c>
      <x:c r="D370" s="14">
        <x:f>IF(B370="","",$F$8*SIN(B370) - $B$7*SIN($F$6*B370))</x:f>
      </x:c>
      <x:c r="E370" s="14">
        <x:f>IF(B370="","", C370 + $F$12*$F$9*(-H370)/IF(SQRT(G370^2+H370^2)=0,1,SQRT(G370^2+H370^2)))</x:f>
      </x:c>
      <x:c r="F370" s="14">
        <x:f>IF(B370="","", D370 + $F$12*$F$9*(G370)/IF(SQRT(G370^2+H370^2)=0,1,SQRT(G370^2+H370^2)))</x:f>
      </x:c>
      <x:c r="G370" s="14">
        <x:f>IF(B370="","", -$F$8*SIN(B370) - $B$7*$F$6*SIN($F$6*B370))</x:f>
      </x:c>
      <x:c r="H370" s="14">
        <x:f>IF(B370="","", $F$8*COS(B370) - $B$7*$F$6*COS($F$6*B370))</x:f>
      </x:c>
    </x:row>
    <x:row r="371">
      <x:c r="A371" s="13" t="n">
        <x:v>352</x:v>
      </x:c>
      <x:c r="B371" s="14">
        <x:f>IF($B$12&lt;352,"",$B$13+(352-1)*($B$14-$B$13)/($B$12-1))</x:f>
      </x:c>
      <x:c r="C371" s="14">
        <x:f>IF(B371="","",$F$8*COS(B371) + $B$7*COS($F$6*B371))</x:f>
      </x:c>
      <x:c r="D371" s="14">
        <x:f>IF(B371="","",$F$8*SIN(B371) - $B$7*SIN($F$6*B371))</x:f>
      </x:c>
      <x:c r="E371" s="14">
        <x:f>IF(B371="","", C371 + $F$12*$F$9*(-H371)/IF(SQRT(G371^2+H371^2)=0,1,SQRT(G371^2+H371^2)))</x:f>
      </x:c>
      <x:c r="F371" s="14">
        <x:f>IF(B371="","", D371 + $F$12*$F$9*(G371)/IF(SQRT(G371^2+H371^2)=0,1,SQRT(G371^2+H371^2)))</x:f>
      </x:c>
      <x:c r="G371" s="14">
        <x:f>IF(B371="","", -$F$8*SIN(B371) - $B$7*$F$6*SIN($F$6*B371))</x:f>
      </x:c>
      <x:c r="H371" s="14">
        <x:f>IF(B371="","", $F$8*COS(B371) - $B$7*$F$6*COS($F$6*B371))</x:f>
      </x:c>
    </x:row>
    <x:row r="372">
      <x:c r="A372" s="13" t="n">
        <x:v>353</x:v>
      </x:c>
      <x:c r="B372" s="14">
        <x:f>IF($B$12&lt;353,"",$B$13+(353-1)*($B$14-$B$13)/($B$12-1))</x:f>
      </x:c>
      <x:c r="C372" s="14">
        <x:f>IF(B372="","",$F$8*COS(B372) + $B$7*COS($F$6*B372))</x:f>
      </x:c>
      <x:c r="D372" s="14">
        <x:f>IF(B372="","",$F$8*SIN(B372) - $B$7*SIN($F$6*B372))</x:f>
      </x:c>
      <x:c r="E372" s="14">
        <x:f>IF(B372="","", C372 + $F$12*$F$9*(-H372)/IF(SQRT(G372^2+H372^2)=0,1,SQRT(G372^2+H372^2)))</x:f>
      </x:c>
      <x:c r="F372" s="14">
        <x:f>IF(B372="","", D372 + $F$12*$F$9*(G372)/IF(SQRT(G372^2+H372^2)=0,1,SQRT(G372^2+H372^2)))</x:f>
      </x:c>
      <x:c r="G372" s="14">
        <x:f>IF(B372="","", -$F$8*SIN(B372) - $B$7*$F$6*SIN($F$6*B372))</x:f>
      </x:c>
      <x:c r="H372" s="14">
        <x:f>IF(B372="","", $F$8*COS(B372) - $B$7*$F$6*COS($F$6*B372))</x:f>
      </x:c>
    </x:row>
    <x:row r="373">
      <x:c r="A373" s="13" t="n">
        <x:v>354</x:v>
      </x:c>
      <x:c r="B373" s="14">
        <x:f>IF($B$12&lt;354,"",$B$13+(354-1)*($B$14-$B$13)/($B$12-1))</x:f>
      </x:c>
      <x:c r="C373" s="14">
        <x:f>IF(B373="","",$F$8*COS(B373) + $B$7*COS($F$6*B373))</x:f>
      </x:c>
      <x:c r="D373" s="14">
        <x:f>IF(B373="","",$F$8*SIN(B373) - $B$7*SIN($F$6*B373))</x:f>
      </x:c>
      <x:c r="E373" s="14">
        <x:f>IF(B373="","", C373 + $F$12*$F$9*(-H373)/IF(SQRT(G373^2+H373^2)=0,1,SQRT(G373^2+H373^2)))</x:f>
      </x:c>
      <x:c r="F373" s="14">
        <x:f>IF(B373="","", D373 + $F$12*$F$9*(G373)/IF(SQRT(G373^2+H373^2)=0,1,SQRT(G373^2+H373^2)))</x:f>
      </x:c>
      <x:c r="G373" s="14">
        <x:f>IF(B373="","", -$F$8*SIN(B373) - $B$7*$F$6*SIN($F$6*B373))</x:f>
      </x:c>
      <x:c r="H373" s="14">
        <x:f>IF(B373="","", $F$8*COS(B373) - $B$7*$F$6*COS($F$6*B373))</x:f>
      </x:c>
    </x:row>
    <x:row r="374">
      <x:c r="A374" s="13" t="n">
        <x:v>355</x:v>
      </x:c>
      <x:c r="B374" s="14">
        <x:f>IF($B$12&lt;355,"",$B$13+(355-1)*($B$14-$B$13)/($B$12-1))</x:f>
      </x:c>
      <x:c r="C374" s="14">
        <x:f>IF(B374="","",$F$8*COS(B374) + $B$7*COS($F$6*B374))</x:f>
      </x:c>
      <x:c r="D374" s="14">
        <x:f>IF(B374="","",$F$8*SIN(B374) - $B$7*SIN($F$6*B374))</x:f>
      </x:c>
      <x:c r="E374" s="14">
        <x:f>IF(B374="","", C374 + $F$12*$F$9*(-H374)/IF(SQRT(G374^2+H374^2)=0,1,SQRT(G374^2+H374^2)))</x:f>
      </x:c>
      <x:c r="F374" s="14">
        <x:f>IF(B374="","", D374 + $F$12*$F$9*(G374)/IF(SQRT(G374^2+H374^2)=0,1,SQRT(G374^2+H374^2)))</x:f>
      </x:c>
      <x:c r="G374" s="14">
        <x:f>IF(B374="","", -$F$8*SIN(B374) - $B$7*$F$6*SIN($F$6*B374))</x:f>
      </x:c>
      <x:c r="H374" s="14">
        <x:f>IF(B374="","", $F$8*COS(B374) - $B$7*$F$6*COS($F$6*B374))</x:f>
      </x:c>
    </x:row>
    <x:row r="375">
      <x:c r="A375" s="13" t="n">
        <x:v>356</x:v>
      </x:c>
      <x:c r="B375" s="14">
        <x:f>IF($B$12&lt;356,"",$B$13+(356-1)*($B$14-$B$13)/($B$12-1))</x:f>
      </x:c>
      <x:c r="C375" s="14">
        <x:f>IF(B375="","",$F$8*COS(B375) + $B$7*COS($F$6*B375))</x:f>
      </x:c>
      <x:c r="D375" s="14">
        <x:f>IF(B375="","",$F$8*SIN(B375) - $B$7*SIN($F$6*B375))</x:f>
      </x:c>
      <x:c r="E375" s="14">
        <x:f>IF(B375="","", C375 + $F$12*$F$9*(-H375)/IF(SQRT(G375^2+H375^2)=0,1,SQRT(G375^2+H375^2)))</x:f>
      </x:c>
      <x:c r="F375" s="14">
        <x:f>IF(B375="","", D375 + $F$12*$F$9*(G375)/IF(SQRT(G375^2+H375^2)=0,1,SQRT(G375^2+H375^2)))</x:f>
      </x:c>
      <x:c r="G375" s="14">
        <x:f>IF(B375="","", -$F$8*SIN(B375) - $B$7*$F$6*SIN($F$6*B375))</x:f>
      </x:c>
      <x:c r="H375" s="14">
        <x:f>IF(B375="","", $F$8*COS(B375) - $B$7*$F$6*COS($F$6*B375))</x:f>
      </x:c>
    </x:row>
    <x:row r="376">
      <x:c r="A376" s="13" t="n">
        <x:v>357</x:v>
      </x:c>
      <x:c r="B376" s="14">
        <x:f>IF($B$12&lt;357,"",$B$13+(357-1)*($B$14-$B$13)/($B$12-1))</x:f>
      </x:c>
      <x:c r="C376" s="14">
        <x:f>IF(B376="","",$F$8*COS(B376) + $B$7*COS($F$6*B376))</x:f>
      </x:c>
      <x:c r="D376" s="14">
        <x:f>IF(B376="","",$F$8*SIN(B376) - $B$7*SIN($F$6*B376))</x:f>
      </x:c>
      <x:c r="E376" s="14">
        <x:f>IF(B376="","", C376 + $F$12*$F$9*(-H376)/IF(SQRT(G376^2+H376^2)=0,1,SQRT(G376^2+H376^2)))</x:f>
      </x:c>
      <x:c r="F376" s="14">
        <x:f>IF(B376="","", D376 + $F$12*$F$9*(G376)/IF(SQRT(G376^2+H376^2)=0,1,SQRT(G376^2+H376^2)))</x:f>
      </x:c>
      <x:c r="G376" s="14">
        <x:f>IF(B376="","", -$F$8*SIN(B376) - $B$7*$F$6*SIN($F$6*B376))</x:f>
      </x:c>
      <x:c r="H376" s="14">
        <x:f>IF(B376="","", $F$8*COS(B376) - $B$7*$F$6*COS($F$6*B376))</x:f>
      </x:c>
    </x:row>
    <x:row r="377">
      <x:c r="A377" s="13" t="n">
        <x:v>358</x:v>
      </x:c>
      <x:c r="B377" s="14">
        <x:f>IF($B$12&lt;358,"",$B$13+(358-1)*($B$14-$B$13)/($B$12-1))</x:f>
      </x:c>
      <x:c r="C377" s="14">
        <x:f>IF(B377="","",$F$8*COS(B377) + $B$7*COS($F$6*B377))</x:f>
      </x:c>
      <x:c r="D377" s="14">
        <x:f>IF(B377="","",$F$8*SIN(B377) - $B$7*SIN($F$6*B377))</x:f>
      </x:c>
      <x:c r="E377" s="14">
        <x:f>IF(B377="","", C377 + $F$12*$F$9*(-H377)/IF(SQRT(G377^2+H377^2)=0,1,SQRT(G377^2+H377^2)))</x:f>
      </x:c>
      <x:c r="F377" s="14">
        <x:f>IF(B377="","", D377 + $F$12*$F$9*(G377)/IF(SQRT(G377^2+H377^2)=0,1,SQRT(G377^2+H377^2)))</x:f>
      </x:c>
      <x:c r="G377" s="14">
        <x:f>IF(B377="","", -$F$8*SIN(B377) - $B$7*$F$6*SIN($F$6*B377))</x:f>
      </x:c>
      <x:c r="H377" s="14">
        <x:f>IF(B377="","", $F$8*COS(B377) - $B$7*$F$6*COS($F$6*B377))</x:f>
      </x:c>
    </x:row>
    <x:row r="378">
      <x:c r="A378" s="13" t="n">
        <x:v>359</x:v>
      </x:c>
      <x:c r="B378" s="14">
        <x:f>IF($B$12&lt;359,"",$B$13+(359-1)*($B$14-$B$13)/($B$12-1))</x:f>
      </x:c>
      <x:c r="C378" s="14">
        <x:f>IF(B378="","",$F$8*COS(B378) + $B$7*COS($F$6*B378))</x:f>
      </x:c>
      <x:c r="D378" s="14">
        <x:f>IF(B378="","",$F$8*SIN(B378) - $B$7*SIN($F$6*B378))</x:f>
      </x:c>
      <x:c r="E378" s="14">
        <x:f>IF(B378="","", C378 + $F$12*$F$9*(-H378)/IF(SQRT(G378^2+H378^2)=0,1,SQRT(G378^2+H378^2)))</x:f>
      </x:c>
      <x:c r="F378" s="14">
        <x:f>IF(B378="","", D378 + $F$12*$F$9*(G378)/IF(SQRT(G378^2+H378^2)=0,1,SQRT(G378^2+H378^2)))</x:f>
      </x:c>
      <x:c r="G378" s="14">
        <x:f>IF(B378="","", -$F$8*SIN(B378) - $B$7*$F$6*SIN($F$6*B378))</x:f>
      </x:c>
      <x:c r="H378" s="14">
        <x:f>IF(B378="","", $F$8*COS(B378) - $B$7*$F$6*COS($F$6*B378))</x:f>
      </x:c>
    </x:row>
    <x:row r="379">
      <x:c r="A379" s="13" t="n">
        <x:v>360</x:v>
      </x:c>
      <x:c r="B379" s="14">
        <x:f>IF($B$12&lt;360,"",$B$13+(360-1)*($B$14-$B$13)/($B$12-1))</x:f>
      </x:c>
      <x:c r="C379" s="14">
        <x:f>IF(B379="","",$F$8*COS(B379) + $B$7*COS($F$6*B379))</x:f>
      </x:c>
      <x:c r="D379" s="14">
        <x:f>IF(B379="","",$F$8*SIN(B379) - $B$7*SIN($F$6*B379))</x:f>
      </x:c>
      <x:c r="E379" s="14">
        <x:f>IF(B379="","", C379 + $F$12*$F$9*(-H379)/IF(SQRT(G379^2+H379^2)=0,1,SQRT(G379^2+H379^2)))</x:f>
      </x:c>
      <x:c r="F379" s="14">
        <x:f>IF(B379="","", D379 + $F$12*$F$9*(G379)/IF(SQRT(G379^2+H379^2)=0,1,SQRT(G379^2+H379^2)))</x:f>
      </x:c>
      <x:c r="G379" s="14">
        <x:f>IF(B379="","", -$F$8*SIN(B379) - $B$7*$F$6*SIN($F$6*B379))</x:f>
      </x:c>
      <x:c r="H379" s="14">
        <x:f>IF(B379="","", $F$8*COS(B379) - $B$7*$F$6*COS($F$6*B379))</x:f>
      </x:c>
    </x:row>
    <x:row r="380">
      <x:c r="A380" s="13" t="n">
        <x:v>361</x:v>
      </x:c>
      <x:c r="B380" s="14">
        <x:f>IF($B$12&lt;361,"",$B$13+(361-1)*($B$14-$B$13)/($B$12-1))</x:f>
      </x:c>
      <x:c r="C380" s="14">
        <x:f>IF(B380="","",$F$8*COS(B380) + $B$7*COS($F$6*B380))</x:f>
      </x:c>
      <x:c r="D380" s="14">
        <x:f>IF(B380="","",$F$8*SIN(B380) - $B$7*SIN($F$6*B380))</x:f>
      </x:c>
      <x:c r="E380" s="14">
        <x:f>IF(B380="","", C380 + $F$12*$F$9*(-H380)/IF(SQRT(G380^2+H380^2)=0,1,SQRT(G380^2+H380^2)))</x:f>
      </x:c>
      <x:c r="F380" s="14">
        <x:f>IF(B380="","", D380 + $F$12*$F$9*(G380)/IF(SQRT(G380^2+H380^2)=0,1,SQRT(G380^2+H380^2)))</x:f>
      </x:c>
      <x:c r="G380" s="14">
        <x:f>IF(B380="","", -$F$8*SIN(B380) - $B$7*$F$6*SIN($F$6*B380))</x:f>
      </x:c>
      <x:c r="H380" s="14">
        <x:f>IF(B380="","", $F$8*COS(B380) - $B$7*$F$6*COS($F$6*B380))</x:f>
      </x:c>
    </x:row>
    <x:row r="381">
      <x:c r="A381" s="13" t="n">
        <x:v>362</x:v>
      </x:c>
      <x:c r="B381" s="14">
        <x:f>IF($B$12&lt;362,"",$B$13+(362-1)*($B$14-$B$13)/($B$12-1))</x:f>
      </x:c>
      <x:c r="C381" s="14">
        <x:f>IF(B381="","",$F$8*COS(B381) + $B$7*COS($F$6*B381))</x:f>
      </x:c>
      <x:c r="D381" s="14">
        <x:f>IF(B381="","",$F$8*SIN(B381) - $B$7*SIN($F$6*B381))</x:f>
      </x:c>
      <x:c r="E381" s="14">
        <x:f>IF(B381="","", C381 + $F$12*$F$9*(-H381)/IF(SQRT(G381^2+H381^2)=0,1,SQRT(G381^2+H381^2)))</x:f>
      </x:c>
      <x:c r="F381" s="14">
        <x:f>IF(B381="","", D381 + $F$12*$F$9*(G381)/IF(SQRT(G381^2+H381^2)=0,1,SQRT(G381^2+H381^2)))</x:f>
      </x:c>
      <x:c r="G381" s="14">
        <x:f>IF(B381="","", -$F$8*SIN(B381) - $B$7*$F$6*SIN($F$6*B381))</x:f>
      </x:c>
      <x:c r="H381" s="14">
        <x:f>IF(B381="","", $F$8*COS(B381) - $B$7*$F$6*COS($F$6*B381))</x:f>
      </x:c>
    </x:row>
    <x:row r="382">
      <x:c r="A382" s="13" t="n">
        <x:v>363</x:v>
      </x:c>
      <x:c r="B382" s="14">
        <x:f>IF($B$12&lt;363,"",$B$13+(363-1)*($B$14-$B$13)/($B$12-1))</x:f>
      </x:c>
      <x:c r="C382" s="14">
        <x:f>IF(B382="","",$F$8*COS(B382) + $B$7*COS($F$6*B382))</x:f>
      </x:c>
      <x:c r="D382" s="14">
        <x:f>IF(B382="","",$F$8*SIN(B382) - $B$7*SIN($F$6*B382))</x:f>
      </x:c>
      <x:c r="E382" s="14">
        <x:f>IF(B382="","", C382 + $F$12*$F$9*(-H382)/IF(SQRT(G382^2+H382^2)=0,1,SQRT(G382^2+H382^2)))</x:f>
      </x:c>
      <x:c r="F382" s="14">
        <x:f>IF(B382="","", D382 + $F$12*$F$9*(G382)/IF(SQRT(G382^2+H382^2)=0,1,SQRT(G382^2+H382^2)))</x:f>
      </x:c>
      <x:c r="G382" s="14">
        <x:f>IF(B382="","", -$F$8*SIN(B382) - $B$7*$F$6*SIN($F$6*B382))</x:f>
      </x:c>
      <x:c r="H382" s="14">
        <x:f>IF(B382="","", $F$8*COS(B382) - $B$7*$F$6*COS($F$6*B382))</x:f>
      </x:c>
    </x:row>
    <x:row r="383">
      <x:c r="A383" s="13" t="n">
        <x:v>364</x:v>
      </x:c>
      <x:c r="B383" s="14">
        <x:f>IF($B$12&lt;364,"",$B$13+(364-1)*($B$14-$B$13)/($B$12-1))</x:f>
      </x:c>
      <x:c r="C383" s="14">
        <x:f>IF(B383="","",$F$8*COS(B383) + $B$7*COS($F$6*B383))</x:f>
      </x:c>
      <x:c r="D383" s="14">
        <x:f>IF(B383="","",$F$8*SIN(B383) - $B$7*SIN($F$6*B383))</x:f>
      </x:c>
      <x:c r="E383" s="14">
        <x:f>IF(B383="","", C383 + $F$12*$F$9*(-H383)/IF(SQRT(G383^2+H383^2)=0,1,SQRT(G383^2+H383^2)))</x:f>
      </x:c>
      <x:c r="F383" s="14">
        <x:f>IF(B383="","", D383 + $F$12*$F$9*(G383)/IF(SQRT(G383^2+H383^2)=0,1,SQRT(G383^2+H383^2)))</x:f>
      </x:c>
      <x:c r="G383" s="14">
        <x:f>IF(B383="","", -$F$8*SIN(B383) - $B$7*$F$6*SIN($F$6*B383))</x:f>
      </x:c>
      <x:c r="H383" s="14">
        <x:f>IF(B383="","", $F$8*COS(B383) - $B$7*$F$6*COS($F$6*B383))</x:f>
      </x:c>
    </x:row>
    <x:row r="384">
      <x:c r="A384" s="13" t="n">
        <x:v>365</x:v>
      </x:c>
      <x:c r="B384" s="14">
        <x:f>IF($B$12&lt;365,"",$B$13+(365-1)*($B$14-$B$13)/($B$12-1))</x:f>
      </x:c>
      <x:c r="C384" s="14">
        <x:f>IF(B384="","",$F$8*COS(B384) + $B$7*COS($F$6*B384))</x:f>
      </x:c>
      <x:c r="D384" s="14">
        <x:f>IF(B384="","",$F$8*SIN(B384) - $B$7*SIN($F$6*B384))</x:f>
      </x:c>
      <x:c r="E384" s="14">
        <x:f>IF(B384="","", C384 + $F$12*$F$9*(-H384)/IF(SQRT(G384^2+H384^2)=0,1,SQRT(G384^2+H384^2)))</x:f>
      </x:c>
      <x:c r="F384" s="14">
        <x:f>IF(B384="","", D384 + $F$12*$F$9*(G384)/IF(SQRT(G384^2+H384^2)=0,1,SQRT(G384^2+H384^2)))</x:f>
      </x:c>
      <x:c r="G384" s="14">
        <x:f>IF(B384="","", -$F$8*SIN(B384) - $B$7*$F$6*SIN($F$6*B384))</x:f>
      </x:c>
      <x:c r="H384" s="14">
        <x:f>IF(B384="","", $F$8*COS(B384) - $B$7*$F$6*COS($F$6*B384))</x:f>
      </x:c>
    </x:row>
    <x:row r="385">
      <x:c r="A385" s="13" t="n">
        <x:v>366</x:v>
      </x:c>
      <x:c r="B385" s="14">
        <x:f>IF($B$12&lt;366,"",$B$13+(366-1)*($B$14-$B$13)/($B$12-1))</x:f>
      </x:c>
      <x:c r="C385" s="14">
        <x:f>IF(B385="","",$F$8*COS(B385) + $B$7*COS($F$6*B385))</x:f>
      </x:c>
      <x:c r="D385" s="14">
        <x:f>IF(B385="","",$F$8*SIN(B385) - $B$7*SIN($F$6*B385))</x:f>
      </x:c>
      <x:c r="E385" s="14">
        <x:f>IF(B385="","", C385 + $F$12*$F$9*(-H385)/IF(SQRT(G385^2+H385^2)=0,1,SQRT(G385^2+H385^2)))</x:f>
      </x:c>
      <x:c r="F385" s="14">
        <x:f>IF(B385="","", D385 + $F$12*$F$9*(G385)/IF(SQRT(G385^2+H385^2)=0,1,SQRT(G385^2+H385^2)))</x:f>
      </x:c>
      <x:c r="G385" s="14">
        <x:f>IF(B385="","", -$F$8*SIN(B385) - $B$7*$F$6*SIN($F$6*B385))</x:f>
      </x:c>
      <x:c r="H385" s="14">
        <x:f>IF(B385="","", $F$8*COS(B385) - $B$7*$F$6*COS($F$6*B385))</x:f>
      </x:c>
    </x:row>
    <x:row r="386">
      <x:c r="A386" s="13" t="n">
        <x:v>367</x:v>
      </x:c>
      <x:c r="B386" s="14">
        <x:f>IF($B$12&lt;367,"",$B$13+(367-1)*($B$14-$B$13)/($B$12-1))</x:f>
      </x:c>
      <x:c r="C386" s="14">
        <x:f>IF(B386="","",$F$8*COS(B386) + $B$7*COS($F$6*B386))</x:f>
      </x:c>
      <x:c r="D386" s="14">
        <x:f>IF(B386="","",$F$8*SIN(B386) - $B$7*SIN($F$6*B386))</x:f>
      </x:c>
      <x:c r="E386" s="14">
        <x:f>IF(B386="","", C386 + $F$12*$F$9*(-H386)/IF(SQRT(G386^2+H386^2)=0,1,SQRT(G386^2+H386^2)))</x:f>
      </x:c>
      <x:c r="F386" s="14">
        <x:f>IF(B386="","", D386 + $F$12*$F$9*(G386)/IF(SQRT(G386^2+H386^2)=0,1,SQRT(G386^2+H386^2)))</x:f>
      </x:c>
      <x:c r="G386" s="14">
        <x:f>IF(B386="","", -$F$8*SIN(B386) - $B$7*$F$6*SIN($F$6*B386))</x:f>
      </x:c>
      <x:c r="H386" s="14">
        <x:f>IF(B386="","", $F$8*COS(B386) - $B$7*$F$6*COS($F$6*B386))</x:f>
      </x:c>
    </x:row>
    <x:row r="387">
      <x:c r="A387" s="13" t="n">
        <x:v>368</x:v>
      </x:c>
      <x:c r="B387" s="14">
        <x:f>IF($B$12&lt;368,"",$B$13+(368-1)*($B$14-$B$13)/($B$12-1))</x:f>
      </x:c>
      <x:c r="C387" s="14">
        <x:f>IF(B387="","",$F$8*COS(B387) + $B$7*COS($F$6*B387))</x:f>
      </x:c>
      <x:c r="D387" s="14">
        <x:f>IF(B387="","",$F$8*SIN(B387) - $B$7*SIN($F$6*B387))</x:f>
      </x:c>
      <x:c r="E387" s="14">
        <x:f>IF(B387="","", C387 + $F$12*$F$9*(-H387)/IF(SQRT(G387^2+H387^2)=0,1,SQRT(G387^2+H387^2)))</x:f>
      </x:c>
      <x:c r="F387" s="14">
        <x:f>IF(B387="","", D387 + $F$12*$F$9*(G387)/IF(SQRT(G387^2+H387^2)=0,1,SQRT(G387^2+H387^2)))</x:f>
      </x:c>
      <x:c r="G387" s="14">
        <x:f>IF(B387="","", -$F$8*SIN(B387) - $B$7*$F$6*SIN($F$6*B387))</x:f>
      </x:c>
      <x:c r="H387" s="14">
        <x:f>IF(B387="","", $F$8*COS(B387) - $B$7*$F$6*COS($F$6*B387))</x:f>
      </x:c>
    </x:row>
    <x:row r="388">
      <x:c r="A388" s="13" t="n">
        <x:v>369</x:v>
      </x:c>
      <x:c r="B388" s="14">
        <x:f>IF($B$12&lt;369,"",$B$13+(369-1)*($B$14-$B$13)/($B$12-1))</x:f>
      </x:c>
      <x:c r="C388" s="14">
        <x:f>IF(B388="","",$F$8*COS(B388) + $B$7*COS($F$6*B388))</x:f>
      </x:c>
      <x:c r="D388" s="14">
        <x:f>IF(B388="","",$F$8*SIN(B388) - $B$7*SIN($F$6*B388))</x:f>
      </x:c>
      <x:c r="E388" s="14">
        <x:f>IF(B388="","", C388 + $F$12*$F$9*(-H388)/IF(SQRT(G388^2+H388^2)=0,1,SQRT(G388^2+H388^2)))</x:f>
      </x:c>
      <x:c r="F388" s="14">
        <x:f>IF(B388="","", D388 + $F$12*$F$9*(G388)/IF(SQRT(G388^2+H388^2)=0,1,SQRT(G388^2+H388^2)))</x:f>
      </x:c>
      <x:c r="G388" s="14">
        <x:f>IF(B388="","", -$F$8*SIN(B388) - $B$7*$F$6*SIN($F$6*B388))</x:f>
      </x:c>
      <x:c r="H388" s="14">
        <x:f>IF(B388="","", $F$8*COS(B388) - $B$7*$F$6*COS($F$6*B388))</x:f>
      </x:c>
    </x:row>
    <x:row r="389">
      <x:c r="A389" s="13" t="n">
        <x:v>370</x:v>
      </x:c>
      <x:c r="B389" s="14">
        <x:f>IF($B$12&lt;370,"",$B$13+(370-1)*($B$14-$B$13)/($B$12-1))</x:f>
      </x:c>
      <x:c r="C389" s="14">
        <x:f>IF(B389="","",$F$8*COS(B389) + $B$7*COS($F$6*B389))</x:f>
      </x:c>
      <x:c r="D389" s="14">
        <x:f>IF(B389="","",$F$8*SIN(B389) - $B$7*SIN($F$6*B389))</x:f>
      </x:c>
      <x:c r="E389" s="14">
        <x:f>IF(B389="","", C389 + $F$12*$F$9*(-H389)/IF(SQRT(G389^2+H389^2)=0,1,SQRT(G389^2+H389^2)))</x:f>
      </x:c>
      <x:c r="F389" s="14">
        <x:f>IF(B389="","", D389 + $F$12*$F$9*(G389)/IF(SQRT(G389^2+H389^2)=0,1,SQRT(G389^2+H389^2)))</x:f>
      </x:c>
      <x:c r="G389" s="14">
        <x:f>IF(B389="","", -$F$8*SIN(B389) - $B$7*$F$6*SIN($F$6*B389))</x:f>
      </x:c>
      <x:c r="H389" s="14">
        <x:f>IF(B389="","", $F$8*COS(B389) - $B$7*$F$6*COS($F$6*B389))</x:f>
      </x:c>
    </x:row>
    <x:row r="390">
      <x:c r="A390" s="13" t="n">
        <x:v>371</x:v>
      </x:c>
      <x:c r="B390" s="14">
        <x:f>IF($B$12&lt;371,"",$B$13+(371-1)*($B$14-$B$13)/($B$12-1))</x:f>
      </x:c>
      <x:c r="C390" s="14">
        <x:f>IF(B390="","",$F$8*COS(B390) + $B$7*COS($F$6*B390))</x:f>
      </x:c>
      <x:c r="D390" s="14">
        <x:f>IF(B390="","",$F$8*SIN(B390) - $B$7*SIN($F$6*B390))</x:f>
      </x:c>
      <x:c r="E390" s="14">
        <x:f>IF(B390="","", C390 + $F$12*$F$9*(-H390)/IF(SQRT(G390^2+H390^2)=0,1,SQRT(G390^2+H390^2)))</x:f>
      </x:c>
      <x:c r="F390" s="14">
        <x:f>IF(B390="","", D390 + $F$12*$F$9*(G390)/IF(SQRT(G390^2+H390^2)=0,1,SQRT(G390^2+H390^2)))</x:f>
      </x:c>
      <x:c r="G390" s="14">
        <x:f>IF(B390="","", -$F$8*SIN(B390) - $B$7*$F$6*SIN($F$6*B390))</x:f>
      </x:c>
      <x:c r="H390" s="14">
        <x:f>IF(B390="","", $F$8*COS(B390) - $B$7*$F$6*COS($F$6*B390))</x:f>
      </x:c>
    </x:row>
    <x:row r="391">
      <x:c r="A391" s="13" t="n">
        <x:v>372</x:v>
      </x:c>
      <x:c r="B391" s="14">
        <x:f>IF($B$12&lt;372,"",$B$13+(372-1)*($B$14-$B$13)/($B$12-1))</x:f>
      </x:c>
      <x:c r="C391" s="14">
        <x:f>IF(B391="","",$F$8*COS(B391) + $B$7*COS($F$6*B391))</x:f>
      </x:c>
      <x:c r="D391" s="14">
        <x:f>IF(B391="","",$F$8*SIN(B391) - $B$7*SIN($F$6*B391))</x:f>
      </x:c>
      <x:c r="E391" s="14">
        <x:f>IF(B391="","", C391 + $F$12*$F$9*(-H391)/IF(SQRT(G391^2+H391^2)=0,1,SQRT(G391^2+H391^2)))</x:f>
      </x:c>
      <x:c r="F391" s="14">
        <x:f>IF(B391="","", D391 + $F$12*$F$9*(G391)/IF(SQRT(G391^2+H391^2)=0,1,SQRT(G391^2+H391^2)))</x:f>
      </x:c>
      <x:c r="G391" s="14">
        <x:f>IF(B391="","", -$F$8*SIN(B391) - $B$7*$F$6*SIN($F$6*B391))</x:f>
      </x:c>
      <x:c r="H391" s="14">
        <x:f>IF(B391="","", $F$8*COS(B391) - $B$7*$F$6*COS($F$6*B391))</x:f>
      </x:c>
    </x:row>
    <x:row r="392">
      <x:c r="A392" s="13" t="n">
        <x:v>373</x:v>
      </x:c>
      <x:c r="B392" s="14">
        <x:f>IF($B$12&lt;373,"",$B$13+(373-1)*($B$14-$B$13)/($B$12-1))</x:f>
      </x:c>
      <x:c r="C392" s="14">
        <x:f>IF(B392="","",$F$8*COS(B392) + $B$7*COS($F$6*B392))</x:f>
      </x:c>
      <x:c r="D392" s="14">
        <x:f>IF(B392="","",$F$8*SIN(B392) - $B$7*SIN($F$6*B392))</x:f>
      </x:c>
      <x:c r="E392" s="14">
        <x:f>IF(B392="","", C392 + $F$12*$F$9*(-H392)/IF(SQRT(G392^2+H392^2)=0,1,SQRT(G392^2+H392^2)))</x:f>
      </x:c>
      <x:c r="F392" s="14">
        <x:f>IF(B392="","", D392 + $F$12*$F$9*(G392)/IF(SQRT(G392^2+H392^2)=0,1,SQRT(G392^2+H392^2)))</x:f>
      </x:c>
      <x:c r="G392" s="14">
        <x:f>IF(B392="","", -$F$8*SIN(B392) - $B$7*$F$6*SIN($F$6*B392))</x:f>
      </x:c>
      <x:c r="H392" s="14">
        <x:f>IF(B392="","", $F$8*COS(B392) - $B$7*$F$6*COS($F$6*B392))</x:f>
      </x:c>
    </x:row>
    <x:row r="393">
      <x:c r="A393" s="13" t="n">
        <x:v>374</x:v>
      </x:c>
      <x:c r="B393" s="14">
        <x:f>IF($B$12&lt;374,"",$B$13+(374-1)*($B$14-$B$13)/($B$12-1))</x:f>
      </x:c>
      <x:c r="C393" s="14">
        <x:f>IF(B393="","",$F$8*COS(B393) + $B$7*COS($F$6*B393))</x:f>
      </x:c>
      <x:c r="D393" s="14">
        <x:f>IF(B393="","",$F$8*SIN(B393) - $B$7*SIN($F$6*B393))</x:f>
      </x:c>
      <x:c r="E393" s="14">
        <x:f>IF(B393="","", C393 + $F$12*$F$9*(-H393)/IF(SQRT(G393^2+H393^2)=0,1,SQRT(G393^2+H393^2)))</x:f>
      </x:c>
      <x:c r="F393" s="14">
        <x:f>IF(B393="","", D393 + $F$12*$F$9*(G393)/IF(SQRT(G393^2+H393^2)=0,1,SQRT(G393^2+H393^2)))</x:f>
      </x:c>
      <x:c r="G393" s="14">
        <x:f>IF(B393="","", -$F$8*SIN(B393) - $B$7*$F$6*SIN($F$6*B393))</x:f>
      </x:c>
      <x:c r="H393" s="14">
        <x:f>IF(B393="","", $F$8*COS(B393) - $B$7*$F$6*COS($F$6*B393))</x:f>
      </x:c>
    </x:row>
    <x:row r="394">
      <x:c r="A394" s="13" t="n">
        <x:v>375</x:v>
      </x:c>
      <x:c r="B394" s="14">
        <x:f>IF($B$12&lt;375,"",$B$13+(375-1)*($B$14-$B$13)/($B$12-1))</x:f>
      </x:c>
      <x:c r="C394" s="14">
        <x:f>IF(B394="","",$F$8*COS(B394) + $B$7*COS($F$6*B394))</x:f>
      </x:c>
      <x:c r="D394" s="14">
        <x:f>IF(B394="","",$F$8*SIN(B394) - $B$7*SIN($F$6*B394))</x:f>
      </x:c>
      <x:c r="E394" s="14">
        <x:f>IF(B394="","", C394 + $F$12*$F$9*(-H394)/IF(SQRT(G394^2+H394^2)=0,1,SQRT(G394^2+H394^2)))</x:f>
      </x:c>
      <x:c r="F394" s="14">
        <x:f>IF(B394="","", D394 + $F$12*$F$9*(G394)/IF(SQRT(G394^2+H394^2)=0,1,SQRT(G394^2+H394^2)))</x:f>
      </x:c>
      <x:c r="G394" s="14">
        <x:f>IF(B394="","", -$F$8*SIN(B394) - $B$7*$F$6*SIN($F$6*B394))</x:f>
      </x:c>
      <x:c r="H394" s="14">
        <x:f>IF(B394="","", $F$8*COS(B394) - $B$7*$F$6*COS($F$6*B394))</x:f>
      </x:c>
    </x:row>
    <x:row r="395">
      <x:c r="A395" s="13" t="n">
        <x:v>376</x:v>
      </x:c>
      <x:c r="B395" s="14">
        <x:f>IF($B$12&lt;376,"",$B$13+(376-1)*($B$14-$B$13)/($B$12-1))</x:f>
      </x:c>
      <x:c r="C395" s="14">
        <x:f>IF(B395="","",$F$8*COS(B395) + $B$7*COS($F$6*B395))</x:f>
      </x:c>
      <x:c r="D395" s="14">
        <x:f>IF(B395="","",$F$8*SIN(B395) - $B$7*SIN($F$6*B395))</x:f>
      </x:c>
      <x:c r="E395" s="14">
        <x:f>IF(B395="","", C395 + $F$12*$F$9*(-H395)/IF(SQRT(G395^2+H395^2)=0,1,SQRT(G395^2+H395^2)))</x:f>
      </x:c>
      <x:c r="F395" s="14">
        <x:f>IF(B395="","", D395 + $F$12*$F$9*(G395)/IF(SQRT(G395^2+H395^2)=0,1,SQRT(G395^2+H395^2)))</x:f>
      </x:c>
      <x:c r="G395" s="14">
        <x:f>IF(B395="","", -$F$8*SIN(B395) - $B$7*$F$6*SIN($F$6*B395))</x:f>
      </x:c>
      <x:c r="H395" s="14">
        <x:f>IF(B395="","", $F$8*COS(B395) - $B$7*$F$6*COS($F$6*B395))</x:f>
      </x:c>
    </x:row>
    <x:row r="396">
      <x:c r="A396" s="13" t="n">
        <x:v>377</x:v>
      </x:c>
      <x:c r="B396" s="14">
        <x:f>IF($B$12&lt;377,"",$B$13+(377-1)*($B$14-$B$13)/($B$12-1))</x:f>
      </x:c>
      <x:c r="C396" s="14">
        <x:f>IF(B396="","",$F$8*COS(B396) + $B$7*COS($F$6*B396))</x:f>
      </x:c>
      <x:c r="D396" s="14">
        <x:f>IF(B396="","",$F$8*SIN(B396) - $B$7*SIN($F$6*B396))</x:f>
      </x:c>
      <x:c r="E396" s="14">
        <x:f>IF(B396="","", C396 + $F$12*$F$9*(-H396)/IF(SQRT(G396^2+H396^2)=0,1,SQRT(G396^2+H396^2)))</x:f>
      </x:c>
      <x:c r="F396" s="14">
        <x:f>IF(B396="","", D396 + $F$12*$F$9*(G396)/IF(SQRT(G396^2+H396^2)=0,1,SQRT(G396^2+H396^2)))</x:f>
      </x:c>
      <x:c r="G396" s="14">
        <x:f>IF(B396="","", -$F$8*SIN(B396) - $B$7*$F$6*SIN($F$6*B396))</x:f>
      </x:c>
      <x:c r="H396" s="14">
        <x:f>IF(B396="","", $F$8*COS(B396) - $B$7*$F$6*COS($F$6*B396))</x:f>
      </x:c>
    </x:row>
    <x:row r="397">
      <x:c r="A397" s="13" t="n">
        <x:v>378</x:v>
      </x:c>
      <x:c r="B397" s="14">
        <x:f>IF($B$12&lt;378,"",$B$13+(378-1)*($B$14-$B$13)/($B$12-1))</x:f>
      </x:c>
      <x:c r="C397" s="14">
        <x:f>IF(B397="","",$F$8*COS(B397) + $B$7*COS($F$6*B397))</x:f>
      </x:c>
      <x:c r="D397" s="14">
        <x:f>IF(B397="","",$F$8*SIN(B397) - $B$7*SIN($F$6*B397))</x:f>
      </x:c>
      <x:c r="E397" s="14">
        <x:f>IF(B397="","", C397 + $F$12*$F$9*(-H397)/IF(SQRT(G397^2+H397^2)=0,1,SQRT(G397^2+H397^2)))</x:f>
      </x:c>
      <x:c r="F397" s="14">
        <x:f>IF(B397="","", D397 + $F$12*$F$9*(G397)/IF(SQRT(G397^2+H397^2)=0,1,SQRT(G397^2+H397^2)))</x:f>
      </x:c>
      <x:c r="G397" s="14">
        <x:f>IF(B397="","", -$F$8*SIN(B397) - $B$7*$F$6*SIN($F$6*B397))</x:f>
      </x:c>
      <x:c r="H397" s="14">
        <x:f>IF(B397="","", $F$8*COS(B397) - $B$7*$F$6*COS($F$6*B397))</x:f>
      </x:c>
    </x:row>
    <x:row r="398">
      <x:c r="A398" s="13" t="n">
        <x:v>379</x:v>
      </x:c>
      <x:c r="B398" s="14">
        <x:f>IF($B$12&lt;379,"",$B$13+(379-1)*($B$14-$B$13)/($B$12-1))</x:f>
      </x:c>
      <x:c r="C398" s="14">
        <x:f>IF(B398="","",$F$8*COS(B398) + $B$7*COS($F$6*B398))</x:f>
      </x:c>
      <x:c r="D398" s="14">
        <x:f>IF(B398="","",$F$8*SIN(B398) - $B$7*SIN($F$6*B398))</x:f>
      </x:c>
      <x:c r="E398" s="14">
        <x:f>IF(B398="","", C398 + $F$12*$F$9*(-H398)/IF(SQRT(G398^2+H398^2)=0,1,SQRT(G398^2+H398^2)))</x:f>
      </x:c>
      <x:c r="F398" s="14">
        <x:f>IF(B398="","", D398 + $F$12*$F$9*(G398)/IF(SQRT(G398^2+H398^2)=0,1,SQRT(G398^2+H398^2)))</x:f>
      </x:c>
      <x:c r="G398" s="14">
        <x:f>IF(B398="","", -$F$8*SIN(B398) - $B$7*$F$6*SIN($F$6*B398))</x:f>
      </x:c>
      <x:c r="H398" s="14">
        <x:f>IF(B398="","", $F$8*COS(B398) - $B$7*$F$6*COS($F$6*B398))</x:f>
      </x:c>
    </x:row>
    <x:row r="399">
      <x:c r="A399" s="13" t="n">
        <x:v>380</x:v>
      </x:c>
      <x:c r="B399" s="14">
        <x:f>IF($B$12&lt;380,"",$B$13+(380-1)*($B$14-$B$13)/($B$12-1))</x:f>
      </x:c>
      <x:c r="C399" s="14">
        <x:f>IF(B399="","",$F$8*COS(B399) + $B$7*COS($F$6*B399))</x:f>
      </x:c>
      <x:c r="D399" s="14">
        <x:f>IF(B399="","",$F$8*SIN(B399) - $B$7*SIN($F$6*B399))</x:f>
      </x:c>
      <x:c r="E399" s="14">
        <x:f>IF(B399="","", C399 + $F$12*$F$9*(-H399)/IF(SQRT(G399^2+H399^2)=0,1,SQRT(G399^2+H399^2)))</x:f>
      </x:c>
      <x:c r="F399" s="14">
        <x:f>IF(B399="","", D399 + $F$12*$F$9*(G399)/IF(SQRT(G399^2+H399^2)=0,1,SQRT(G399^2+H399^2)))</x:f>
      </x:c>
      <x:c r="G399" s="14">
        <x:f>IF(B399="","", -$F$8*SIN(B399) - $B$7*$F$6*SIN($F$6*B399))</x:f>
      </x:c>
      <x:c r="H399" s="14">
        <x:f>IF(B399="","", $F$8*COS(B399) - $B$7*$F$6*COS($F$6*B399))</x:f>
      </x:c>
    </x:row>
    <x:row r="400">
      <x:c r="A400" s="13" t="n">
        <x:v>381</x:v>
      </x:c>
      <x:c r="B400" s="14">
        <x:f>IF($B$12&lt;381,"",$B$13+(381-1)*($B$14-$B$13)/($B$12-1))</x:f>
      </x:c>
      <x:c r="C400" s="14">
        <x:f>IF(B400="","",$F$8*COS(B400) + $B$7*COS($F$6*B400))</x:f>
      </x:c>
      <x:c r="D400" s="14">
        <x:f>IF(B400="","",$F$8*SIN(B400) - $B$7*SIN($F$6*B400))</x:f>
      </x:c>
      <x:c r="E400" s="14">
        <x:f>IF(B400="","", C400 + $F$12*$F$9*(-H400)/IF(SQRT(G400^2+H400^2)=0,1,SQRT(G400^2+H400^2)))</x:f>
      </x:c>
      <x:c r="F400" s="14">
        <x:f>IF(B400="","", D400 + $F$12*$F$9*(G400)/IF(SQRT(G400^2+H400^2)=0,1,SQRT(G400^2+H400^2)))</x:f>
      </x:c>
      <x:c r="G400" s="14">
        <x:f>IF(B400="","", -$F$8*SIN(B400) - $B$7*$F$6*SIN($F$6*B400))</x:f>
      </x:c>
      <x:c r="H400" s="14">
        <x:f>IF(B400="","", $F$8*COS(B400) - $B$7*$F$6*COS($F$6*B400))</x:f>
      </x:c>
    </x:row>
    <x:row r="401">
      <x:c r="A401" s="13" t="n">
        <x:v>382</x:v>
      </x:c>
      <x:c r="B401" s="14">
        <x:f>IF($B$12&lt;382,"",$B$13+(382-1)*($B$14-$B$13)/($B$12-1))</x:f>
      </x:c>
      <x:c r="C401" s="14">
        <x:f>IF(B401="","",$F$8*COS(B401) + $B$7*COS($F$6*B401))</x:f>
      </x:c>
      <x:c r="D401" s="14">
        <x:f>IF(B401="","",$F$8*SIN(B401) - $B$7*SIN($F$6*B401))</x:f>
      </x:c>
      <x:c r="E401" s="14">
        <x:f>IF(B401="","", C401 + $F$12*$F$9*(-H401)/IF(SQRT(G401^2+H401^2)=0,1,SQRT(G401^2+H401^2)))</x:f>
      </x:c>
      <x:c r="F401" s="14">
        <x:f>IF(B401="","", D401 + $F$12*$F$9*(G401)/IF(SQRT(G401^2+H401^2)=0,1,SQRT(G401^2+H401^2)))</x:f>
      </x:c>
      <x:c r="G401" s="14">
        <x:f>IF(B401="","", -$F$8*SIN(B401) - $B$7*$F$6*SIN($F$6*B401))</x:f>
      </x:c>
      <x:c r="H401" s="14">
        <x:f>IF(B401="","", $F$8*COS(B401) - $B$7*$F$6*COS($F$6*B401))</x:f>
      </x:c>
    </x:row>
    <x:row r="402">
      <x:c r="A402" s="13" t="n">
        <x:v>383</x:v>
      </x:c>
      <x:c r="B402" s="14">
        <x:f>IF($B$12&lt;383,"",$B$13+(383-1)*($B$14-$B$13)/($B$12-1))</x:f>
      </x:c>
      <x:c r="C402" s="14">
        <x:f>IF(B402="","",$F$8*COS(B402) + $B$7*COS($F$6*B402))</x:f>
      </x:c>
      <x:c r="D402" s="14">
        <x:f>IF(B402="","",$F$8*SIN(B402) - $B$7*SIN($F$6*B402))</x:f>
      </x:c>
      <x:c r="E402" s="14">
        <x:f>IF(B402="","", C402 + $F$12*$F$9*(-H402)/IF(SQRT(G402^2+H402^2)=0,1,SQRT(G402^2+H402^2)))</x:f>
      </x:c>
      <x:c r="F402" s="14">
        <x:f>IF(B402="","", D402 + $F$12*$F$9*(G402)/IF(SQRT(G402^2+H402^2)=0,1,SQRT(G402^2+H402^2)))</x:f>
      </x:c>
      <x:c r="G402" s="14">
        <x:f>IF(B402="","", -$F$8*SIN(B402) - $B$7*$F$6*SIN($F$6*B402))</x:f>
      </x:c>
      <x:c r="H402" s="14">
        <x:f>IF(B402="","", $F$8*COS(B402) - $B$7*$F$6*COS($F$6*B402))</x:f>
      </x:c>
    </x:row>
    <x:row r="403">
      <x:c r="A403" s="13" t="n">
        <x:v>384</x:v>
      </x:c>
      <x:c r="B403" s="14">
        <x:f>IF($B$12&lt;384,"",$B$13+(384-1)*($B$14-$B$13)/($B$12-1))</x:f>
      </x:c>
      <x:c r="C403" s="14">
        <x:f>IF(B403="","",$F$8*COS(B403) + $B$7*COS($F$6*B403))</x:f>
      </x:c>
      <x:c r="D403" s="14">
        <x:f>IF(B403="","",$F$8*SIN(B403) - $B$7*SIN($F$6*B403))</x:f>
      </x:c>
      <x:c r="E403" s="14">
        <x:f>IF(B403="","", C403 + $F$12*$F$9*(-H403)/IF(SQRT(G403^2+H403^2)=0,1,SQRT(G403^2+H403^2)))</x:f>
      </x:c>
      <x:c r="F403" s="14">
        <x:f>IF(B403="","", D403 + $F$12*$F$9*(G403)/IF(SQRT(G403^2+H403^2)=0,1,SQRT(G403^2+H403^2)))</x:f>
      </x:c>
      <x:c r="G403" s="14">
        <x:f>IF(B403="","", -$F$8*SIN(B403) - $B$7*$F$6*SIN($F$6*B403))</x:f>
      </x:c>
      <x:c r="H403" s="14">
        <x:f>IF(B403="","", $F$8*COS(B403) - $B$7*$F$6*COS($F$6*B403))</x:f>
      </x:c>
    </x:row>
    <x:row r="404">
      <x:c r="A404" s="13" t="n">
        <x:v>385</x:v>
      </x:c>
      <x:c r="B404" s="14">
        <x:f>IF($B$12&lt;385,"",$B$13+(385-1)*($B$14-$B$13)/($B$12-1))</x:f>
      </x:c>
      <x:c r="C404" s="14">
        <x:f>IF(B404="","",$F$8*COS(B404) + $B$7*COS($F$6*B404))</x:f>
      </x:c>
      <x:c r="D404" s="14">
        <x:f>IF(B404="","",$F$8*SIN(B404) - $B$7*SIN($F$6*B404))</x:f>
      </x:c>
      <x:c r="E404" s="14">
        <x:f>IF(B404="","", C404 + $F$12*$F$9*(-H404)/IF(SQRT(G404^2+H404^2)=0,1,SQRT(G404^2+H404^2)))</x:f>
      </x:c>
      <x:c r="F404" s="14">
        <x:f>IF(B404="","", D404 + $F$12*$F$9*(G404)/IF(SQRT(G404^2+H404^2)=0,1,SQRT(G404^2+H404^2)))</x:f>
      </x:c>
      <x:c r="G404" s="14">
        <x:f>IF(B404="","", -$F$8*SIN(B404) - $B$7*$F$6*SIN($F$6*B404))</x:f>
      </x:c>
      <x:c r="H404" s="14">
        <x:f>IF(B404="","", $F$8*COS(B404) - $B$7*$F$6*COS($F$6*B404))</x:f>
      </x:c>
    </x:row>
    <x:row r="405">
      <x:c r="A405" s="13" t="n">
        <x:v>386</x:v>
      </x:c>
      <x:c r="B405" s="14">
        <x:f>IF($B$12&lt;386,"",$B$13+(386-1)*($B$14-$B$13)/($B$12-1))</x:f>
      </x:c>
      <x:c r="C405" s="14">
        <x:f>IF(B405="","",$F$8*COS(B405) + $B$7*COS($F$6*B405))</x:f>
      </x:c>
      <x:c r="D405" s="14">
        <x:f>IF(B405="","",$F$8*SIN(B405) - $B$7*SIN($F$6*B405))</x:f>
      </x:c>
      <x:c r="E405" s="14">
        <x:f>IF(B405="","", C405 + $F$12*$F$9*(-H405)/IF(SQRT(G405^2+H405^2)=0,1,SQRT(G405^2+H405^2)))</x:f>
      </x:c>
      <x:c r="F405" s="14">
        <x:f>IF(B405="","", D405 + $F$12*$F$9*(G405)/IF(SQRT(G405^2+H405^2)=0,1,SQRT(G405^2+H405^2)))</x:f>
      </x:c>
      <x:c r="G405" s="14">
        <x:f>IF(B405="","", -$F$8*SIN(B405) - $B$7*$F$6*SIN($F$6*B405))</x:f>
      </x:c>
      <x:c r="H405" s="14">
        <x:f>IF(B405="","", $F$8*COS(B405) - $B$7*$F$6*COS($F$6*B405))</x:f>
      </x:c>
    </x:row>
    <x:row r="406">
      <x:c r="A406" s="13" t="n">
        <x:v>387</x:v>
      </x:c>
      <x:c r="B406" s="14">
        <x:f>IF($B$12&lt;387,"",$B$13+(387-1)*($B$14-$B$13)/($B$12-1))</x:f>
      </x:c>
      <x:c r="C406" s="14">
        <x:f>IF(B406="","",$F$8*COS(B406) + $B$7*COS($F$6*B406))</x:f>
      </x:c>
      <x:c r="D406" s="14">
        <x:f>IF(B406="","",$F$8*SIN(B406) - $B$7*SIN($F$6*B406))</x:f>
      </x:c>
      <x:c r="E406" s="14">
        <x:f>IF(B406="","", C406 + $F$12*$F$9*(-H406)/IF(SQRT(G406^2+H406^2)=0,1,SQRT(G406^2+H406^2)))</x:f>
      </x:c>
      <x:c r="F406" s="14">
        <x:f>IF(B406="","", D406 + $F$12*$F$9*(G406)/IF(SQRT(G406^2+H406^2)=0,1,SQRT(G406^2+H406^2)))</x:f>
      </x:c>
      <x:c r="G406" s="14">
        <x:f>IF(B406="","", -$F$8*SIN(B406) - $B$7*$F$6*SIN($F$6*B406))</x:f>
      </x:c>
      <x:c r="H406" s="14">
        <x:f>IF(B406="","", $F$8*COS(B406) - $B$7*$F$6*COS($F$6*B406))</x:f>
      </x:c>
    </x:row>
    <x:row r="407">
      <x:c r="A407" s="13" t="n">
        <x:v>388</x:v>
      </x:c>
      <x:c r="B407" s="14">
        <x:f>IF($B$12&lt;388,"",$B$13+(388-1)*($B$14-$B$13)/($B$12-1))</x:f>
      </x:c>
      <x:c r="C407" s="14">
        <x:f>IF(B407="","",$F$8*COS(B407) + $B$7*COS($F$6*B407))</x:f>
      </x:c>
      <x:c r="D407" s="14">
        <x:f>IF(B407="","",$F$8*SIN(B407) - $B$7*SIN($F$6*B407))</x:f>
      </x:c>
      <x:c r="E407" s="14">
        <x:f>IF(B407="","", C407 + $F$12*$F$9*(-H407)/IF(SQRT(G407^2+H407^2)=0,1,SQRT(G407^2+H407^2)))</x:f>
      </x:c>
      <x:c r="F407" s="14">
        <x:f>IF(B407="","", D407 + $F$12*$F$9*(G407)/IF(SQRT(G407^2+H407^2)=0,1,SQRT(G407^2+H407^2)))</x:f>
      </x:c>
      <x:c r="G407" s="14">
        <x:f>IF(B407="","", -$F$8*SIN(B407) - $B$7*$F$6*SIN($F$6*B407))</x:f>
      </x:c>
      <x:c r="H407" s="14">
        <x:f>IF(B407="","", $F$8*COS(B407) - $B$7*$F$6*COS($F$6*B407))</x:f>
      </x:c>
    </x:row>
    <x:row r="408">
      <x:c r="A408" s="13" t="n">
        <x:v>389</x:v>
      </x:c>
      <x:c r="B408" s="14">
        <x:f>IF($B$12&lt;389,"",$B$13+(389-1)*($B$14-$B$13)/($B$12-1))</x:f>
      </x:c>
      <x:c r="C408" s="14">
        <x:f>IF(B408="","",$F$8*COS(B408) + $B$7*COS($F$6*B408))</x:f>
      </x:c>
      <x:c r="D408" s="14">
        <x:f>IF(B408="","",$F$8*SIN(B408) - $B$7*SIN($F$6*B408))</x:f>
      </x:c>
      <x:c r="E408" s="14">
        <x:f>IF(B408="","", C408 + $F$12*$F$9*(-H408)/IF(SQRT(G408^2+H408^2)=0,1,SQRT(G408^2+H408^2)))</x:f>
      </x:c>
      <x:c r="F408" s="14">
        <x:f>IF(B408="","", D408 + $F$12*$F$9*(G408)/IF(SQRT(G408^2+H408^2)=0,1,SQRT(G408^2+H408^2)))</x:f>
      </x:c>
      <x:c r="G408" s="14">
        <x:f>IF(B408="","", -$F$8*SIN(B408) - $B$7*$F$6*SIN($F$6*B408))</x:f>
      </x:c>
      <x:c r="H408" s="14">
        <x:f>IF(B408="","", $F$8*COS(B408) - $B$7*$F$6*COS($F$6*B408))</x:f>
      </x:c>
    </x:row>
    <x:row r="409">
      <x:c r="A409" s="13" t="n">
        <x:v>390</x:v>
      </x:c>
      <x:c r="B409" s="14">
        <x:f>IF($B$12&lt;390,"",$B$13+(390-1)*($B$14-$B$13)/($B$12-1))</x:f>
      </x:c>
      <x:c r="C409" s="14">
        <x:f>IF(B409="","",$F$8*COS(B409) + $B$7*COS($F$6*B409))</x:f>
      </x:c>
      <x:c r="D409" s="14">
        <x:f>IF(B409="","",$F$8*SIN(B409) - $B$7*SIN($F$6*B409))</x:f>
      </x:c>
      <x:c r="E409" s="14">
        <x:f>IF(B409="","", C409 + $F$12*$F$9*(-H409)/IF(SQRT(G409^2+H409^2)=0,1,SQRT(G409^2+H409^2)))</x:f>
      </x:c>
      <x:c r="F409" s="14">
        <x:f>IF(B409="","", D409 + $F$12*$F$9*(G409)/IF(SQRT(G409^2+H409^2)=0,1,SQRT(G409^2+H409^2)))</x:f>
      </x:c>
      <x:c r="G409" s="14">
        <x:f>IF(B409="","", -$F$8*SIN(B409) - $B$7*$F$6*SIN($F$6*B409))</x:f>
      </x:c>
      <x:c r="H409" s="14">
        <x:f>IF(B409="","", $F$8*COS(B409) - $B$7*$F$6*COS($F$6*B409))</x:f>
      </x:c>
    </x:row>
    <x:row r="410">
      <x:c r="A410" s="13" t="n">
        <x:v>391</x:v>
      </x:c>
      <x:c r="B410" s="14">
        <x:f>IF($B$12&lt;391,"",$B$13+(391-1)*($B$14-$B$13)/($B$12-1))</x:f>
      </x:c>
      <x:c r="C410" s="14">
        <x:f>IF(B410="","",$F$8*COS(B410) + $B$7*COS($F$6*B410))</x:f>
      </x:c>
      <x:c r="D410" s="14">
        <x:f>IF(B410="","",$F$8*SIN(B410) - $B$7*SIN($F$6*B410))</x:f>
      </x:c>
      <x:c r="E410" s="14">
        <x:f>IF(B410="","", C410 + $F$12*$F$9*(-H410)/IF(SQRT(G410^2+H410^2)=0,1,SQRT(G410^2+H410^2)))</x:f>
      </x:c>
      <x:c r="F410" s="14">
        <x:f>IF(B410="","", D410 + $F$12*$F$9*(G410)/IF(SQRT(G410^2+H410^2)=0,1,SQRT(G410^2+H410^2)))</x:f>
      </x:c>
      <x:c r="G410" s="14">
        <x:f>IF(B410="","", -$F$8*SIN(B410) - $B$7*$F$6*SIN($F$6*B410))</x:f>
      </x:c>
      <x:c r="H410" s="14">
        <x:f>IF(B410="","", $F$8*COS(B410) - $B$7*$F$6*COS($F$6*B410))</x:f>
      </x:c>
    </x:row>
    <x:row r="411">
      <x:c r="A411" s="13" t="n">
        <x:v>392</x:v>
      </x:c>
      <x:c r="B411" s="14">
        <x:f>IF($B$12&lt;392,"",$B$13+(392-1)*($B$14-$B$13)/($B$12-1))</x:f>
      </x:c>
      <x:c r="C411" s="14">
        <x:f>IF(B411="","",$F$8*COS(B411) + $B$7*COS($F$6*B411))</x:f>
      </x:c>
      <x:c r="D411" s="14">
        <x:f>IF(B411="","",$F$8*SIN(B411) - $B$7*SIN($F$6*B411))</x:f>
      </x:c>
      <x:c r="E411" s="14">
        <x:f>IF(B411="","", C411 + $F$12*$F$9*(-H411)/IF(SQRT(G411^2+H411^2)=0,1,SQRT(G411^2+H411^2)))</x:f>
      </x:c>
      <x:c r="F411" s="14">
        <x:f>IF(B411="","", D411 + $F$12*$F$9*(G411)/IF(SQRT(G411^2+H411^2)=0,1,SQRT(G411^2+H411^2)))</x:f>
      </x:c>
      <x:c r="G411" s="14">
        <x:f>IF(B411="","", -$F$8*SIN(B411) - $B$7*$F$6*SIN($F$6*B411))</x:f>
      </x:c>
      <x:c r="H411" s="14">
        <x:f>IF(B411="","", $F$8*COS(B411) - $B$7*$F$6*COS($F$6*B411))</x:f>
      </x:c>
    </x:row>
    <x:row r="412">
      <x:c r="A412" s="13" t="n">
        <x:v>393</x:v>
      </x:c>
      <x:c r="B412" s="14">
        <x:f>IF($B$12&lt;393,"",$B$13+(393-1)*($B$14-$B$13)/($B$12-1))</x:f>
      </x:c>
      <x:c r="C412" s="14">
        <x:f>IF(B412="","",$F$8*COS(B412) + $B$7*COS($F$6*B412))</x:f>
      </x:c>
      <x:c r="D412" s="14">
        <x:f>IF(B412="","",$F$8*SIN(B412) - $B$7*SIN($F$6*B412))</x:f>
      </x:c>
      <x:c r="E412" s="14">
        <x:f>IF(B412="","", C412 + $F$12*$F$9*(-H412)/IF(SQRT(G412^2+H412^2)=0,1,SQRT(G412^2+H412^2)))</x:f>
      </x:c>
      <x:c r="F412" s="14">
        <x:f>IF(B412="","", D412 + $F$12*$F$9*(G412)/IF(SQRT(G412^2+H412^2)=0,1,SQRT(G412^2+H412^2)))</x:f>
      </x:c>
      <x:c r="G412" s="14">
        <x:f>IF(B412="","", -$F$8*SIN(B412) - $B$7*$F$6*SIN($F$6*B412))</x:f>
      </x:c>
      <x:c r="H412" s="14">
        <x:f>IF(B412="","", $F$8*COS(B412) - $B$7*$F$6*COS($F$6*B412))</x:f>
      </x:c>
    </x:row>
    <x:row r="413">
      <x:c r="A413" s="13" t="n">
        <x:v>394</x:v>
      </x:c>
      <x:c r="B413" s="14">
        <x:f>IF($B$12&lt;394,"",$B$13+(394-1)*($B$14-$B$13)/($B$12-1))</x:f>
      </x:c>
      <x:c r="C413" s="14">
        <x:f>IF(B413="","",$F$8*COS(B413) + $B$7*COS($F$6*B413))</x:f>
      </x:c>
      <x:c r="D413" s="14">
        <x:f>IF(B413="","",$F$8*SIN(B413) - $B$7*SIN($F$6*B413))</x:f>
      </x:c>
      <x:c r="E413" s="14">
        <x:f>IF(B413="","", C413 + $F$12*$F$9*(-H413)/IF(SQRT(G413^2+H413^2)=0,1,SQRT(G413^2+H413^2)))</x:f>
      </x:c>
      <x:c r="F413" s="14">
        <x:f>IF(B413="","", D413 + $F$12*$F$9*(G413)/IF(SQRT(G413^2+H413^2)=0,1,SQRT(G413^2+H413^2)))</x:f>
      </x:c>
      <x:c r="G413" s="14">
        <x:f>IF(B413="","", -$F$8*SIN(B413) - $B$7*$F$6*SIN($F$6*B413))</x:f>
      </x:c>
      <x:c r="H413" s="14">
        <x:f>IF(B413="","", $F$8*COS(B413) - $B$7*$F$6*COS($F$6*B413))</x:f>
      </x:c>
    </x:row>
    <x:row r="414">
      <x:c r="A414" s="13" t="n">
        <x:v>395</x:v>
      </x:c>
      <x:c r="B414" s="14">
        <x:f>IF($B$12&lt;395,"",$B$13+(395-1)*($B$14-$B$13)/($B$12-1))</x:f>
      </x:c>
      <x:c r="C414" s="14">
        <x:f>IF(B414="","",$F$8*COS(B414) + $B$7*COS($F$6*B414))</x:f>
      </x:c>
      <x:c r="D414" s="14">
        <x:f>IF(B414="","",$F$8*SIN(B414) - $B$7*SIN($F$6*B414))</x:f>
      </x:c>
      <x:c r="E414" s="14">
        <x:f>IF(B414="","", C414 + $F$12*$F$9*(-H414)/IF(SQRT(G414^2+H414^2)=0,1,SQRT(G414^2+H414^2)))</x:f>
      </x:c>
      <x:c r="F414" s="14">
        <x:f>IF(B414="","", D414 + $F$12*$F$9*(G414)/IF(SQRT(G414^2+H414^2)=0,1,SQRT(G414^2+H414^2)))</x:f>
      </x:c>
      <x:c r="G414" s="14">
        <x:f>IF(B414="","", -$F$8*SIN(B414) - $B$7*$F$6*SIN($F$6*B414))</x:f>
      </x:c>
      <x:c r="H414" s="14">
        <x:f>IF(B414="","", $F$8*COS(B414) - $B$7*$F$6*COS($F$6*B414))</x:f>
      </x:c>
    </x:row>
    <x:row r="415">
      <x:c r="A415" s="13" t="n">
        <x:v>396</x:v>
      </x:c>
      <x:c r="B415" s="14">
        <x:f>IF($B$12&lt;396,"",$B$13+(396-1)*($B$14-$B$13)/($B$12-1))</x:f>
      </x:c>
      <x:c r="C415" s="14">
        <x:f>IF(B415="","",$F$8*COS(B415) + $B$7*COS($F$6*B415))</x:f>
      </x:c>
      <x:c r="D415" s="14">
        <x:f>IF(B415="","",$F$8*SIN(B415) - $B$7*SIN($F$6*B415))</x:f>
      </x:c>
      <x:c r="E415" s="14">
        <x:f>IF(B415="","", C415 + $F$12*$F$9*(-H415)/IF(SQRT(G415^2+H415^2)=0,1,SQRT(G415^2+H415^2)))</x:f>
      </x:c>
      <x:c r="F415" s="14">
        <x:f>IF(B415="","", D415 + $F$12*$F$9*(G415)/IF(SQRT(G415^2+H415^2)=0,1,SQRT(G415^2+H415^2)))</x:f>
      </x:c>
      <x:c r="G415" s="14">
        <x:f>IF(B415="","", -$F$8*SIN(B415) - $B$7*$F$6*SIN($F$6*B415))</x:f>
      </x:c>
      <x:c r="H415" s="14">
        <x:f>IF(B415="","", $F$8*COS(B415) - $B$7*$F$6*COS($F$6*B415))</x:f>
      </x:c>
    </x:row>
    <x:row r="416">
      <x:c r="A416" s="13" t="n">
        <x:v>397</x:v>
      </x:c>
      <x:c r="B416" s="14">
        <x:f>IF($B$12&lt;397,"",$B$13+(397-1)*($B$14-$B$13)/($B$12-1))</x:f>
      </x:c>
      <x:c r="C416" s="14">
        <x:f>IF(B416="","",$F$8*COS(B416) + $B$7*COS($F$6*B416))</x:f>
      </x:c>
      <x:c r="D416" s="14">
        <x:f>IF(B416="","",$F$8*SIN(B416) - $B$7*SIN($F$6*B416))</x:f>
      </x:c>
      <x:c r="E416" s="14">
        <x:f>IF(B416="","", C416 + $F$12*$F$9*(-H416)/IF(SQRT(G416^2+H416^2)=0,1,SQRT(G416^2+H416^2)))</x:f>
      </x:c>
      <x:c r="F416" s="14">
        <x:f>IF(B416="","", D416 + $F$12*$F$9*(G416)/IF(SQRT(G416^2+H416^2)=0,1,SQRT(G416^2+H416^2)))</x:f>
      </x:c>
      <x:c r="G416" s="14">
        <x:f>IF(B416="","", -$F$8*SIN(B416) - $B$7*$F$6*SIN($F$6*B416))</x:f>
      </x:c>
      <x:c r="H416" s="14">
        <x:f>IF(B416="","", $F$8*COS(B416) - $B$7*$F$6*COS($F$6*B416))</x:f>
      </x:c>
    </x:row>
    <x:row r="417">
      <x:c r="A417" s="13" t="n">
        <x:v>398</x:v>
      </x:c>
      <x:c r="B417" s="14">
        <x:f>IF($B$12&lt;398,"",$B$13+(398-1)*($B$14-$B$13)/($B$12-1))</x:f>
      </x:c>
      <x:c r="C417" s="14">
        <x:f>IF(B417="","",$F$8*COS(B417) + $B$7*COS($F$6*B417))</x:f>
      </x:c>
      <x:c r="D417" s="14">
        <x:f>IF(B417="","",$F$8*SIN(B417) - $B$7*SIN($F$6*B417))</x:f>
      </x:c>
      <x:c r="E417" s="14">
        <x:f>IF(B417="","", C417 + $F$12*$F$9*(-H417)/IF(SQRT(G417^2+H417^2)=0,1,SQRT(G417^2+H417^2)))</x:f>
      </x:c>
      <x:c r="F417" s="14">
        <x:f>IF(B417="","", D417 + $F$12*$F$9*(G417)/IF(SQRT(G417^2+H417^2)=0,1,SQRT(G417^2+H417^2)))</x:f>
      </x:c>
      <x:c r="G417" s="14">
        <x:f>IF(B417="","", -$F$8*SIN(B417) - $B$7*$F$6*SIN($F$6*B417))</x:f>
      </x:c>
      <x:c r="H417" s="14">
        <x:f>IF(B417="","", $F$8*COS(B417) - $B$7*$F$6*COS($F$6*B417))</x:f>
      </x:c>
    </x:row>
    <x:row r="418">
      <x:c r="A418" s="13" t="n">
        <x:v>399</x:v>
      </x:c>
      <x:c r="B418" s="14">
        <x:f>IF($B$12&lt;399,"",$B$13+(399-1)*($B$14-$B$13)/($B$12-1))</x:f>
      </x:c>
      <x:c r="C418" s="14">
        <x:f>IF(B418="","",$F$8*COS(B418) + $B$7*COS($F$6*B418))</x:f>
      </x:c>
      <x:c r="D418" s="14">
        <x:f>IF(B418="","",$F$8*SIN(B418) - $B$7*SIN($F$6*B418))</x:f>
      </x:c>
      <x:c r="E418" s="14">
        <x:f>IF(B418="","", C418 + $F$12*$F$9*(-H418)/IF(SQRT(G418^2+H418^2)=0,1,SQRT(G418^2+H418^2)))</x:f>
      </x:c>
      <x:c r="F418" s="14">
        <x:f>IF(B418="","", D418 + $F$12*$F$9*(G418)/IF(SQRT(G418^2+H418^2)=0,1,SQRT(G418^2+H418^2)))</x:f>
      </x:c>
      <x:c r="G418" s="14">
        <x:f>IF(B418="","", -$F$8*SIN(B418) - $B$7*$F$6*SIN($F$6*B418))</x:f>
      </x:c>
      <x:c r="H418" s="14">
        <x:f>IF(B418="","", $F$8*COS(B418) - $B$7*$F$6*COS($F$6*B418))</x:f>
      </x:c>
    </x:row>
    <x:row r="419">
      <x:c r="A419" s="13" t="n">
        <x:v>400</x:v>
      </x:c>
      <x:c r="B419" s="14">
        <x:f>IF($B$12&lt;400,"",$B$13+(400-1)*($B$14-$B$13)/($B$12-1))</x:f>
      </x:c>
      <x:c r="C419" s="14">
        <x:f>IF(B419="","",$F$8*COS(B419) + $B$7*COS($F$6*B419))</x:f>
      </x:c>
      <x:c r="D419" s="14">
        <x:f>IF(B419="","",$F$8*SIN(B419) - $B$7*SIN($F$6*B419))</x:f>
      </x:c>
      <x:c r="E419" s="14">
        <x:f>IF(B419="","", C419 + $F$12*$F$9*(-H419)/IF(SQRT(G419^2+H419^2)=0,1,SQRT(G419^2+H419^2)))</x:f>
      </x:c>
      <x:c r="F419" s="14">
        <x:f>IF(B419="","", D419 + $F$12*$F$9*(G419)/IF(SQRT(G419^2+H419^2)=0,1,SQRT(G419^2+H419^2)))</x:f>
      </x:c>
      <x:c r="G419" s="14">
        <x:f>IF(B419="","", -$F$8*SIN(B419) - $B$7*$F$6*SIN($F$6*B419))</x:f>
      </x:c>
      <x:c r="H419" s="14">
        <x:f>IF(B419="","", $F$8*COS(B419) - $B$7*$F$6*COS($F$6*B419))</x:f>
      </x:c>
    </x:row>
    <x:row r="420">
      <x:c r="A420" s="13" t="n">
        <x:v>401</x:v>
      </x:c>
      <x:c r="B420" s="14">
        <x:f>IF($B$12&lt;401,"",$B$13+(401-1)*($B$14-$B$13)/($B$12-1))</x:f>
      </x:c>
      <x:c r="C420" s="14">
        <x:f>IF(B420="","",$F$8*COS(B420) + $B$7*COS($F$6*B420))</x:f>
      </x:c>
      <x:c r="D420" s="14">
        <x:f>IF(B420="","",$F$8*SIN(B420) - $B$7*SIN($F$6*B420))</x:f>
      </x:c>
      <x:c r="E420" s="14">
        <x:f>IF(B420="","", C420 + $F$12*$F$9*(-H420)/IF(SQRT(G420^2+H420^2)=0,1,SQRT(G420^2+H420^2)))</x:f>
      </x:c>
      <x:c r="F420" s="14">
        <x:f>IF(B420="","", D420 + $F$12*$F$9*(G420)/IF(SQRT(G420^2+H420^2)=0,1,SQRT(G420^2+H420^2)))</x:f>
      </x:c>
      <x:c r="G420" s="14">
        <x:f>IF(B420="","", -$F$8*SIN(B420) - $B$7*$F$6*SIN($F$6*B420))</x:f>
      </x:c>
      <x:c r="H420" s="14">
        <x:f>IF(B420="","", $F$8*COS(B420) - $B$7*$F$6*COS($F$6*B420))</x:f>
      </x:c>
    </x:row>
    <x:row r="421">
      <x:c r="A421" s="13" t="n">
        <x:v>402</x:v>
      </x:c>
      <x:c r="B421" s="14">
        <x:f>IF($B$12&lt;402,"",$B$13+(402-1)*($B$14-$B$13)/($B$12-1))</x:f>
      </x:c>
      <x:c r="C421" s="14">
        <x:f>IF(B421="","",$F$8*COS(B421) + $B$7*COS($F$6*B421))</x:f>
      </x:c>
      <x:c r="D421" s="14">
        <x:f>IF(B421="","",$F$8*SIN(B421) - $B$7*SIN($F$6*B421))</x:f>
      </x:c>
      <x:c r="E421" s="14">
        <x:f>IF(B421="","", C421 + $F$12*$F$9*(-H421)/IF(SQRT(G421^2+H421^2)=0,1,SQRT(G421^2+H421^2)))</x:f>
      </x:c>
      <x:c r="F421" s="14">
        <x:f>IF(B421="","", D421 + $F$12*$F$9*(G421)/IF(SQRT(G421^2+H421^2)=0,1,SQRT(G421^2+H421^2)))</x:f>
      </x:c>
      <x:c r="G421" s="14">
        <x:f>IF(B421="","", -$F$8*SIN(B421) - $B$7*$F$6*SIN($F$6*B421))</x:f>
      </x:c>
      <x:c r="H421" s="14">
        <x:f>IF(B421="","", $F$8*COS(B421) - $B$7*$F$6*COS($F$6*B421))</x:f>
      </x:c>
    </x:row>
    <x:row r="422">
      <x:c r="A422" s="13" t="n">
        <x:v>403</x:v>
      </x:c>
      <x:c r="B422" s="14">
        <x:f>IF($B$12&lt;403,"",$B$13+(403-1)*($B$14-$B$13)/($B$12-1))</x:f>
      </x:c>
      <x:c r="C422" s="14">
        <x:f>IF(B422="","",$F$8*COS(B422) + $B$7*COS($F$6*B422))</x:f>
      </x:c>
      <x:c r="D422" s="14">
        <x:f>IF(B422="","",$F$8*SIN(B422) - $B$7*SIN($F$6*B422))</x:f>
      </x:c>
      <x:c r="E422" s="14">
        <x:f>IF(B422="","", C422 + $F$12*$F$9*(-H422)/IF(SQRT(G422^2+H422^2)=0,1,SQRT(G422^2+H422^2)))</x:f>
      </x:c>
      <x:c r="F422" s="14">
        <x:f>IF(B422="","", D422 + $F$12*$F$9*(G422)/IF(SQRT(G422^2+H422^2)=0,1,SQRT(G422^2+H422^2)))</x:f>
      </x:c>
      <x:c r="G422" s="14">
        <x:f>IF(B422="","", -$F$8*SIN(B422) - $B$7*$F$6*SIN($F$6*B422))</x:f>
      </x:c>
      <x:c r="H422" s="14">
        <x:f>IF(B422="","", $F$8*COS(B422) - $B$7*$F$6*COS($F$6*B422))</x:f>
      </x:c>
    </x:row>
    <x:row r="423">
      <x:c r="A423" s="13" t="n">
        <x:v>404</x:v>
      </x:c>
      <x:c r="B423" s="14">
        <x:f>IF($B$12&lt;404,"",$B$13+(404-1)*($B$14-$B$13)/($B$12-1))</x:f>
      </x:c>
      <x:c r="C423" s="14">
        <x:f>IF(B423="","",$F$8*COS(B423) + $B$7*COS($F$6*B423))</x:f>
      </x:c>
      <x:c r="D423" s="14">
        <x:f>IF(B423="","",$F$8*SIN(B423) - $B$7*SIN($F$6*B423))</x:f>
      </x:c>
      <x:c r="E423" s="14">
        <x:f>IF(B423="","", C423 + $F$12*$F$9*(-H423)/IF(SQRT(G423^2+H423^2)=0,1,SQRT(G423^2+H423^2)))</x:f>
      </x:c>
      <x:c r="F423" s="14">
        <x:f>IF(B423="","", D423 + $F$12*$F$9*(G423)/IF(SQRT(G423^2+H423^2)=0,1,SQRT(G423^2+H423^2)))</x:f>
      </x:c>
      <x:c r="G423" s="14">
        <x:f>IF(B423="","", -$F$8*SIN(B423) - $B$7*$F$6*SIN($F$6*B423))</x:f>
      </x:c>
      <x:c r="H423" s="14">
        <x:f>IF(B423="","", $F$8*COS(B423) - $B$7*$F$6*COS($F$6*B423))</x:f>
      </x:c>
    </x:row>
    <x:row r="424">
      <x:c r="A424" s="13" t="n">
        <x:v>405</x:v>
      </x:c>
      <x:c r="B424" s="14">
        <x:f>IF($B$12&lt;405,"",$B$13+(405-1)*($B$14-$B$13)/($B$12-1))</x:f>
      </x:c>
      <x:c r="C424" s="14">
        <x:f>IF(B424="","",$F$8*COS(B424) + $B$7*COS($F$6*B424))</x:f>
      </x:c>
      <x:c r="D424" s="14">
        <x:f>IF(B424="","",$F$8*SIN(B424) - $B$7*SIN($F$6*B424))</x:f>
      </x:c>
      <x:c r="E424" s="14">
        <x:f>IF(B424="","", C424 + $F$12*$F$9*(-H424)/IF(SQRT(G424^2+H424^2)=0,1,SQRT(G424^2+H424^2)))</x:f>
      </x:c>
      <x:c r="F424" s="14">
        <x:f>IF(B424="","", D424 + $F$12*$F$9*(G424)/IF(SQRT(G424^2+H424^2)=0,1,SQRT(G424^2+H424^2)))</x:f>
      </x:c>
      <x:c r="G424" s="14">
        <x:f>IF(B424="","", -$F$8*SIN(B424) - $B$7*$F$6*SIN($F$6*B424))</x:f>
      </x:c>
      <x:c r="H424" s="14">
        <x:f>IF(B424="","", $F$8*COS(B424) - $B$7*$F$6*COS($F$6*B424))</x:f>
      </x:c>
    </x:row>
    <x:row r="425">
      <x:c r="A425" s="13" t="n">
        <x:v>406</x:v>
      </x:c>
      <x:c r="B425" s="14">
        <x:f>IF($B$12&lt;406,"",$B$13+(406-1)*($B$14-$B$13)/($B$12-1))</x:f>
      </x:c>
      <x:c r="C425" s="14">
        <x:f>IF(B425="","",$F$8*COS(B425) + $B$7*COS($F$6*B425))</x:f>
      </x:c>
      <x:c r="D425" s="14">
        <x:f>IF(B425="","",$F$8*SIN(B425) - $B$7*SIN($F$6*B425))</x:f>
      </x:c>
      <x:c r="E425" s="14">
        <x:f>IF(B425="","", C425 + $F$12*$F$9*(-H425)/IF(SQRT(G425^2+H425^2)=0,1,SQRT(G425^2+H425^2)))</x:f>
      </x:c>
      <x:c r="F425" s="14">
        <x:f>IF(B425="","", D425 + $F$12*$F$9*(G425)/IF(SQRT(G425^2+H425^2)=0,1,SQRT(G425^2+H425^2)))</x:f>
      </x:c>
      <x:c r="G425" s="14">
        <x:f>IF(B425="","", -$F$8*SIN(B425) - $B$7*$F$6*SIN($F$6*B425))</x:f>
      </x:c>
      <x:c r="H425" s="14">
        <x:f>IF(B425="","", $F$8*COS(B425) - $B$7*$F$6*COS($F$6*B425))</x:f>
      </x:c>
    </x:row>
    <x:row r="426">
      <x:c r="A426" s="13" t="n">
        <x:v>407</x:v>
      </x:c>
      <x:c r="B426" s="14">
        <x:f>IF($B$12&lt;407,"",$B$13+(407-1)*($B$14-$B$13)/($B$12-1))</x:f>
      </x:c>
      <x:c r="C426" s="14">
        <x:f>IF(B426="","",$F$8*COS(B426) + $B$7*COS($F$6*B426))</x:f>
      </x:c>
      <x:c r="D426" s="14">
        <x:f>IF(B426="","",$F$8*SIN(B426) - $B$7*SIN($F$6*B426))</x:f>
      </x:c>
      <x:c r="E426" s="14">
        <x:f>IF(B426="","", C426 + $F$12*$F$9*(-H426)/IF(SQRT(G426^2+H426^2)=0,1,SQRT(G426^2+H426^2)))</x:f>
      </x:c>
      <x:c r="F426" s="14">
        <x:f>IF(B426="","", D426 + $F$12*$F$9*(G426)/IF(SQRT(G426^2+H426^2)=0,1,SQRT(G426^2+H426^2)))</x:f>
      </x:c>
      <x:c r="G426" s="14">
        <x:f>IF(B426="","", -$F$8*SIN(B426) - $B$7*$F$6*SIN($F$6*B426))</x:f>
      </x:c>
      <x:c r="H426" s="14">
        <x:f>IF(B426="","", $F$8*COS(B426) - $B$7*$F$6*COS($F$6*B426))</x:f>
      </x:c>
    </x:row>
    <x:row r="427">
      <x:c r="A427" s="13" t="n">
        <x:v>408</x:v>
      </x:c>
      <x:c r="B427" s="14">
        <x:f>IF($B$12&lt;408,"",$B$13+(408-1)*($B$14-$B$13)/($B$12-1))</x:f>
      </x:c>
      <x:c r="C427" s="14">
        <x:f>IF(B427="","",$F$8*COS(B427) + $B$7*COS($F$6*B427))</x:f>
      </x:c>
      <x:c r="D427" s="14">
        <x:f>IF(B427="","",$F$8*SIN(B427) - $B$7*SIN($F$6*B427))</x:f>
      </x:c>
      <x:c r="E427" s="14">
        <x:f>IF(B427="","", C427 + $F$12*$F$9*(-H427)/IF(SQRT(G427^2+H427^2)=0,1,SQRT(G427^2+H427^2)))</x:f>
      </x:c>
      <x:c r="F427" s="14">
        <x:f>IF(B427="","", D427 + $F$12*$F$9*(G427)/IF(SQRT(G427^2+H427^2)=0,1,SQRT(G427^2+H427^2)))</x:f>
      </x:c>
      <x:c r="G427" s="14">
        <x:f>IF(B427="","", -$F$8*SIN(B427) - $B$7*$F$6*SIN($F$6*B427))</x:f>
      </x:c>
      <x:c r="H427" s="14">
        <x:f>IF(B427="","", $F$8*COS(B427) - $B$7*$F$6*COS($F$6*B427))</x:f>
      </x:c>
    </x:row>
    <x:row r="428">
      <x:c r="A428" s="13" t="n">
        <x:v>409</x:v>
      </x:c>
      <x:c r="B428" s="14">
        <x:f>IF($B$12&lt;409,"",$B$13+(409-1)*($B$14-$B$13)/($B$12-1))</x:f>
      </x:c>
      <x:c r="C428" s="14">
        <x:f>IF(B428="","",$F$8*COS(B428) + $B$7*COS($F$6*B428))</x:f>
      </x:c>
      <x:c r="D428" s="14">
        <x:f>IF(B428="","",$F$8*SIN(B428) - $B$7*SIN($F$6*B428))</x:f>
      </x:c>
      <x:c r="E428" s="14">
        <x:f>IF(B428="","", C428 + $F$12*$F$9*(-H428)/IF(SQRT(G428^2+H428^2)=0,1,SQRT(G428^2+H428^2)))</x:f>
      </x:c>
      <x:c r="F428" s="14">
        <x:f>IF(B428="","", D428 + $F$12*$F$9*(G428)/IF(SQRT(G428^2+H428^2)=0,1,SQRT(G428^2+H428^2)))</x:f>
      </x:c>
      <x:c r="G428" s="14">
        <x:f>IF(B428="","", -$F$8*SIN(B428) - $B$7*$F$6*SIN($F$6*B428))</x:f>
      </x:c>
      <x:c r="H428" s="14">
        <x:f>IF(B428="","", $F$8*COS(B428) - $B$7*$F$6*COS($F$6*B428))</x:f>
      </x:c>
    </x:row>
    <x:row r="429">
      <x:c r="A429" s="13" t="n">
        <x:v>410</x:v>
      </x:c>
      <x:c r="B429" s="14">
        <x:f>IF($B$12&lt;410,"",$B$13+(410-1)*($B$14-$B$13)/($B$12-1))</x:f>
      </x:c>
      <x:c r="C429" s="14">
        <x:f>IF(B429="","",$F$8*COS(B429) + $B$7*COS($F$6*B429))</x:f>
      </x:c>
      <x:c r="D429" s="14">
        <x:f>IF(B429="","",$F$8*SIN(B429) - $B$7*SIN($F$6*B429))</x:f>
      </x:c>
      <x:c r="E429" s="14">
        <x:f>IF(B429="","", C429 + $F$12*$F$9*(-H429)/IF(SQRT(G429^2+H429^2)=0,1,SQRT(G429^2+H429^2)))</x:f>
      </x:c>
      <x:c r="F429" s="14">
        <x:f>IF(B429="","", D429 + $F$12*$F$9*(G429)/IF(SQRT(G429^2+H429^2)=0,1,SQRT(G429^2+H429^2)))</x:f>
      </x:c>
      <x:c r="G429" s="14">
        <x:f>IF(B429="","", -$F$8*SIN(B429) - $B$7*$F$6*SIN($F$6*B429))</x:f>
      </x:c>
      <x:c r="H429" s="14">
        <x:f>IF(B429="","", $F$8*COS(B429) - $B$7*$F$6*COS($F$6*B429))</x:f>
      </x:c>
    </x:row>
    <x:row r="430">
      <x:c r="A430" s="13" t="n">
        <x:v>411</x:v>
      </x:c>
      <x:c r="B430" s="14">
        <x:f>IF($B$12&lt;411,"",$B$13+(411-1)*($B$14-$B$13)/($B$12-1))</x:f>
      </x:c>
      <x:c r="C430" s="14">
        <x:f>IF(B430="","",$F$8*COS(B430) + $B$7*COS($F$6*B430))</x:f>
      </x:c>
      <x:c r="D430" s="14">
        <x:f>IF(B430="","",$F$8*SIN(B430) - $B$7*SIN($F$6*B430))</x:f>
      </x:c>
      <x:c r="E430" s="14">
        <x:f>IF(B430="","", C430 + $F$12*$F$9*(-H430)/IF(SQRT(G430^2+H430^2)=0,1,SQRT(G430^2+H430^2)))</x:f>
      </x:c>
      <x:c r="F430" s="14">
        <x:f>IF(B430="","", D430 + $F$12*$F$9*(G430)/IF(SQRT(G430^2+H430^2)=0,1,SQRT(G430^2+H430^2)))</x:f>
      </x:c>
      <x:c r="G430" s="14">
        <x:f>IF(B430="","", -$F$8*SIN(B430) - $B$7*$F$6*SIN($F$6*B430))</x:f>
      </x:c>
      <x:c r="H430" s="14">
        <x:f>IF(B430="","", $F$8*COS(B430) - $B$7*$F$6*COS($F$6*B430))</x:f>
      </x:c>
    </x:row>
    <x:row r="431">
      <x:c r="A431" s="13" t="n">
        <x:v>412</x:v>
      </x:c>
      <x:c r="B431" s="14">
        <x:f>IF($B$12&lt;412,"",$B$13+(412-1)*($B$14-$B$13)/($B$12-1))</x:f>
      </x:c>
      <x:c r="C431" s="14">
        <x:f>IF(B431="","",$F$8*COS(B431) + $B$7*COS($F$6*B431))</x:f>
      </x:c>
      <x:c r="D431" s="14">
        <x:f>IF(B431="","",$F$8*SIN(B431) - $B$7*SIN($F$6*B431))</x:f>
      </x:c>
      <x:c r="E431" s="14">
        <x:f>IF(B431="","", C431 + $F$12*$F$9*(-H431)/IF(SQRT(G431^2+H431^2)=0,1,SQRT(G431^2+H431^2)))</x:f>
      </x:c>
      <x:c r="F431" s="14">
        <x:f>IF(B431="","", D431 + $F$12*$F$9*(G431)/IF(SQRT(G431^2+H431^2)=0,1,SQRT(G431^2+H431^2)))</x:f>
      </x:c>
      <x:c r="G431" s="14">
        <x:f>IF(B431="","", -$F$8*SIN(B431) - $B$7*$F$6*SIN($F$6*B431))</x:f>
      </x:c>
      <x:c r="H431" s="14">
        <x:f>IF(B431="","", $F$8*COS(B431) - $B$7*$F$6*COS($F$6*B431))</x:f>
      </x:c>
    </x:row>
    <x:row r="432">
      <x:c r="A432" s="13" t="n">
        <x:v>413</x:v>
      </x:c>
      <x:c r="B432" s="14">
        <x:f>IF($B$12&lt;413,"",$B$13+(413-1)*($B$14-$B$13)/($B$12-1))</x:f>
      </x:c>
      <x:c r="C432" s="14">
        <x:f>IF(B432="","",$F$8*COS(B432) + $B$7*COS($F$6*B432))</x:f>
      </x:c>
      <x:c r="D432" s="14">
        <x:f>IF(B432="","",$F$8*SIN(B432) - $B$7*SIN($F$6*B432))</x:f>
      </x:c>
      <x:c r="E432" s="14">
        <x:f>IF(B432="","", C432 + $F$12*$F$9*(-H432)/IF(SQRT(G432^2+H432^2)=0,1,SQRT(G432^2+H432^2)))</x:f>
      </x:c>
      <x:c r="F432" s="14">
        <x:f>IF(B432="","", D432 + $F$12*$F$9*(G432)/IF(SQRT(G432^2+H432^2)=0,1,SQRT(G432^2+H432^2)))</x:f>
      </x:c>
      <x:c r="G432" s="14">
        <x:f>IF(B432="","", -$F$8*SIN(B432) - $B$7*$F$6*SIN($F$6*B432))</x:f>
      </x:c>
      <x:c r="H432" s="14">
        <x:f>IF(B432="","", $F$8*COS(B432) - $B$7*$F$6*COS($F$6*B432))</x:f>
      </x:c>
    </x:row>
    <x:row r="433">
      <x:c r="A433" s="13" t="n">
        <x:v>414</x:v>
      </x:c>
      <x:c r="B433" s="14">
        <x:f>IF($B$12&lt;414,"",$B$13+(414-1)*($B$14-$B$13)/($B$12-1))</x:f>
      </x:c>
      <x:c r="C433" s="14">
        <x:f>IF(B433="","",$F$8*COS(B433) + $B$7*COS($F$6*B433))</x:f>
      </x:c>
      <x:c r="D433" s="14">
        <x:f>IF(B433="","",$F$8*SIN(B433) - $B$7*SIN($F$6*B433))</x:f>
      </x:c>
      <x:c r="E433" s="14">
        <x:f>IF(B433="","", C433 + $F$12*$F$9*(-H433)/IF(SQRT(G433^2+H433^2)=0,1,SQRT(G433^2+H433^2)))</x:f>
      </x:c>
      <x:c r="F433" s="14">
        <x:f>IF(B433="","", D433 + $F$12*$F$9*(G433)/IF(SQRT(G433^2+H433^2)=0,1,SQRT(G433^2+H433^2)))</x:f>
      </x:c>
      <x:c r="G433" s="14">
        <x:f>IF(B433="","", -$F$8*SIN(B433) - $B$7*$F$6*SIN($F$6*B433))</x:f>
      </x:c>
      <x:c r="H433" s="14">
        <x:f>IF(B433="","", $F$8*COS(B433) - $B$7*$F$6*COS($F$6*B433))</x:f>
      </x:c>
    </x:row>
    <x:row r="434">
      <x:c r="A434" s="13" t="n">
        <x:v>415</x:v>
      </x:c>
      <x:c r="B434" s="14">
        <x:f>IF($B$12&lt;415,"",$B$13+(415-1)*($B$14-$B$13)/($B$12-1))</x:f>
      </x:c>
      <x:c r="C434" s="14">
        <x:f>IF(B434="","",$F$8*COS(B434) + $B$7*COS($F$6*B434))</x:f>
      </x:c>
      <x:c r="D434" s="14">
        <x:f>IF(B434="","",$F$8*SIN(B434) - $B$7*SIN($F$6*B434))</x:f>
      </x:c>
      <x:c r="E434" s="14">
        <x:f>IF(B434="","", C434 + $F$12*$F$9*(-H434)/IF(SQRT(G434^2+H434^2)=0,1,SQRT(G434^2+H434^2)))</x:f>
      </x:c>
      <x:c r="F434" s="14">
        <x:f>IF(B434="","", D434 + $F$12*$F$9*(G434)/IF(SQRT(G434^2+H434^2)=0,1,SQRT(G434^2+H434^2)))</x:f>
      </x:c>
      <x:c r="G434" s="14">
        <x:f>IF(B434="","", -$F$8*SIN(B434) - $B$7*$F$6*SIN($F$6*B434))</x:f>
      </x:c>
      <x:c r="H434" s="14">
        <x:f>IF(B434="","", $F$8*COS(B434) - $B$7*$F$6*COS($F$6*B434))</x:f>
      </x:c>
    </x:row>
    <x:row r="435">
      <x:c r="A435" s="13" t="n">
        <x:v>416</x:v>
      </x:c>
      <x:c r="B435" s="14">
        <x:f>IF($B$12&lt;416,"",$B$13+(416-1)*($B$14-$B$13)/($B$12-1))</x:f>
      </x:c>
      <x:c r="C435" s="14">
        <x:f>IF(B435="","",$F$8*COS(B435) + $B$7*COS($F$6*B435))</x:f>
      </x:c>
      <x:c r="D435" s="14">
        <x:f>IF(B435="","",$F$8*SIN(B435) - $B$7*SIN($F$6*B435))</x:f>
      </x:c>
      <x:c r="E435" s="14">
        <x:f>IF(B435="","", C435 + $F$12*$F$9*(-H435)/IF(SQRT(G435^2+H435^2)=0,1,SQRT(G435^2+H435^2)))</x:f>
      </x:c>
      <x:c r="F435" s="14">
        <x:f>IF(B435="","", D435 + $F$12*$F$9*(G435)/IF(SQRT(G435^2+H435^2)=0,1,SQRT(G435^2+H435^2)))</x:f>
      </x:c>
      <x:c r="G435" s="14">
        <x:f>IF(B435="","", -$F$8*SIN(B435) - $B$7*$F$6*SIN($F$6*B435))</x:f>
      </x:c>
      <x:c r="H435" s="14">
        <x:f>IF(B435="","", $F$8*COS(B435) - $B$7*$F$6*COS($F$6*B435))</x:f>
      </x:c>
    </x:row>
    <x:row r="436">
      <x:c r="A436" s="13" t="n">
        <x:v>417</x:v>
      </x:c>
      <x:c r="B436" s="14">
        <x:f>IF($B$12&lt;417,"",$B$13+(417-1)*($B$14-$B$13)/($B$12-1))</x:f>
      </x:c>
      <x:c r="C436" s="14">
        <x:f>IF(B436="","",$F$8*COS(B436) + $B$7*COS($F$6*B436))</x:f>
      </x:c>
      <x:c r="D436" s="14">
        <x:f>IF(B436="","",$F$8*SIN(B436) - $B$7*SIN($F$6*B436))</x:f>
      </x:c>
      <x:c r="E436" s="14">
        <x:f>IF(B436="","", C436 + $F$12*$F$9*(-H436)/IF(SQRT(G436^2+H436^2)=0,1,SQRT(G436^2+H436^2)))</x:f>
      </x:c>
      <x:c r="F436" s="14">
        <x:f>IF(B436="","", D436 + $F$12*$F$9*(G436)/IF(SQRT(G436^2+H436^2)=0,1,SQRT(G436^2+H436^2)))</x:f>
      </x:c>
      <x:c r="G436" s="14">
        <x:f>IF(B436="","", -$F$8*SIN(B436) - $B$7*$F$6*SIN($F$6*B436))</x:f>
      </x:c>
      <x:c r="H436" s="14">
        <x:f>IF(B436="","", $F$8*COS(B436) - $B$7*$F$6*COS($F$6*B436))</x:f>
      </x:c>
    </x:row>
    <x:row r="437">
      <x:c r="A437" s="13" t="n">
        <x:v>418</x:v>
      </x:c>
      <x:c r="B437" s="14">
        <x:f>IF($B$12&lt;418,"",$B$13+(418-1)*($B$14-$B$13)/($B$12-1))</x:f>
      </x:c>
      <x:c r="C437" s="14">
        <x:f>IF(B437="","",$F$8*COS(B437) + $B$7*COS($F$6*B437))</x:f>
      </x:c>
      <x:c r="D437" s="14">
        <x:f>IF(B437="","",$F$8*SIN(B437) - $B$7*SIN($F$6*B437))</x:f>
      </x:c>
      <x:c r="E437" s="14">
        <x:f>IF(B437="","", C437 + $F$12*$F$9*(-H437)/IF(SQRT(G437^2+H437^2)=0,1,SQRT(G437^2+H437^2)))</x:f>
      </x:c>
      <x:c r="F437" s="14">
        <x:f>IF(B437="","", D437 + $F$12*$F$9*(G437)/IF(SQRT(G437^2+H437^2)=0,1,SQRT(G437^2+H437^2)))</x:f>
      </x:c>
      <x:c r="G437" s="14">
        <x:f>IF(B437="","", -$F$8*SIN(B437) - $B$7*$F$6*SIN($F$6*B437))</x:f>
      </x:c>
      <x:c r="H437" s="14">
        <x:f>IF(B437="","", $F$8*COS(B437) - $B$7*$F$6*COS($F$6*B437))</x:f>
      </x:c>
    </x:row>
    <x:row r="438">
      <x:c r="A438" s="13" t="n">
        <x:v>419</x:v>
      </x:c>
      <x:c r="B438" s="14">
        <x:f>IF($B$12&lt;419,"",$B$13+(419-1)*($B$14-$B$13)/($B$12-1))</x:f>
      </x:c>
      <x:c r="C438" s="14">
        <x:f>IF(B438="","",$F$8*COS(B438) + $B$7*COS($F$6*B438))</x:f>
      </x:c>
      <x:c r="D438" s="14">
        <x:f>IF(B438="","",$F$8*SIN(B438) - $B$7*SIN($F$6*B438))</x:f>
      </x:c>
      <x:c r="E438" s="14">
        <x:f>IF(B438="","", C438 + $F$12*$F$9*(-H438)/IF(SQRT(G438^2+H438^2)=0,1,SQRT(G438^2+H438^2)))</x:f>
      </x:c>
      <x:c r="F438" s="14">
        <x:f>IF(B438="","", D438 + $F$12*$F$9*(G438)/IF(SQRT(G438^2+H438^2)=0,1,SQRT(G438^2+H438^2)))</x:f>
      </x:c>
      <x:c r="G438" s="14">
        <x:f>IF(B438="","", -$F$8*SIN(B438) - $B$7*$F$6*SIN($F$6*B438))</x:f>
      </x:c>
      <x:c r="H438" s="14">
        <x:f>IF(B438="","", $F$8*COS(B438) - $B$7*$F$6*COS($F$6*B438))</x:f>
      </x:c>
    </x:row>
    <x:row r="439">
      <x:c r="A439" s="13" t="n">
        <x:v>420</x:v>
      </x:c>
      <x:c r="B439" s="14">
        <x:f>IF($B$12&lt;420,"",$B$13+(420-1)*($B$14-$B$13)/($B$12-1))</x:f>
      </x:c>
      <x:c r="C439" s="14">
        <x:f>IF(B439="","",$F$8*COS(B439) + $B$7*COS($F$6*B439))</x:f>
      </x:c>
      <x:c r="D439" s="14">
        <x:f>IF(B439="","",$F$8*SIN(B439) - $B$7*SIN($F$6*B439))</x:f>
      </x:c>
      <x:c r="E439" s="14">
        <x:f>IF(B439="","", C439 + $F$12*$F$9*(-H439)/IF(SQRT(G439^2+H439^2)=0,1,SQRT(G439^2+H439^2)))</x:f>
      </x:c>
      <x:c r="F439" s="14">
        <x:f>IF(B439="","", D439 + $F$12*$F$9*(G439)/IF(SQRT(G439^2+H439^2)=0,1,SQRT(G439^2+H439^2)))</x:f>
      </x:c>
      <x:c r="G439" s="14">
        <x:f>IF(B439="","", -$F$8*SIN(B439) - $B$7*$F$6*SIN($F$6*B439))</x:f>
      </x:c>
      <x:c r="H439" s="14">
        <x:f>IF(B439="","", $F$8*COS(B439) - $B$7*$F$6*COS($F$6*B439))</x:f>
      </x:c>
    </x:row>
    <x:row r="440">
      <x:c r="A440" s="13" t="n">
        <x:v>421</x:v>
      </x:c>
      <x:c r="B440" s="14">
        <x:f>IF($B$12&lt;421,"",$B$13+(421-1)*($B$14-$B$13)/($B$12-1))</x:f>
      </x:c>
      <x:c r="C440" s="14">
        <x:f>IF(B440="","",$F$8*COS(B440) + $B$7*COS($F$6*B440))</x:f>
      </x:c>
      <x:c r="D440" s="14">
        <x:f>IF(B440="","",$F$8*SIN(B440) - $B$7*SIN($F$6*B440))</x:f>
      </x:c>
      <x:c r="E440" s="14">
        <x:f>IF(B440="","", C440 + $F$12*$F$9*(-H440)/IF(SQRT(G440^2+H440^2)=0,1,SQRT(G440^2+H440^2)))</x:f>
      </x:c>
      <x:c r="F440" s="14">
        <x:f>IF(B440="","", D440 + $F$12*$F$9*(G440)/IF(SQRT(G440^2+H440^2)=0,1,SQRT(G440^2+H440^2)))</x:f>
      </x:c>
      <x:c r="G440" s="14">
        <x:f>IF(B440="","", -$F$8*SIN(B440) - $B$7*$F$6*SIN($F$6*B440))</x:f>
      </x:c>
      <x:c r="H440" s="14">
        <x:f>IF(B440="","", $F$8*COS(B440) - $B$7*$F$6*COS($F$6*B440))</x:f>
      </x:c>
    </x:row>
    <x:row r="441">
      <x:c r="A441" s="13" t="n">
        <x:v>422</x:v>
      </x:c>
      <x:c r="B441" s="14">
        <x:f>IF($B$12&lt;422,"",$B$13+(422-1)*($B$14-$B$13)/($B$12-1))</x:f>
      </x:c>
      <x:c r="C441" s="14">
        <x:f>IF(B441="","",$F$8*COS(B441) + $B$7*COS($F$6*B441))</x:f>
      </x:c>
      <x:c r="D441" s="14">
        <x:f>IF(B441="","",$F$8*SIN(B441) - $B$7*SIN($F$6*B441))</x:f>
      </x:c>
      <x:c r="E441" s="14">
        <x:f>IF(B441="","", C441 + $F$12*$F$9*(-H441)/IF(SQRT(G441^2+H441^2)=0,1,SQRT(G441^2+H441^2)))</x:f>
      </x:c>
      <x:c r="F441" s="14">
        <x:f>IF(B441="","", D441 + $F$12*$F$9*(G441)/IF(SQRT(G441^2+H441^2)=0,1,SQRT(G441^2+H441^2)))</x:f>
      </x:c>
      <x:c r="G441" s="14">
        <x:f>IF(B441="","", -$F$8*SIN(B441) - $B$7*$F$6*SIN($F$6*B441))</x:f>
      </x:c>
      <x:c r="H441" s="14">
        <x:f>IF(B441="","", $F$8*COS(B441) - $B$7*$F$6*COS($F$6*B441))</x:f>
      </x:c>
    </x:row>
    <x:row r="442">
      <x:c r="A442" s="13" t="n">
        <x:v>423</x:v>
      </x:c>
      <x:c r="B442" s="14">
        <x:f>IF($B$12&lt;423,"",$B$13+(423-1)*($B$14-$B$13)/($B$12-1))</x:f>
      </x:c>
      <x:c r="C442" s="14">
        <x:f>IF(B442="","",$F$8*COS(B442) + $B$7*COS($F$6*B442))</x:f>
      </x:c>
      <x:c r="D442" s="14">
        <x:f>IF(B442="","",$F$8*SIN(B442) - $B$7*SIN($F$6*B442))</x:f>
      </x:c>
      <x:c r="E442" s="14">
        <x:f>IF(B442="","", C442 + $F$12*$F$9*(-H442)/IF(SQRT(G442^2+H442^2)=0,1,SQRT(G442^2+H442^2)))</x:f>
      </x:c>
      <x:c r="F442" s="14">
        <x:f>IF(B442="","", D442 + $F$12*$F$9*(G442)/IF(SQRT(G442^2+H442^2)=0,1,SQRT(G442^2+H442^2)))</x:f>
      </x:c>
      <x:c r="G442" s="14">
        <x:f>IF(B442="","", -$F$8*SIN(B442) - $B$7*$F$6*SIN($F$6*B442))</x:f>
      </x:c>
      <x:c r="H442" s="14">
        <x:f>IF(B442="","", $F$8*COS(B442) - $B$7*$F$6*COS($F$6*B442))</x:f>
      </x:c>
    </x:row>
    <x:row r="443">
      <x:c r="A443" s="13" t="n">
        <x:v>424</x:v>
      </x:c>
      <x:c r="B443" s="14">
        <x:f>IF($B$12&lt;424,"",$B$13+(424-1)*($B$14-$B$13)/($B$12-1))</x:f>
      </x:c>
      <x:c r="C443" s="14">
        <x:f>IF(B443="","",$F$8*COS(B443) + $B$7*COS($F$6*B443))</x:f>
      </x:c>
      <x:c r="D443" s="14">
        <x:f>IF(B443="","",$F$8*SIN(B443) - $B$7*SIN($F$6*B443))</x:f>
      </x:c>
      <x:c r="E443" s="14">
        <x:f>IF(B443="","", C443 + $F$12*$F$9*(-H443)/IF(SQRT(G443^2+H443^2)=0,1,SQRT(G443^2+H443^2)))</x:f>
      </x:c>
      <x:c r="F443" s="14">
        <x:f>IF(B443="","", D443 + $F$12*$F$9*(G443)/IF(SQRT(G443^2+H443^2)=0,1,SQRT(G443^2+H443^2)))</x:f>
      </x:c>
      <x:c r="G443" s="14">
        <x:f>IF(B443="","", -$F$8*SIN(B443) - $B$7*$F$6*SIN($F$6*B443))</x:f>
      </x:c>
      <x:c r="H443" s="14">
        <x:f>IF(B443="","", $F$8*COS(B443) - $B$7*$F$6*COS($F$6*B443))</x:f>
      </x:c>
    </x:row>
    <x:row r="444">
      <x:c r="A444" s="13" t="n">
        <x:v>425</x:v>
      </x:c>
      <x:c r="B444" s="14">
        <x:f>IF($B$12&lt;425,"",$B$13+(425-1)*($B$14-$B$13)/($B$12-1))</x:f>
      </x:c>
      <x:c r="C444" s="14">
        <x:f>IF(B444="","",$F$8*COS(B444) + $B$7*COS($F$6*B444))</x:f>
      </x:c>
      <x:c r="D444" s="14">
        <x:f>IF(B444="","",$F$8*SIN(B444) - $B$7*SIN($F$6*B444))</x:f>
      </x:c>
      <x:c r="E444" s="14">
        <x:f>IF(B444="","", C444 + $F$12*$F$9*(-H444)/IF(SQRT(G444^2+H444^2)=0,1,SQRT(G444^2+H444^2)))</x:f>
      </x:c>
      <x:c r="F444" s="14">
        <x:f>IF(B444="","", D444 + $F$12*$F$9*(G444)/IF(SQRT(G444^2+H444^2)=0,1,SQRT(G444^2+H444^2)))</x:f>
      </x:c>
      <x:c r="G444" s="14">
        <x:f>IF(B444="","", -$F$8*SIN(B444) - $B$7*$F$6*SIN($F$6*B444))</x:f>
      </x:c>
      <x:c r="H444" s="14">
        <x:f>IF(B444="","", $F$8*COS(B444) - $B$7*$F$6*COS($F$6*B444))</x:f>
      </x:c>
    </x:row>
    <x:row r="445">
      <x:c r="A445" s="13" t="n">
        <x:v>426</x:v>
      </x:c>
      <x:c r="B445" s="14">
        <x:f>IF($B$12&lt;426,"",$B$13+(426-1)*($B$14-$B$13)/($B$12-1))</x:f>
      </x:c>
      <x:c r="C445" s="14">
        <x:f>IF(B445="","",$F$8*COS(B445) + $B$7*COS($F$6*B445))</x:f>
      </x:c>
      <x:c r="D445" s="14">
        <x:f>IF(B445="","",$F$8*SIN(B445) - $B$7*SIN($F$6*B445))</x:f>
      </x:c>
      <x:c r="E445" s="14">
        <x:f>IF(B445="","", C445 + $F$12*$F$9*(-H445)/IF(SQRT(G445^2+H445^2)=0,1,SQRT(G445^2+H445^2)))</x:f>
      </x:c>
      <x:c r="F445" s="14">
        <x:f>IF(B445="","", D445 + $F$12*$F$9*(G445)/IF(SQRT(G445^2+H445^2)=0,1,SQRT(G445^2+H445^2)))</x:f>
      </x:c>
      <x:c r="G445" s="14">
        <x:f>IF(B445="","", -$F$8*SIN(B445) - $B$7*$F$6*SIN($F$6*B445))</x:f>
      </x:c>
      <x:c r="H445" s="14">
        <x:f>IF(B445="","", $F$8*COS(B445) - $B$7*$F$6*COS($F$6*B445))</x:f>
      </x:c>
    </x:row>
    <x:row r="446">
      <x:c r="A446" s="13" t="n">
        <x:v>427</x:v>
      </x:c>
      <x:c r="B446" s="14">
        <x:f>IF($B$12&lt;427,"",$B$13+(427-1)*($B$14-$B$13)/($B$12-1))</x:f>
      </x:c>
      <x:c r="C446" s="14">
        <x:f>IF(B446="","",$F$8*COS(B446) + $B$7*COS($F$6*B446))</x:f>
      </x:c>
      <x:c r="D446" s="14">
        <x:f>IF(B446="","",$F$8*SIN(B446) - $B$7*SIN($F$6*B446))</x:f>
      </x:c>
      <x:c r="E446" s="14">
        <x:f>IF(B446="","", C446 + $F$12*$F$9*(-H446)/IF(SQRT(G446^2+H446^2)=0,1,SQRT(G446^2+H446^2)))</x:f>
      </x:c>
      <x:c r="F446" s="14">
        <x:f>IF(B446="","", D446 + $F$12*$F$9*(G446)/IF(SQRT(G446^2+H446^2)=0,1,SQRT(G446^2+H446^2)))</x:f>
      </x:c>
      <x:c r="G446" s="14">
        <x:f>IF(B446="","", -$F$8*SIN(B446) - $B$7*$F$6*SIN($F$6*B446))</x:f>
      </x:c>
      <x:c r="H446" s="14">
        <x:f>IF(B446="","", $F$8*COS(B446) - $B$7*$F$6*COS($F$6*B446))</x:f>
      </x:c>
    </x:row>
    <x:row r="447">
      <x:c r="A447" s="13" t="n">
        <x:v>428</x:v>
      </x:c>
      <x:c r="B447" s="14">
        <x:f>IF($B$12&lt;428,"",$B$13+(428-1)*($B$14-$B$13)/($B$12-1))</x:f>
      </x:c>
      <x:c r="C447" s="14">
        <x:f>IF(B447="","",$F$8*COS(B447) + $B$7*COS($F$6*B447))</x:f>
      </x:c>
      <x:c r="D447" s="14">
        <x:f>IF(B447="","",$F$8*SIN(B447) - $B$7*SIN($F$6*B447))</x:f>
      </x:c>
      <x:c r="E447" s="14">
        <x:f>IF(B447="","", C447 + $F$12*$F$9*(-H447)/IF(SQRT(G447^2+H447^2)=0,1,SQRT(G447^2+H447^2)))</x:f>
      </x:c>
      <x:c r="F447" s="14">
        <x:f>IF(B447="","", D447 + $F$12*$F$9*(G447)/IF(SQRT(G447^2+H447^2)=0,1,SQRT(G447^2+H447^2)))</x:f>
      </x:c>
      <x:c r="G447" s="14">
        <x:f>IF(B447="","", -$F$8*SIN(B447) - $B$7*$F$6*SIN($F$6*B447))</x:f>
      </x:c>
      <x:c r="H447" s="14">
        <x:f>IF(B447="","", $F$8*COS(B447) - $B$7*$F$6*COS($F$6*B447))</x:f>
      </x:c>
    </x:row>
    <x:row r="448">
      <x:c r="A448" s="13" t="n">
        <x:v>429</x:v>
      </x:c>
      <x:c r="B448" s="14">
        <x:f>IF($B$12&lt;429,"",$B$13+(429-1)*($B$14-$B$13)/($B$12-1))</x:f>
      </x:c>
      <x:c r="C448" s="14">
        <x:f>IF(B448="","",$F$8*COS(B448) + $B$7*COS($F$6*B448))</x:f>
      </x:c>
      <x:c r="D448" s="14">
        <x:f>IF(B448="","",$F$8*SIN(B448) - $B$7*SIN($F$6*B448))</x:f>
      </x:c>
      <x:c r="E448" s="14">
        <x:f>IF(B448="","", C448 + $F$12*$F$9*(-H448)/IF(SQRT(G448^2+H448^2)=0,1,SQRT(G448^2+H448^2)))</x:f>
      </x:c>
      <x:c r="F448" s="14">
        <x:f>IF(B448="","", D448 + $F$12*$F$9*(G448)/IF(SQRT(G448^2+H448^2)=0,1,SQRT(G448^2+H448^2)))</x:f>
      </x:c>
      <x:c r="G448" s="14">
        <x:f>IF(B448="","", -$F$8*SIN(B448) - $B$7*$F$6*SIN($F$6*B448))</x:f>
      </x:c>
      <x:c r="H448" s="14">
        <x:f>IF(B448="","", $F$8*COS(B448) - $B$7*$F$6*COS($F$6*B448))</x:f>
      </x:c>
    </x:row>
    <x:row r="449">
      <x:c r="A449" s="13" t="n">
        <x:v>430</x:v>
      </x:c>
      <x:c r="B449" s="14">
        <x:f>IF($B$12&lt;430,"",$B$13+(430-1)*($B$14-$B$13)/($B$12-1))</x:f>
      </x:c>
      <x:c r="C449" s="14">
        <x:f>IF(B449="","",$F$8*COS(B449) + $B$7*COS($F$6*B449))</x:f>
      </x:c>
      <x:c r="D449" s="14">
        <x:f>IF(B449="","",$F$8*SIN(B449) - $B$7*SIN($F$6*B449))</x:f>
      </x:c>
      <x:c r="E449" s="14">
        <x:f>IF(B449="","", C449 + $F$12*$F$9*(-H449)/IF(SQRT(G449^2+H449^2)=0,1,SQRT(G449^2+H449^2)))</x:f>
      </x:c>
      <x:c r="F449" s="14">
        <x:f>IF(B449="","", D449 + $F$12*$F$9*(G449)/IF(SQRT(G449^2+H449^2)=0,1,SQRT(G449^2+H449^2)))</x:f>
      </x:c>
      <x:c r="G449" s="14">
        <x:f>IF(B449="","", -$F$8*SIN(B449) - $B$7*$F$6*SIN($F$6*B449))</x:f>
      </x:c>
      <x:c r="H449" s="14">
        <x:f>IF(B449="","", $F$8*COS(B449) - $B$7*$F$6*COS($F$6*B449))</x:f>
      </x:c>
    </x:row>
    <x:row r="450">
      <x:c r="A450" s="13" t="n">
        <x:v>431</x:v>
      </x:c>
      <x:c r="B450" s="14">
        <x:f>IF($B$12&lt;431,"",$B$13+(431-1)*($B$14-$B$13)/($B$12-1))</x:f>
      </x:c>
      <x:c r="C450" s="14">
        <x:f>IF(B450="","",$F$8*COS(B450) + $B$7*COS($F$6*B450))</x:f>
      </x:c>
      <x:c r="D450" s="14">
        <x:f>IF(B450="","",$F$8*SIN(B450) - $B$7*SIN($F$6*B450))</x:f>
      </x:c>
      <x:c r="E450" s="14">
        <x:f>IF(B450="","", C450 + $F$12*$F$9*(-H450)/IF(SQRT(G450^2+H450^2)=0,1,SQRT(G450^2+H450^2)))</x:f>
      </x:c>
      <x:c r="F450" s="14">
        <x:f>IF(B450="","", D450 + $F$12*$F$9*(G450)/IF(SQRT(G450^2+H450^2)=0,1,SQRT(G450^2+H450^2)))</x:f>
      </x:c>
      <x:c r="G450" s="14">
        <x:f>IF(B450="","", -$F$8*SIN(B450) - $B$7*$F$6*SIN($F$6*B450))</x:f>
      </x:c>
      <x:c r="H450" s="14">
        <x:f>IF(B450="","", $F$8*COS(B450) - $B$7*$F$6*COS($F$6*B450))</x:f>
      </x:c>
    </x:row>
    <x:row r="451">
      <x:c r="A451" s="13" t="n">
        <x:v>432</x:v>
      </x:c>
      <x:c r="B451" s="14">
        <x:f>IF($B$12&lt;432,"",$B$13+(432-1)*($B$14-$B$13)/($B$12-1))</x:f>
      </x:c>
      <x:c r="C451" s="14">
        <x:f>IF(B451="","",$F$8*COS(B451) + $B$7*COS($F$6*B451))</x:f>
      </x:c>
      <x:c r="D451" s="14">
        <x:f>IF(B451="","",$F$8*SIN(B451) - $B$7*SIN($F$6*B451))</x:f>
      </x:c>
      <x:c r="E451" s="14">
        <x:f>IF(B451="","", C451 + $F$12*$F$9*(-H451)/IF(SQRT(G451^2+H451^2)=0,1,SQRT(G451^2+H451^2)))</x:f>
      </x:c>
      <x:c r="F451" s="14">
        <x:f>IF(B451="","", D451 + $F$12*$F$9*(G451)/IF(SQRT(G451^2+H451^2)=0,1,SQRT(G451^2+H451^2)))</x:f>
      </x:c>
      <x:c r="G451" s="14">
        <x:f>IF(B451="","", -$F$8*SIN(B451) - $B$7*$F$6*SIN($F$6*B451))</x:f>
      </x:c>
      <x:c r="H451" s="14">
        <x:f>IF(B451="","", $F$8*COS(B451) - $B$7*$F$6*COS($F$6*B451))</x:f>
      </x:c>
    </x:row>
    <x:row r="452">
      <x:c r="A452" s="13" t="n">
        <x:v>433</x:v>
      </x:c>
      <x:c r="B452" s="14">
        <x:f>IF($B$12&lt;433,"",$B$13+(433-1)*($B$14-$B$13)/($B$12-1))</x:f>
      </x:c>
      <x:c r="C452" s="14">
        <x:f>IF(B452="","",$F$8*COS(B452) + $B$7*COS($F$6*B452))</x:f>
      </x:c>
      <x:c r="D452" s="14">
        <x:f>IF(B452="","",$F$8*SIN(B452) - $B$7*SIN($F$6*B452))</x:f>
      </x:c>
      <x:c r="E452" s="14">
        <x:f>IF(B452="","", C452 + $F$12*$F$9*(-H452)/IF(SQRT(G452^2+H452^2)=0,1,SQRT(G452^2+H452^2)))</x:f>
      </x:c>
      <x:c r="F452" s="14">
        <x:f>IF(B452="","", D452 + $F$12*$F$9*(G452)/IF(SQRT(G452^2+H452^2)=0,1,SQRT(G452^2+H452^2)))</x:f>
      </x:c>
      <x:c r="G452" s="14">
        <x:f>IF(B452="","", -$F$8*SIN(B452) - $B$7*$F$6*SIN($F$6*B452))</x:f>
      </x:c>
      <x:c r="H452" s="14">
        <x:f>IF(B452="","", $F$8*COS(B452) - $B$7*$F$6*COS($F$6*B452))</x:f>
      </x:c>
    </x:row>
    <x:row r="453">
      <x:c r="A453" s="13" t="n">
        <x:v>434</x:v>
      </x:c>
      <x:c r="B453" s="14">
        <x:f>IF($B$12&lt;434,"",$B$13+(434-1)*($B$14-$B$13)/($B$12-1))</x:f>
      </x:c>
      <x:c r="C453" s="14">
        <x:f>IF(B453="","",$F$8*COS(B453) + $B$7*COS($F$6*B453))</x:f>
      </x:c>
      <x:c r="D453" s="14">
        <x:f>IF(B453="","",$F$8*SIN(B453) - $B$7*SIN($F$6*B453))</x:f>
      </x:c>
      <x:c r="E453" s="14">
        <x:f>IF(B453="","", C453 + $F$12*$F$9*(-H453)/IF(SQRT(G453^2+H453^2)=0,1,SQRT(G453^2+H453^2)))</x:f>
      </x:c>
      <x:c r="F453" s="14">
        <x:f>IF(B453="","", D453 + $F$12*$F$9*(G453)/IF(SQRT(G453^2+H453^2)=0,1,SQRT(G453^2+H453^2)))</x:f>
      </x:c>
      <x:c r="G453" s="14">
        <x:f>IF(B453="","", -$F$8*SIN(B453) - $B$7*$F$6*SIN($F$6*B453))</x:f>
      </x:c>
      <x:c r="H453" s="14">
        <x:f>IF(B453="","", $F$8*COS(B453) - $B$7*$F$6*COS($F$6*B453))</x:f>
      </x:c>
    </x:row>
    <x:row r="454">
      <x:c r="A454" s="13" t="n">
        <x:v>435</x:v>
      </x:c>
      <x:c r="B454" s="14">
        <x:f>IF($B$12&lt;435,"",$B$13+(435-1)*($B$14-$B$13)/($B$12-1))</x:f>
      </x:c>
      <x:c r="C454" s="14">
        <x:f>IF(B454="","",$F$8*COS(B454) + $B$7*COS($F$6*B454))</x:f>
      </x:c>
      <x:c r="D454" s="14">
        <x:f>IF(B454="","",$F$8*SIN(B454) - $B$7*SIN($F$6*B454))</x:f>
      </x:c>
      <x:c r="E454" s="14">
        <x:f>IF(B454="","", C454 + $F$12*$F$9*(-H454)/IF(SQRT(G454^2+H454^2)=0,1,SQRT(G454^2+H454^2)))</x:f>
      </x:c>
      <x:c r="F454" s="14">
        <x:f>IF(B454="","", D454 + $F$12*$F$9*(G454)/IF(SQRT(G454^2+H454^2)=0,1,SQRT(G454^2+H454^2)))</x:f>
      </x:c>
      <x:c r="G454" s="14">
        <x:f>IF(B454="","", -$F$8*SIN(B454) - $B$7*$F$6*SIN($F$6*B454))</x:f>
      </x:c>
      <x:c r="H454" s="14">
        <x:f>IF(B454="","", $F$8*COS(B454) - $B$7*$F$6*COS($F$6*B454))</x:f>
      </x:c>
    </x:row>
    <x:row r="455">
      <x:c r="A455" s="13" t="n">
        <x:v>436</x:v>
      </x:c>
      <x:c r="B455" s="14">
        <x:f>IF($B$12&lt;436,"",$B$13+(436-1)*($B$14-$B$13)/($B$12-1))</x:f>
      </x:c>
      <x:c r="C455" s="14">
        <x:f>IF(B455="","",$F$8*COS(B455) + $B$7*COS($F$6*B455))</x:f>
      </x:c>
      <x:c r="D455" s="14">
        <x:f>IF(B455="","",$F$8*SIN(B455) - $B$7*SIN($F$6*B455))</x:f>
      </x:c>
      <x:c r="E455" s="14">
        <x:f>IF(B455="","", C455 + $F$12*$F$9*(-H455)/IF(SQRT(G455^2+H455^2)=0,1,SQRT(G455^2+H455^2)))</x:f>
      </x:c>
      <x:c r="F455" s="14">
        <x:f>IF(B455="","", D455 + $F$12*$F$9*(G455)/IF(SQRT(G455^2+H455^2)=0,1,SQRT(G455^2+H455^2)))</x:f>
      </x:c>
      <x:c r="G455" s="14">
        <x:f>IF(B455="","", -$F$8*SIN(B455) - $B$7*$F$6*SIN($F$6*B455))</x:f>
      </x:c>
      <x:c r="H455" s="14">
        <x:f>IF(B455="","", $F$8*COS(B455) - $B$7*$F$6*COS($F$6*B455))</x:f>
      </x:c>
    </x:row>
    <x:row r="456">
      <x:c r="A456" s="13" t="n">
        <x:v>437</x:v>
      </x:c>
      <x:c r="B456" s="14">
        <x:f>IF($B$12&lt;437,"",$B$13+(437-1)*($B$14-$B$13)/($B$12-1))</x:f>
      </x:c>
      <x:c r="C456" s="14">
        <x:f>IF(B456="","",$F$8*COS(B456) + $B$7*COS($F$6*B456))</x:f>
      </x:c>
      <x:c r="D456" s="14">
        <x:f>IF(B456="","",$F$8*SIN(B456) - $B$7*SIN($F$6*B456))</x:f>
      </x:c>
      <x:c r="E456" s="14">
        <x:f>IF(B456="","", C456 + $F$12*$F$9*(-H456)/IF(SQRT(G456^2+H456^2)=0,1,SQRT(G456^2+H456^2)))</x:f>
      </x:c>
      <x:c r="F456" s="14">
        <x:f>IF(B456="","", D456 + $F$12*$F$9*(G456)/IF(SQRT(G456^2+H456^2)=0,1,SQRT(G456^2+H456^2)))</x:f>
      </x:c>
      <x:c r="G456" s="14">
        <x:f>IF(B456="","", -$F$8*SIN(B456) - $B$7*$F$6*SIN($F$6*B456))</x:f>
      </x:c>
      <x:c r="H456" s="14">
        <x:f>IF(B456="","", $F$8*COS(B456) - $B$7*$F$6*COS($F$6*B456))</x:f>
      </x:c>
    </x:row>
    <x:row r="457">
      <x:c r="A457" s="13" t="n">
        <x:v>438</x:v>
      </x:c>
      <x:c r="B457" s="14">
        <x:f>IF($B$12&lt;438,"",$B$13+(438-1)*($B$14-$B$13)/($B$12-1))</x:f>
      </x:c>
      <x:c r="C457" s="14">
        <x:f>IF(B457="","",$F$8*COS(B457) + $B$7*COS($F$6*B457))</x:f>
      </x:c>
      <x:c r="D457" s="14">
        <x:f>IF(B457="","",$F$8*SIN(B457) - $B$7*SIN($F$6*B457))</x:f>
      </x:c>
      <x:c r="E457" s="14">
        <x:f>IF(B457="","", C457 + $F$12*$F$9*(-H457)/IF(SQRT(G457^2+H457^2)=0,1,SQRT(G457^2+H457^2)))</x:f>
      </x:c>
      <x:c r="F457" s="14">
        <x:f>IF(B457="","", D457 + $F$12*$F$9*(G457)/IF(SQRT(G457^2+H457^2)=0,1,SQRT(G457^2+H457^2)))</x:f>
      </x:c>
      <x:c r="G457" s="14">
        <x:f>IF(B457="","", -$F$8*SIN(B457) - $B$7*$F$6*SIN($F$6*B457))</x:f>
      </x:c>
      <x:c r="H457" s="14">
        <x:f>IF(B457="","", $F$8*COS(B457) - $B$7*$F$6*COS($F$6*B457))</x:f>
      </x:c>
    </x:row>
    <x:row r="458">
      <x:c r="A458" s="13" t="n">
        <x:v>439</x:v>
      </x:c>
      <x:c r="B458" s="14">
        <x:f>IF($B$12&lt;439,"",$B$13+(439-1)*($B$14-$B$13)/($B$12-1))</x:f>
      </x:c>
      <x:c r="C458" s="14">
        <x:f>IF(B458="","",$F$8*COS(B458) + $B$7*COS($F$6*B458))</x:f>
      </x:c>
      <x:c r="D458" s="14">
        <x:f>IF(B458="","",$F$8*SIN(B458) - $B$7*SIN($F$6*B458))</x:f>
      </x:c>
      <x:c r="E458" s="14">
        <x:f>IF(B458="","", C458 + $F$12*$F$9*(-H458)/IF(SQRT(G458^2+H458^2)=0,1,SQRT(G458^2+H458^2)))</x:f>
      </x:c>
      <x:c r="F458" s="14">
        <x:f>IF(B458="","", D458 + $F$12*$F$9*(G458)/IF(SQRT(G458^2+H458^2)=0,1,SQRT(G458^2+H458^2)))</x:f>
      </x:c>
      <x:c r="G458" s="14">
        <x:f>IF(B458="","", -$F$8*SIN(B458) - $B$7*$F$6*SIN($F$6*B458))</x:f>
      </x:c>
      <x:c r="H458" s="14">
        <x:f>IF(B458="","", $F$8*COS(B458) - $B$7*$F$6*COS($F$6*B458))</x:f>
      </x:c>
    </x:row>
    <x:row r="459">
      <x:c r="A459" s="13" t="n">
        <x:v>440</x:v>
      </x:c>
      <x:c r="B459" s="14">
        <x:f>IF($B$12&lt;440,"",$B$13+(440-1)*($B$14-$B$13)/($B$12-1))</x:f>
      </x:c>
      <x:c r="C459" s="14">
        <x:f>IF(B459="","",$F$8*COS(B459) + $B$7*COS($F$6*B459))</x:f>
      </x:c>
      <x:c r="D459" s="14">
        <x:f>IF(B459="","",$F$8*SIN(B459) - $B$7*SIN($F$6*B459))</x:f>
      </x:c>
      <x:c r="E459" s="14">
        <x:f>IF(B459="","", C459 + $F$12*$F$9*(-H459)/IF(SQRT(G459^2+H459^2)=0,1,SQRT(G459^2+H459^2)))</x:f>
      </x:c>
      <x:c r="F459" s="14">
        <x:f>IF(B459="","", D459 + $F$12*$F$9*(G459)/IF(SQRT(G459^2+H459^2)=0,1,SQRT(G459^2+H459^2)))</x:f>
      </x:c>
      <x:c r="G459" s="14">
        <x:f>IF(B459="","", -$F$8*SIN(B459) - $B$7*$F$6*SIN($F$6*B459))</x:f>
      </x:c>
      <x:c r="H459" s="14">
        <x:f>IF(B459="","", $F$8*COS(B459) - $B$7*$F$6*COS($F$6*B459))</x:f>
      </x:c>
    </x:row>
    <x:row r="460">
      <x:c r="A460" s="13" t="n">
        <x:v>441</x:v>
      </x:c>
      <x:c r="B460" s="14">
        <x:f>IF($B$12&lt;441,"",$B$13+(441-1)*($B$14-$B$13)/($B$12-1))</x:f>
      </x:c>
      <x:c r="C460" s="14">
        <x:f>IF(B460="","",$F$8*COS(B460) + $B$7*COS($F$6*B460))</x:f>
      </x:c>
      <x:c r="D460" s="14">
        <x:f>IF(B460="","",$F$8*SIN(B460) - $B$7*SIN($F$6*B460))</x:f>
      </x:c>
      <x:c r="E460" s="14">
        <x:f>IF(B460="","", C460 + $F$12*$F$9*(-H460)/IF(SQRT(G460^2+H460^2)=0,1,SQRT(G460^2+H460^2)))</x:f>
      </x:c>
      <x:c r="F460" s="14">
        <x:f>IF(B460="","", D460 + $F$12*$F$9*(G460)/IF(SQRT(G460^2+H460^2)=0,1,SQRT(G460^2+H460^2)))</x:f>
      </x:c>
      <x:c r="G460" s="14">
        <x:f>IF(B460="","", -$F$8*SIN(B460) - $B$7*$F$6*SIN($F$6*B460))</x:f>
      </x:c>
      <x:c r="H460" s="14">
        <x:f>IF(B460="","", $F$8*COS(B460) - $B$7*$F$6*COS($F$6*B460))</x:f>
      </x:c>
    </x:row>
    <x:row r="461">
      <x:c r="A461" s="13" t="n">
        <x:v>442</x:v>
      </x:c>
      <x:c r="B461" s="14">
        <x:f>IF($B$12&lt;442,"",$B$13+(442-1)*($B$14-$B$13)/($B$12-1))</x:f>
      </x:c>
      <x:c r="C461" s="14">
        <x:f>IF(B461="","",$F$8*COS(B461) + $B$7*COS($F$6*B461))</x:f>
      </x:c>
      <x:c r="D461" s="14">
        <x:f>IF(B461="","",$F$8*SIN(B461) - $B$7*SIN($F$6*B461))</x:f>
      </x:c>
      <x:c r="E461" s="14">
        <x:f>IF(B461="","", C461 + $F$12*$F$9*(-H461)/IF(SQRT(G461^2+H461^2)=0,1,SQRT(G461^2+H461^2)))</x:f>
      </x:c>
      <x:c r="F461" s="14">
        <x:f>IF(B461="","", D461 + $F$12*$F$9*(G461)/IF(SQRT(G461^2+H461^2)=0,1,SQRT(G461^2+H461^2)))</x:f>
      </x:c>
      <x:c r="G461" s="14">
        <x:f>IF(B461="","", -$F$8*SIN(B461) - $B$7*$F$6*SIN($F$6*B461))</x:f>
      </x:c>
      <x:c r="H461" s="14">
        <x:f>IF(B461="","", $F$8*COS(B461) - $B$7*$F$6*COS($F$6*B461))</x:f>
      </x:c>
    </x:row>
    <x:row r="462">
      <x:c r="A462" s="13" t="n">
        <x:v>443</x:v>
      </x:c>
      <x:c r="B462" s="14">
        <x:f>IF($B$12&lt;443,"",$B$13+(443-1)*($B$14-$B$13)/($B$12-1))</x:f>
      </x:c>
      <x:c r="C462" s="14">
        <x:f>IF(B462="","",$F$8*COS(B462) + $B$7*COS($F$6*B462))</x:f>
      </x:c>
      <x:c r="D462" s="14">
        <x:f>IF(B462="","",$F$8*SIN(B462) - $B$7*SIN($F$6*B462))</x:f>
      </x:c>
      <x:c r="E462" s="14">
        <x:f>IF(B462="","", C462 + $F$12*$F$9*(-H462)/IF(SQRT(G462^2+H462^2)=0,1,SQRT(G462^2+H462^2)))</x:f>
      </x:c>
      <x:c r="F462" s="14">
        <x:f>IF(B462="","", D462 + $F$12*$F$9*(G462)/IF(SQRT(G462^2+H462^2)=0,1,SQRT(G462^2+H462^2)))</x:f>
      </x:c>
      <x:c r="G462" s="14">
        <x:f>IF(B462="","", -$F$8*SIN(B462) - $B$7*$F$6*SIN($F$6*B462))</x:f>
      </x:c>
      <x:c r="H462" s="14">
        <x:f>IF(B462="","", $F$8*COS(B462) - $B$7*$F$6*COS($F$6*B462))</x:f>
      </x:c>
    </x:row>
    <x:row r="463">
      <x:c r="A463" s="13" t="n">
        <x:v>444</x:v>
      </x:c>
      <x:c r="B463" s="14">
        <x:f>IF($B$12&lt;444,"",$B$13+(444-1)*($B$14-$B$13)/($B$12-1))</x:f>
      </x:c>
      <x:c r="C463" s="14">
        <x:f>IF(B463="","",$F$8*COS(B463) + $B$7*COS($F$6*B463))</x:f>
      </x:c>
      <x:c r="D463" s="14">
        <x:f>IF(B463="","",$F$8*SIN(B463) - $B$7*SIN($F$6*B463))</x:f>
      </x:c>
      <x:c r="E463" s="14">
        <x:f>IF(B463="","", C463 + $F$12*$F$9*(-H463)/IF(SQRT(G463^2+H463^2)=0,1,SQRT(G463^2+H463^2)))</x:f>
      </x:c>
      <x:c r="F463" s="14">
        <x:f>IF(B463="","", D463 + $F$12*$F$9*(G463)/IF(SQRT(G463^2+H463^2)=0,1,SQRT(G463^2+H463^2)))</x:f>
      </x:c>
      <x:c r="G463" s="14">
        <x:f>IF(B463="","", -$F$8*SIN(B463) - $B$7*$F$6*SIN($F$6*B463))</x:f>
      </x:c>
      <x:c r="H463" s="14">
        <x:f>IF(B463="","", $F$8*COS(B463) - $B$7*$F$6*COS($F$6*B463))</x:f>
      </x:c>
    </x:row>
    <x:row r="464">
      <x:c r="A464" s="13" t="n">
        <x:v>445</x:v>
      </x:c>
      <x:c r="B464" s="14">
        <x:f>IF($B$12&lt;445,"",$B$13+(445-1)*($B$14-$B$13)/($B$12-1))</x:f>
      </x:c>
      <x:c r="C464" s="14">
        <x:f>IF(B464="","",$F$8*COS(B464) + $B$7*COS($F$6*B464))</x:f>
      </x:c>
      <x:c r="D464" s="14">
        <x:f>IF(B464="","",$F$8*SIN(B464) - $B$7*SIN($F$6*B464))</x:f>
      </x:c>
      <x:c r="E464" s="14">
        <x:f>IF(B464="","", C464 + $F$12*$F$9*(-H464)/IF(SQRT(G464^2+H464^2)=0,1,SQRT(G464^2+H464^2)))</x:f>
      </x:c>
      <x:c r="F464" s="14">
        <x:f>IF(B464="","", D464 + $F$12*$F$9*(G464)/IF(SQRT(G464^2+H464^2)=0,1,SQRT(G464^2+H464^2)))</x:f>
      </x:c>
      <x:c r="G464" s="14">
        <x:f>IF(B464="","", -$F$8*SIN(B464) - $B$7*$F$6*SIN($F$6*B464))</x:f>
      </x:c>
      <x:c r="H464" s="14">
        <x:f>IF(B464="","", $F$8*COS(B464) - $B$7*$F$6*COS($F$6*B464))</x:f>
      </x:c>
    </x:row>
    <x:row r="465">
      <x:c r="A465" s="13" t="n">
        <x:v>446</x:v>
      </x:c>
      <x:c r="B465" s="14">
        <x:f>IF($B$12&lt;446,"",$B$13+(446-1)*($B$14-$B$13)/($B$12-1))</x:f>
      </x:c>
      <x:c r="C465" s="14">
        <x:f>IF(B465="","",$F$8*COS(B465) + $B$7*COS($F$6*B465))</x:f>
      </x:c>
      <x:c r="D465" s="14">
        <x:f>IF(B465="","",$F$8*SIN(B465) - $B$7*SIN($F$6*B465))</x:f>
      </x:c>
      <x:c r="E465" s="14">
        <x:f>IF(B465="","", C465 + $F$12*$F$9*(-H465)/IF(SQRT(G465^2+H465^2)=0,1,SQRT(G465^2+H465^2)))</x:f>
      </x:c>
      <x:c r="F465" s="14">
        <x:f>IF(B465="","", D465 + $F$12*$F$9*(G465)/IF(SQRT(G465^2+H465^2)=0,1,SQRT(G465^2+H465^2)))</x:f>
      </x:c>
      <x:c r="G465" s="14">
        <x:f>IF(B465="","", -$F$8*SIN(B465) - $B$7*$F$6*SIN($F$6*B465))</x:f>
      </x:c>
      <x:c r="H465" s="14">
        <x:f>IF(B465="","", $F$8*COS(B465) - $B$7*$F$6*COS($F$6*B465))</x:f>
      </x:c>
    </x:row>
    <x:row r="466">
      <x:c r="A466" s="13" t="n">
        <x:v>447</x:v>
      </x:c>
      <x:c r="B466" s="14">
        <x:f>IF($B$12&lt;447,"",$B$13+(447-1)*($B$14-$B$13)/($B$12-1))</x:f>
      </x:c>
      <x:c r="C466" s="14">
        <x:f>IF(B466="","",$F$8*COS(B466) + $B$7*COS($F$6*B466))</x:f>
      </x:c>
      <x:c r="D466" s="14">
        <x:f>IF(B466="","",$F$8*SIN(B466) - $B$7*SIN($F$6*B466))</x:f>
      </x:c>
      <x:c r="E466" s="14">
        <x:f>IF(B466="","", C466 + $F$12*$F$9*(-H466)/IF(SQRT(G466^2+H466^2)=0,1,SQRT(G466^2+H466^2)))</x:f>
      </x:c>
      <x:c r="F466" s="14">
        <x:f>IF(B466="","", D466 + $F$12*$F$9*(G466)/IF(SQRT(G466^2+H466^2)=0,1,SQRT(G466^2+H466^2)))</x:f>
      </x:c>
      <x:c r="G466" s="14">
        <x:f>IF(B466="","", -$F$8*SIN(B466) - $B$7*$F$6*SIN($F$6*B466))</x:f>
      </x:c>
      <x:c r="H466" s="14">
        <x:f>IF(B466="","", $F$8*COS(B466) - $B$7*$F$6*COS($F$6*B466))</x:f>
      </x:c>
    </x:row>
    <x:row r="467">
      <x:c r="A467" s="13" t="n">
        <x:v>448</x:v>
      </x:c>
      <x:c r="B467" s="14">
        <x:f>IF($B$12&lt;448,"",$B$13+(448-1)*($B$14-$B$13)/($B$12-1))</x:f>
      </x:c>
      <x:c r="C467" s="14">
        <x:f>IF(B467="","",$F$8*COS(B467) + $B$7*COS($F$6*B467))</x:f>
      </x:c>
      <x:c r="D467" s="14">
        <x:f>IF(B467="","",$F$8*SIN(B467) - $B$7*SIN($F$6*B467))</x:f>
      </x:c>
      <x:c r="E467" s="14">
        <x:f>IF(B467="","", C467 + $F$12*$F$9*(-H467)/IF(SQRT(G467^2+H467^2)=0,1,SQRT(G467^2+H467^2)))</x:f>
      </x:c>
      <x:c r="F467" s="14">
        <x:f>IF(B467="","", D467 + $F$12*$F$9*(G467)/IF(SQRT(G467^2+H467^2)=0,1,SQRT(G467^2+H467^2)))</x:f>
      </x:c>
      <x:c r="G467" s="14">
        <x:f>IF(B467="","", -$F$8*SIN(B467) - $B$7*$F$6*SIN($F$6*B467))</x:f>
      </x:c>
      <x:c r="H467" s="14">
        <x:f>IF(B467="","", $F$8*COS(B467) - $B$7*$F$6*COS($F$6*B467))</x:f>
      </x:c>
    </x:row>
    <x:row r="468">
      <x:c r="A468" s="13" t="n">
        <x:v>449</x:v>
      </x:c>
      <x:c r="B468" s="14">
        <x:f>IF($B$12&lt;449,"",$B$13+(449-1)*($B$14-$B$13)/($B$12-1))</x:f>
      </x:c>
      <x:c r="C468" s="14">
        <x:f>IF(B468="","",$F$8*COS(B468) + $B$7*COS($F$6*B468))</x:f>
      </x:c>
      <x:c r="D468" s="14">
        <x:f>IF(B468="","",$F$8*SIN(B468) - $B$7*SIN($F$6*B468))</x:f>
      </x:c>
      <x:c r="E468" s="14">
        <x:f>IF(B468="","", C468 + $F$12*$F$9*(-H468)/IF(SQRT(G468^2+H468^2)=0,1,SQRT(G468^2+H468^2)))</x:f>
      </x:c>
      <x:c r="F468" s="14">
        <x:f>IF(B468="","", D468 + $F$12*$F$9*(G468)/IF(SQRT(G468^2+H468^2)=0,1,SQRT(G468^2+H468^2)))</x:f>
      </x:c>
      <x:c r="G468" s="14">
        <x:f>IF(B468="","", -$F$8*SIN(B468) - $B$7*$F$6*SIN($F$6*B468))</x:f>
      </x:c>
      <x:c r="H468" s="14">
        <x:f>IF(B468="","", $F$8*COS(B468) - $B$7*$F$6*COS($F$6*B468))</x:f>
      </x:c>
    </x:row>
    <x:row r="469">
      <x:c r="A469" s="13" t="n">
        <x:v>450</x:v>
      </x:c>
      <x:c r="B469" s="14">
        <x:f>IF($B$12&lt;450,"",$B$13+(450-1)*($B$14-$B$13)/($B$12-1))</x:f>
      </x:c>
      <x:c r="C469" s="14">
        <x:f>IF(B469="","",$F$8*COS(B469) + $B$7*COS($F$6*B469))</x:f>
      </x:c>
      <x:c r="D469" s="14">
        <x:f>IF(B469="","",$F$8*SIN(B469) - $B$7*SIN($F$6*B469))</x:f>
      </x:c>
      <x:c r="E469" s="14">
        <x:f>IF(B469="","", C469 + $F$12*$F$9*(-H469)/IF(SQRT(G469^2+H469^2)=0,1,SQRT(G469^2+H469^2)))</x:f>
      </x:c>
      <x:c r="F469" s="14">
        <x:f>IF(B469="","", D469 + $F$12*$F$9*(G469)/IF(SQRT(G469^2+H469^2)=0,1,SQRT(G469^2+H469^2)))</x:f>
      </x:c>
      <x:c r="G469" s="14">
        <x:f>IF(B469="","", -$F$8*SIN(B469) - $B$7*$F$6*SIN($F$6*B469))</x:f>
      </x:c>
      <x:c r="H469" s="14">
        <x:f>IF(B469="","", $F$8*COS(B469) - $B$7*$F$6*COS($F$6*B469))</x:f>
      </x:c>
    </x:row>
    <x:row r="470">
      <x:c r="A470" s="13" t="n">
        <x:v>451</x:v>
      </x:c>
      <x:c r="B470" s="14">
        <x:f>IF($B$12&lt;451,"",$B$13+(451-1)*($B$14-$B$13)/($B$12-1))</x:f>
      </x:c>
      <x:c r="C470" s="14">
        <x:f>IF(B470="","",$F$8*COS(B470) + $B$7*COS($F$6*B470))</x:f>
      </x:c>
      <x:c r="D470" s="14">
        <x:f>IF(B470="","",$F$8*SIN(B470) - $B$7*SIN($F$6*B470))</x:f>
      </x:c>
      <x:c r="E470" s="14">
        <x:f>IF(B470="","", C470 + $F$12*$F$9*(-H470)/IF(SQRT(G470^2+H470^2)=0,1,SQRT(G470^2+H470^2)))</x:f>
      </x:c>
      <x:c r="F470" s="14">
        <x:f>IF(B470="","", D470 + $F$12*$F$9*(G470)/IF(SQRT(G470^2+H470^2)=0,1,SQRT(G470^2+H470^2)))</x:f>
      </x:c>
      <x:c r="G470" s="14">
        <x:f>IF(B470="","", -$F$8*SIN(B470) - $B$7*$F$6*SIN($F$6*B470))</x:f>
      </x:c>
      <x:c r="H470" s="14">
        <x:f>IF(B470="","", $F$8*COS(B470) - $B$7*$F$6*COS($F$6*B470))</x:f>
      </x:c>
    </x:row>
    <x:row r="471">
      <x:c r="A471" s="13" t="n">
        <x:v>452</x:v>
      </x:c>
      <x:c r="B471" s="14">
        <x:f>IF($B$12&lt;452,"",$B$13+(452-1)*($B$14-$B$13)/($B$12-1))</x:f>
      </x:c>
      <x:c r="C471" s="14">
        <x:f>IF(B471="","",$F$8*COS(B471) + $B$7*COS($F$6*B471))</x:f>
      </x:c>
      <x:c r="D471" s="14">
        <x:f>IF(B471="","",$F$8*SIN(B471) - $B$7*SIN($F$6*B471))</x:f>
      </x:c>
      <x:c r="E471" s="14">
        <x:f>IF(B471="","", C471 + $F$12*$F$9*(-H471)/IF(SQRT(G471^2+H471^2)=0,1,SQRT(G471^2+H471^2)))</x:f>
      </x:c>
      <x:c r="F471" s="14">
        <x:f>IF(B471="","", D471 + $F$12*$F$9*(G471)/IF(SQRT(G471^2+H471^2)=0,1,SQRT(G471^2+H471^2)))</x:f>
      </x:c>
      <x:c r="G471" s="14">
        <x:f>IF(B471="","", -$F$8*SIN(B471) - $B$7*$F$6*SIN($F$6*B471))</x:f>
      </x:c>
      <x:c r="H471" s="14">
        <x:f>IF(B471="","", $F$8*COS(B471) - $B$7*$F$6*COS($F$6*B471))</x:f>
      </x:c>
    </x:row>
    <x:row r="472">
      <x:c r="A472" s="13" t="n">
        <x:v>453</x:v>
      </x:c>
      <x:c r="B472" s="14">
        <x:f>IF($B$12&lt;453,"",$B$13+(453-1)*($B$14-$B$13)/($B$12-1))</x:f>
      </x:c>
      <x:c r="C472" s="14">
        <x:f>IF(B472="","",$F$8*COS(B472) + $B$7*COS($F$6*B472))</x:f>
      </x:c>
      <x:c r="D472" s="14">
        <x:f>IF(B472="","",$F$8*SIN(B472) - $B$7*SIN($F$6*B472))</x:f>
      </x:c>
      <x:c r="E472" s="14">
        <x:f>IF(B472="","", C472 + $F$12*$F$9*(-H472)/IF(SQRT(G472^2+H472^2)=0,1,SQRT(G472^2+H472^2)))</x:f>
      </x:c>
      <x:c r="F472" s="14">
        <x:f>IF(B472="","", D472 + $F$12*$F$9*(G472)/IF(SQRT(G472^2+H472^2)=0,1,SQRT(G472^2+H472^2)))</x:f>
      </x:c>
      <x:c r="G472" s="14">
        <x:f>IF(B472="","", -$F$8*SIN(B472) - $B$7*$F$6*SIN($F$6*B472))</x:f>
      </x:c>
      <x:c r="H472" s="14">
        <x:f>IF(B472="","", $F$8*COS(B472) - $B$7*$F$6*COS($F$6*B472))</x:f>
      </x:c>
    </x:row>
    <x:row r="473">
      <x:c r="A473" s="13" t="n">
        <x:v>454</x:v>
      </x:c>
      <x:c r="B473" s="14">
        <x:f>IF($B$12&lt;454,"",$B$13+(454-1)*($B$14-$B$13)/($B$12-1))</x:f>
      </x:c>
      <x:c r="C473" s="14">
        <x:f>IF(B473="","",$F$8*COS(B473) + $B$7*COS($F$6*B473))</x:f>
      </x:c>
      <x:c r="D473" s="14">
        <x:f>IF(B473="","",$F$8*SIN(B473) - $B$7*SIN($F$6*B473))</x:f>
      </x:c>
      <x:c r="E473" s="14">
        <x:f>IF(B473="","", C473 + $F$12*$F$9*(-H473)/IF(SQRT(G473^2+H473^2)=0,1,SQRT(G473^2+H473^2)))</x:f>
      </x:c>
      <x:c r="F473" s="14">
        <x:f>IF(B473="","", D473 + $F$12*$F$9*(G473)/IF(SQRT(G473^2+H473^2)=0,1,SQRT(G473^2+H473^2)))</x:f>
      </x:c>
      <x:c r="G473" s="14">
        <x:f>IF(B473="","", -$F$8*SIN(B473) - $B$7*$F$6*SIN($F$6*B473))</x:f>
      </x:c>
      <x:c r="H473" s="14">
        <x:f>IF(B473="","", $F$8*COS(B473) - $B$7*$F$6*COS($F$6*B473))</x:f>
      </x:c>
    </x:row>
    <x:row r="474">
      <x:c r="A474" s="13" t="n">
        <x:v>455</x:v>
      </x:c>
      <x:c r="B474" s="14">
        <x:f>IF($B$12&lt;455,"",$B$13+(455-1)*($B$14-$B$13)/($B$12-1))</x:f>
      </x:c>
      <x:c r="C474" s="14">
        <x:f>IF(B474="","",$F$8*COS(B474) + $B$7*COS($F$6*B474))</x:f>
      </x:c>
      <x:c r="D474" s="14">
        <x:f>IF(B474="","",$F$8*SIN(B474) - $B$7*SIN($F$6*B474))</x:f>
      </x:c>
      <x:c r="E474" s="14">
        <x:f>IF(B474="","", C474 + $F$12*$F$9*(-H474)/IF(SQRT(G474^2+H474^2)=0,1,SQRT(G474^2+H474^2)))</x:f>
      </x:c>
      <x:c r="F474" s="14">
        <x:f>IF(B474="","", D474 + $F$12*$F$9*(G474)/IF(SQRT(G474^2+H474^2)=0,1,SQRT(G474^2+H474^2)))</x:f>
      </x:c>
      <x:c r="G474" s="14">
        <x:f>IF(B474="","", -$F$8*SIN(B474) - $B$7*$F$6*SIN($F$6*B474))</x:f>
      </x:c>
      <x:c r="H474" s="14">
        <x:f>IF(B474="","", $F$8*COS(B474) - $B$7*$F$6*COS($F$6*B474))</x:f>
      </x:c>
    </x:row>
    <x:row r="475">
      <x:c r="A475" s="13" t="n">
        <x:v>456</x:v>
      </x:c>
      <x:c r="B475" s="14">
        <x:f>IF($B$12&lt;456,"",$B$13+(456-1)*($B$14-$B$13)/($B$12-1))</x:f>
      </x:c>
      <x:c r="C475" s="14">
        <x:f>IF(B475="","",$F$8*COS(B475) + $B$7*COS($F$6*B475))</x:f>
      </x:c>
      <x:c r="D475" s="14">
        <x:f>IF(B475="","",$F$8*SIN(B475) - $B$7*SIN($F$6*B475))</x:f>
      </x:c>
      <x:c r="E475" s="14">
        <x:f>IF(B475="","", C475 + $F$12*$F$9*(-H475)/IF(SQRT(G475^2+H475^2)=0,1,SQRT(G475^2+H475^2)))</x:f>
      </x:c>
      <x:c r="F475" s="14">
        <x:f>IF(B475="","", D475 + $F$12*$F$9*(G475)/IF(SQRT(G475^2+H475^2)=0,1,SQRT(G475^2+H475^2)))</x:f>
      </x:c>
      <x:c r="G475" s="14">
        <x:f>IF(B475="","", -$F$8*SIN(B475) - $B$7*$F$6*SIN($F$6*B475))</x:f>
      </x:c>
      <x:c r="H475" s="14">
        <x:f>IF(B475="","", $F$8*COS(B475) - $B$7*$F$6*COS($F$6*B475))</x:f>
      </x:c>
    </x:row>
    <x:row r="476">
      <x:c r="A476" s="13" t="n">
        <x:v>457</x:v>
      </x:c>
      <x:c r="B476" s="14">
        <x:f>IF($B$12&lt;457,"",$B$13+(457-1)*($B$14-$B$13)/($B$12-1))</x:f>
      </x:c>
      <x:c r="C476" s="14">
        <x:f>IF(B476="","",$F$8*COS(B476) + $B$7*COS($F$6*B476))</x:f>
      </x:c>
      <x:c r="D476" s="14">
        <x:f>IF(B476="","",$F$8*SIN(B476) - $B$7*SIN($F$6*B476))</x:f>
      </x:c>
      <x:c r="E476" s="14">
        <x:f>IF(B476="","", C476 + $F$12*$F$9*(-H476)/IF(SQRT(G476^2+H476^2)=0,1,SQRT(G476^2+H476^2)))</x:f>
      </x:c>
      <x:c r="F476" s="14">
        <x:f>IF(B476="","", D476 + $F$12*$F$9*(G476)/IF(SQRT(G476^2+H476^2)=0,1,SQRT(G476^2+H476^2)))</x:f>
      </x:c>
      <x:c r="G476" s="14">
        <x:f>IF(B476="","", -$F$8*SIN(B476) - $B$7*$F$6*SIN($F$6*B476))</x:f>
      </x:c>
      <x:c r="H476" s="14">
        <x:f>IF(B476="","", $F$8*COS(B476) - $B$7*$F$6*COS($F$6*B476))</x:f>
      </x:c>
    </x:row>
    <x:row r="477">
      <x:c r="A477" s="13" t="n">
        <x:v>458</x:v>
      </x:c>
      <x:c r="B477" s="14">
        <x:f>IF($B$12&lt;458,"",$B$13+(458-1)*($B$14-$B$13)/($B$12-1))</x:f>
      </x:c>
      <x:c r="C477" s="14">
        <x:f>IF(B477="","",$F$8*COS(B477) + $B$7*COS($F$6*B477))</x:f>
      </x:c>
      <x:c r="D477" s="14">
        <x:f>IF(B477="","",$F$8*SIN(B477) - $B$7*SIN($F$6*B477))</x:f>
      </x:c>
      <x:c r="E477" s="14">
        <x:f>IF(B477="","", C477 + $F$12*$F$9*(-H477)/IF(SQRT(G477^2+H477^2)=0,1,SQRT(G477^2+H477^2)))</x:f>
      </x:c>
      <x:c r="F477" s="14">
        <x:f>IF(B477="","", D477 + $F$12*$F$9*(G477)/IF(SQRT(G477^2+H477^2)=0,1,SQRT(G477^2+H477^2)))</x:f>
      </x:c>
      <x:c r="G477" s="14">
        <x:f>IF(B477="","", -$F$8*SIN(B477) - $B$7*$F$6*SIN($F$6*B477))</x:f>
      </x:c>
      <x:c r="H477" s="14">
        <x:f>IF(B477="","", $F$8*COS(B477) - $B$7*$F$6*COS($F$6*B477))</x:f>
      </x:c>
    </x:row>
    <x:row r="478">
      <x:c r="A478" s="13" t="n">
        <x:v>459</x:v>
      </x:c>
      <x:c r="B478" s="14">
        <x:f>IF($B$12&lt;459,"",$B$13+(459-1)*($B$14-$B$13)/($B$12-1))</x:f>
      </x:c>
      <x:c r="C478" s="14">
        <x:f>IF(B478="","",$F$8*COS(B478) + $B$7*COS($F$6*B478))</x:f>
      </x:c>
      <x:c r="D478" s="14">
        <x:f>IF(B478="","",$F$8*SIN(B478) - $B$7*SIN($F$6*B478))</x:f>
      </x:c>
      <x:c r="E478" s="14">
        <x:f>IF(B478="","", C478 + $F$12*$F$9*(-H478)/IF(SQRT(G478^2+H478^2)=0,1,SQRT(G478^2+H478^2)))</x:f>
      </x:c>
      <x:c r="F478" s="14">
        <x:f>IF(B478="","", D478 + $F$12*$F$9*(G478)/IF(SQRT(G478^2+H478^2)=0,1,SQRT(G478^2+H478^2)))</x:f>
      </x:c>
      <x:c r="G478" s="14">
        <x:f>IF(B478="","", -$F$8*SIN(B478) - $B$7*$F$6*SIN($F$6*B478))</x:f>
      </x:c>
      <x:c r="H478" s="14">
        <x:f>IF(B478="","", $F$8*COS(B478) - $B$7*$F$6*COS($F$6*B478))</x:f>
      </x:c>
    </x:row>
    <x:row r="479">
      <x:c r="A479" s="13" t="n">
        <x:v>460</x:v>
      </x:c>
      <x:c r="B479" s="14">
        <x:f>IF($B$12&lt;460,"",$B$13+(460-1)*($B$14-$B$13)/($B$12-1))</x:f>
      </x:c>
      <x:c r="C479" s="14">
        <x:f>IF(B479="","",$F$8*COS(B479) + $B$7*COS($F$6*B479))</x:f>
      </x:c>
      <x:c r="D479" s="14">
        <x:f>IF(B479="","",$F$8*SIN(B479) - $B$7*SIN($F$6*B479))</x:f>
      </x:c>
      <x:c r="E479" s="14">
        <x:f>IF(B479="","", C479 + $F$12*$F$9*(-H479)/IF(SQRT(G479^2+H479^2)=0,1,SQRT(G479^2+H479^2)))</x:f>
      </x:c>
      <x:c r="F479" s="14">
        <x:f>IF(B479="","", D479 + $F$12*$F$9*(G479)/IF(SQRT(G479^2+H479^2)=0,1,SQRT(G479^2+H479^2)))</x:f>
      </x:c>
      <x:c r="G479" s="14">
        <x:f>IF(B479="","", -$F$8*SIN(B479) - $B$7*$F$6*SIN($F$6*B479))</x:f>
      </x:c>
      <x:c r="H479" s="14">
        <x:f>IF(B479="","", $F$8*COS(B479) - $B$7*$F$6*COS($F$6*B479))</x:f>
      </x:c>
    </x:row>
    <x:row r="480">
      <x:c r="A480" s="13" t="n">
        <x:v>461</x:v>
      </x:c>
      <x:c r="B480" s="14">
        <x:f>IF($B$12&lt;461,"",$B$13+(461-1)*($B$14-$B$13)/($B$12-1))</x:f>
      </x:c>
      <x:c r="C480" s="14">
        <x:f>IF(B480="","",$F$8*COS(B480) + $B$7*COS($F$6*B480))</x:f>
      </x:c>
      <x:c r="D480" s="14">
        <x:f>IF(B480="","",$F$8*SIN(B480) - $B$7*SIN($F$6*B480))</x:f>
      </x:c>
      <x:c r="E480" s="14">
        <x:f>IF(B480="","", C480 + $F$12*$F$9*(-H480)/IF(SQRT(G480^2+H480^2)=0,1,SQRT(G480^2+H480^2)))</x:f>
      </x:c>
      <x:c r="F480" s="14">
        <x:f>IF(B480="","", D480 + $F$12*$F$9*(G480)/IF(SQRT(G480^2+H480^2)=0,1,SQRT(G480^2+H480^2)))</x:f>
      </x:c>
      <x:c r="G480" s="14">
        <x:f>IF(B480="","", -$F$8*SIN(B480) - $B$7*$F$6*SIN($F$6*B480))</x:f>
      </x:c>
      <x:c r="H480" s="14">
        <x:f>IF(B480="","", $F$8*COS(B480) - $B$7*$F$6*COS($F$6*B480))</x:f>
      </x:c>
    </x:row>
    <x:row r="481">
      <x:c r="A481" s="13" t="n">
        <x:v>462</x:v>
      </x:c>
      <x:c r="B481" s="14">
        <x:f>IF($B$12&lt;462,"",$B$13+(462-1)*($B$14-$B$13)/($B$12-1))</x:f>
      </x:c>
      <x:c r="C481" s="14">
        <x:f>IF(B481="","",$F$8*COS(B481) + $B$7*COS($F$6*B481))</x:f>
      </x:c>
      <x:c r="D481" s="14">
        <x:f>IF(B481="","",$F$8*SIN(B481) - $B$7*SIN($F$6*B481))</x:f>
      </x:c>
      <x:c r="E481" s="14">
        <x:f>IF(B481="","", C481 + $F$12*$F$9*(-H481)/IF(SQRT(G481^2+H481^2)=0,1,SQRT(G481^2+H481^2)))</x:f>
      </x:c>
      <x:c r="F481" s="14">
        <x:f>IF(B481="","", D481 + $F$12*$F$9*(G481)/IF(SQRT(G481^2+H481^2)=0,1,SQRT(G481^2+H481^2)))</x:f>
      </x:c>
      <x:c r="G481" s="14">
        <x:f>IF(B481="","", -$F$8*SIN(B481) - $B$7*$F$6*SIN($F$6*B481))</x:f>
      </x:c>
      <x:c r="H481" s="14">
        <x:f>IF(B481="","", $F$8*COS(B481) - $B$7*$F$6*COS($F$6*B481))</x:f>
      </x:c>
    </x:row>
    <x:row r="482">
      <x:c r="A482" s="13" t="n">
        <x:v>463</x:v>
      </x:c>
      <x:c r="B482" s="14">
        <x:f>IF($B$12&lt;463,"",$B$13+(463-1)*($B$14-$B$13)/($B$12-1))</x:f>
      </x:c>
      <x:c r="C482" s="14">
        <x:f>IF(B482="","",$F$8*COS(B482) + $B$7*COS($F$6*B482))</x:f>
      </x:c>
      <x:c r="D482" s="14">
        <x:f>IF(B482="","",$F$8*SIN(B482) - $B$7*SIN($F$6*B482))</x:f>
      </x:c>
      <x:c r="E482" s="14">
        <x:f>IF(B482="","", C482 + $F$12*$F$9*(-H482)/IF(SQRT(G482^2+H482^2)=0,1,SQRT(G482^2+H482^2)))</x:f>
      </x:c>
      <x:c r="F482" s="14">
        <x:f>IF(B482="","", D482 + $F$12*$F$9*(G482)/IF(SQRT(G482^2+H482^2)=0,1,SQRT(G482^2+H482^2)))</x:f>
      </x:c>
      <x:c r="G482" s="14">
        <x:f>IF(B482="","", -$F$8*SIN(B482) - $B$7*$F$6*SIN($F$6*B482))</x:f>
      </x:c>
      <x:c r="H482" s="14">
        <x:f>IF(B482="","", $F$8*COS(B482) - $B$7*$F$6*COS($F$6*B482))</x:f>
      </x:c>
    </x:row>
    <x:row r="483">
      <x:c r="A483" s="13" t="n">
        <x:v>464</x:v>
      </x:c>
      <x:c r="B483" s="14">
        <x:f>IF($B$12&lt;464,"",$B$13+(464-1)*($B$14-$B$13)/($B$12-1))</x:f>
      </x:c>
      <x:c r="C483" s="14">
        <x:f>IF(B483="","",$F$8*COS(B483) + $B$7*COS($F$6*B483))</x:f>
      </x:c>
      <x:c r="D483" s="14">
        <x:f>IF(B483="","",$F$8*SIN(B483) - $B$7*SIN($F$6*B483))</x:f>
      </x:c>
      <x:c r="E483" s="14">
        <x:f>IF(B483="","", C483 + $F$12*$F$9*(-H483)/IF(SQRT(G483^2+H483^2)=0,1,SQRT(G483^2+H483^2)))</x:f>
      </x:c>
      <x:c r="F483" s="14">
        <x:f>IF(B483="","", D483 + $F$12*$F$9*(G483)/IF(SQRT(G483^2+H483^2)=0,1,SQRT(G483^2+H483^2)))</x:f>
      </x:c>
      <x:c r="G483" s="14">
        <x:f>IF(B483="","", -$F$8*SIN(B483) - $B$7*$F$6*SIN($F$6*B483))</x:f>
      </x:c>
      <x:c r="H483" s="14">
        <x:f>IF(B483="","", $F$8*COS(B483) - $B$7*$F$6*COS($F$6*B483))</x:f>
      </x:c>
    </x:row>
    <x:row r="484">
      <x:c r="A484" s="13" t="n">
        <x:v>465</x:v>
      </x:c>
      <x:c r="B484" s="14">
        <x:f>IF($B$12&lt;465,"",$B$13+(465-1)*($B$14-$B$13)/($B$12-1))</x:f>
      </x:c>
      <x:c r="C484" s="14">
        <x:f>IF(B484="","",$F$8*COS(B484) + $B$7*COS($F$6*B484))</x:f>
      </x:c>
      <x:c r="D484" s="14">
        <x:f>IF(B484="","",$F$8*SIN(B484) - $B$7*SIN($F$6*B484))</x:f>
      </x:c>
      <x:c r="E484" s="14">
        <x:f>IF(B484="","", C484 + $F$12*$F$9*(-H484)/IF(SQRT(G484^2+H484^2)=0,1,SQRT(G484^2+H484^2)))</x:f>
      </x:c>
      <x:c r="F484" s="14">
        <x:f>IF(B484="","", D484 + $F$12*$F$9*(G484)/IF(SQRT(G484^2+H484^2)=0,1,SQRT(G484^2+H484^2)))</x:f>
      </x:c>
      <x:c r="G484" s="14">
        <x:f>IF(B484="","", -$F$8*SIN(B484) - $B$7*$F$6*SIN($F$6*B484))</x:f>
      </x:c>
      <x:c r="H484" s="14">
        <x:f>IF(B484="","", $F$8*COS(B484) - $B$7*$F$6*COS($F$6*B484))</x:f>
      </x:c>
    </x:row>
    <x:row r="485">
      <x:c r="A485" s="13" t="n">
        <x:v>466</x:v>
      </x:c>
      <x:c r="B485" s="14">
        <x:f>IF($B$12&lt;466,"",$B$13+(466-1)*($B$14-$B$13)/($B$12-1))</x:f>
      </x:c>
      <x:c r="C485" s="14">
        <x:f>IF(B485="","",$F$8*COS(B485) + $B$7*COS($F$6*B485))</x:f>
      </x:c>
      <x:c r="D485" s="14">
        <x:f>IF(B485="","",$F$8*SIN(B485) - $B$7*SIN($F$6*B485))</x:f>
      </x:c>
      <x:c r="E485" s="14">
        <x:f>IF(B485="","", C485 + $F$12*$F$9*(-H485)/IF(SQRT(G485^2+H485^2)=0,1,SQRT(G485^2+H485^2)))</x:f>
      </x:c>
      <x:c r="F485" s="14">
        <x:f>IF(B485="","", D485 + $F$12*$F$9*(G485)/IF(SQRT(G485^2+H485^2)=0,1,SQRT(G485^2+H485^2)))</x:f>
      </x:c>
      <x:c r="G485" s="14">
        <x:f>IF(B485="","", -$F$8*SIN(B485) - $B$7*$F$6*SIN($F$6*B485))</x:f>
      </x:c>
      <x:c r="H485" s="14">
        <x:f>IF(B485="","", $F$8*COS(B485) - $B$7*$F$6*COS($F$6*B485))</x:f>
      </x:c>
    </x:row>
    <x:row r="486">
      <x:c r="A486" s="13" t="n">
        <x:v>467</x:v>
      </x:c>
      <x:c r="B486" s="14">
        <x:f>IF($B$12&lt;467,"",$B$13+(467-1)*($B$14-$B$13)/($B$12-1))</x:f>
      </x:c>
      <x:c r="C486" s="14">
        <x:f>IF(B486="","",$F$8*COS(B486) + $B$7*COS($F$6*B486))</x:f>
      </x:c>
      <x:c r="D486" s="14">
        <x:f>IF(B486="","",$F$8*SIN(B486) - $B$7*SIN($F$6*B486))</x:f>
      </x:c>
      <x:c r="E486" s="14">
        <x:f>IF(B486="","", C486 + $F$12*$F$9*(-H486)/IF(SQRT(G486^2+H486^2)=0,1,SQRT(G486^2+H486^2)))</x:f>
      </x:c>
      <x:c r="F486" s="14">
        <x:f>IF(B486="","", D486 + $F$12*$F$9*(G486)/IF(SQRT(G486^2+H486^2)=0,1,SQRT(G486^2+H486^2)))</x:f>
      </x:c>
      <x:c r="G486" s="14">
        <x:f>IF(B486="","", -$F$8*SIN(B486) - $B$7*$F$6*SIN($F$6*B486))</x:f>
      </x:c>
      <x:c r="H486" s="14">
        <x:f>IF(B486="","", $F$8*COS(B486) - $B$7*$F$6*COS($F$6*B486))</x:f>
      </x:c>
    </x:row>
    <x:row r="487">
      <x:c r="A487" s="13" t="n">
        <x:v>468</x:v>
      </x:c>
      <x:c r="B487" s="14">
        <x:f>IF($B$12&lt;468,"",$B$13+(468-1)*($B$14-$B$13)/($B$12-1))</x:f>
      </x:c>
      <x:c r="C487" s="14">
        <x:f>IF(B487="","",$F$8*COS(B487) + $B$7*COS($F$6*B487))</x:f>
      </x:c>
      <x:c r="D487" s="14">
        <x:f>IF(B487="","",$F$8*SIN(B487) - $B$7*SIN($F$6*B487))</x:f>
      </x:c>
      <x:c r="E487" s="14">
        <x:f>IF(B487="","", C487 + $F$12*$F$9*(-H487)/IF(SQRT(G487^2+H487^2)=0,1,SQRT(G487^2+H487^2)))</x:f>
      </x:c>
      <x:c r="F487" s="14">
        <x:f>IF(B487="","", D487 + $F$12*$F$9*(G487)/IF(SQRT(G487^2+H487^2)=0,1,SQRT(G487^2+H487^2)))</x:f>
      </x:c>
      <x:c r="G487" s="14">
        <x:f>IF(B487="","", -$F$8*SIN(B487) - $B$7*$F$6*SIN($F$6*B487))</x:f>
      </x:c>
      <x:c r="H487" s="14">
        <x:f>IF(B487="","", $F$8*COS(B487) - $B$7*$F$6*COS($F$6*B487))</x:f>
      </x:c>
    </x:row>
    <x:row r="488">
      <x:c r="A488" s="13" t="n">
        <x:v>469</x:v>
      </x:c>
      <x:c r="B488" s="14">
        <x:f>IF($B$12&lt;469,"",$B$13+(469-1)*($B$14-$B$13)/($B$12-1))</x:f>
      </x:c>
      <x:c r="C488" s="14">
        <x:f>IF(B488="","",$F$8*COS(B488) + $B$7*COS($F$6*B488))</x:f>
      </x:c>
      <x:c r="D488" s="14">
        <x:f>IF(B488="","",$F$8*SIN(B488) - $B$7*SIN($F$6*B488))</x:f>
      </x:c>
      <x:c r="E488" s="14">
        <x:f>IF(B488="","", C488 + $F$12*$F$9*(-H488)/IF(SQRT(G488^2+H488^2)=0,1,SQRT(G488^2+H488^2)))</x:f>
      </x:c>
      <x:c r="F488" s="14">
        <x:f>IF(B488="","", D488 + $F$12*$F$9*(G488)/IF(SQRT(G488^2+H488^2)=0,1,SQRT(G488^2+H488^2)))</x:f>
      </x:c>
      <x:c r="G488" s="14">
        <x:f>IF(B488="","", -$F$8*SIN(B488) - $B$7*$F$6*SIN($F$6*B488))</x:f>
      </x:c>
      <x:c r="H488" s="14">
        <x:f>IF(B488="","", $F$8*COS(B488) - $B$7*$F$6*COS($F$6*B488))</x:f>
      </x:c>
    </x:row>
    <x:row r="489">
      <x:c r="A489" s="13" t="n">
        <x:v>470</x:v>
      </x:c>
      <x:c r="B489" s="14">
        <x:f>IF($B$12&lt;470,"",$B$13+(470-1)*($B$14-$B$13)/($B$12-1))</x:f>
      </x:c>
      <x:c r="C489" s="14">
        <x:f>IF(B489="","",$F$8*COS(B489) + $B$7*COS($F$6*B489))</x:f>
      </x:c>
      <x:c r="D489" s="14">
        <x:f>IF(B489="","",$F$8*SIN(B489) - $B$7*SIN($F$6*B489))</x:f>
      </x:c>
      <x:c r="E489" s="14">
        <x:f>IF(B489="","", C489 + $F$12*$F$9*(-H489)/IF(SQRT(G489^2+H489^2)=0,1,SQRT(G489^2+H489^2)))</x:f>
      </x:c>
      <x:c r="F489" s="14">
        <x:f>IF(B489="","", D489 + $F$12*$F$9*(G489)/IF(SQRT(G489^2+H489^2)=0,1,SQRT(G489^2+H489^2)))</x:f>
      </x:c>
      <x:c r="G489" s="14">
        <x:f>IF(B489="","", -$F$8*SIN(B489) - $B$7*$F$6*SIN($F$6*B489))</x:f>
      </x:c>
      <x:c r="H489" s="14">
        <x:f>IF(B489="","", $F$8*COS(B489) - $B$7*$F$6*COS($F$6*B489))</x:f>
      </x:c>
    </x:row>
    <x:row r="490">
      <x:c r="A490" s="13" t="n">
        <x:v>471</x:v>
      </x:c>
      <x:c r="B490" s="14">
        <x:f>IF($B$12&lt;471,"",$B$13+(471-1)*($B$14-$B$13)/($B$12-1))</x:f>
      </x:c>
      <x:c r="C490" s="14">
        <x:f>IF(B490="","",$F$8*COS(B490) + $B$7*COS($F$6*B490))</x:f>
      </x:c>
      <x:c r="D490" s="14">
        <x:f>IF(B490="","",$F$8*SIN(B490) - $B$7*SIN($F$6*B490))</x:f>
      </x:c>
      <x:c r="E490" s="14">
        <x:f>IF(B490="","", C490 + $F$12*$F$9*(-H490)/IF(SQRT(G490^2+H490^2)=0,1,SQRT(G490^2+H490^2)))</x:f>
      </x:c>
      <x:c r="F490" s="14">
        <x:f>IF(B490="","", D490 + $F$12*$F$9*(G490)/IF(SQRT(G490^2+H490^2)=0,1,SQRT(G490^2+H490^2)))</x:f>
      </x:c>
      <x:c r="G490" s="14">
        <x:f>IF(B490="","", -$F$8*SIN(B490) - $B$7*$F$6*SIN($F$6*B490))</x:f>
      </x:c>
      <x:c r="H490" s="14">
        <x:f>IF(B490="","", $F$8*COS(B490) - $B$7*$F$6*COS($F$6*B490))</x:f>
      </x:c>
    </x:row>
    <x:row r="491">
      <x:c r="A491" s="13" t="n">
        <x:v>472</x:v>
      </x:c>
      <x:c r="B491" s="14">
        <x:f>IF($B$12&lt;472,"",$B$13+(472-1)*($B$14-$B$13)/($B$12-1))</x:f>
      </x:c>
      <x:c r="C491" s="14">
        <x:f>IF(B491="","",$F$8*COS(B491) + $B$7*COS($F$6*B491))</x:f>
      </x:c>
      <x:c r="D491" s="14">
        <x:f>IF(B491="","",$F$8*SIN(B491) - $B$7*SIN($F$6*B491))</x:f>
      </x:c>
      <x:c r="E491" s="14">
        <x:f>IF(B491="","", C491 + $F$12*$F$9*(-H491)/IF(SQRT(G491^2+H491^2)=0,1,SQRT(G491^2+H491^2)))</x:f>
      </x:c>
      <x:c r="F491" s="14">
        <x:f>IF(B491="","", D491 + $F$12*$F$9*(G491)/IF(SQRT(G491^2+H491^2)=0,1,SQRT(G491^2+H491^2)))</x:f>
      </x:c>
      <x:c r="G491" s="14">
        <x:f>IF(B491="","", -$F$8*SIN(B491) - $B$7*$F$6*SIN($F$6*B491))</x:f>
      </x:c>
      <x:c r="H491" s="14">
        <x:f>IF(B491="","", $F$8*COS(B491) - $B$7*$F$6*COS($F$6*B491))</x:f>
      </x:c>
    </x:row>
    <x:row r="492">
      <x:c r="A492" s="13" t="n">
        <x:v>473</x:v>
      </x:c>
      <x:c r="B492" s="14">
        <x:f>IF($B$12&lt;473,"",$B$13+(473-1)*($B$14-$B$13)/($B$12-1))</x:f>
      </x:c>
      <x:c r="C492" s="14">
        <x:f>IF(B492="","",$F$8*COS(B492) + $B$7*COS($F$6*B492))</x:f>
      </x:c>
      <x:c r="D492" s="14">
        <x:f>IF(B492="","",$F$8*SIN(B492) - $B$7*SIN($F$6*B492))</x:f>
      </x:c>
      <x:c r="E492" s="14">
        <x:f>IF(B492="","", C492 + $F$12*$F$9*(-H492)/IF(SQRT(G492^2+H492^2)=0,1,SQRT(G492^2+H492^2)))</x:f>
      </x:c>
      <x:c r="F492" s="14">
        <x:f>IF(B492="","", D492 + $F$12*$F$9*(G492)/IF(SQRT(G492^2+H492^2)=0,1,SQRT(G492^2+H492^2)))</x:f>
      </x:c>
      <x:c r="G492" s="14">
        <x:f>IF(B492="","", -$F$8*SIN(B492) - $B$7*$F$6*SIN($F$6*B492))</x:f>
      </x:c>
      <x:c r="H492" s="14">
        <x:f>IF(B492="","", $F$8*COS(B492) - $B$7*$F$6*COS($F$6*B492))</x:f>
      </x:c>
    </x:row>
    <x:row r="493">
      <x:c r="A493" s="13" t="n">
        <x:v>474</x:v>
      </x:c>
      <x:c r="B493" s="14">
        <x:f>IF($B$12&lt;474,"",$B$13+(474-1)*($B$14-$B$13)/($B$12-1))</x:f>
      </x:c>
      <x:c r="C493" s="14">
        <x:f>IF(B493="","",$F$8*COS(B493) + $B$7*COS($F$6*B493))</x:f>
      </x:c>
      <x:c r="D493" s="14">
        <x:f>IF(B493="","",$F$8*SIN(B493) - $B$7*SIN($F$6*B493))</x:f>
      </x:c>
      <x:c r="E493" s="14">
        <x:f>IF(B493="","", C493 + $F$12*$F$9*(-H493)/IF(SQRT(G493^2+H493^2)=0,1,SQRT(G493^2+H493^2)))</x:f>
      </x:c>
      <x:c r="F493" s="14">
        <x:f>IF(B493="","", D493 + $F$12*$F$9*(G493)/IF(SQRT(G493^2+H493^2)=0,1,SQRT(G493^2+H493^2)))</x:f>
      </x:c>
      <x:c r="G493" s="14">
        <x:f>IF(B493="","", -$F$8*SIN(B493) - $B$7*$F$6*SIN($F$6*B493))</x:f>
      </x:c>
      <x:c r="H493" s="14">
        <x:f>IF(B493="","", $F$8*COS(B493) - $B$7*$F$6*COS($F$6*B493))</x:f>
      </x:c>
    </x:row>
    <x:row r="494">
      <x:c r="A494" s="13" t="n">
        <x:v>475</x:v>
      </x:c>
      <x:c r="B494" s="14">
        <x:f>IF($B$12&lt;475,"",$B$13+(475-1)*($B$14-$B$13)/($B$12-1))</x:f>
      </x:c>
      <x:c r="C494" s="14">
        <x:f>IF(B494="","",$F$8*COS(B494) + $B$7*COS($F$6*B494))</x:f>
      </x:c>
      <x:c r="D494" s="14">
        <x:f>IF(B494="","",$F$8*SIN(B494) - $B$7*SIN($F$6*B494))</x:f>
      </x:c>
      <x:c r="E494" s="14">
        <x:f>IF(B494="","", C494 + $F$12*$F$9*(-H494)/IF(SQRT(G494^2+H494^2)=0,1,SQRT(G494^2+H494^2)))</x:f>
      </x:c>
      <x:c r="F494" s="14">
        <x:f>IF(B494="","", D494 + $F$12*$F$9*(G494)/IF(SQRT(G494^2+H494^2)=0,1,SQRT(G494^2+H494^2)))</x:f>
      </x:c>
      <x:c r="G494" s="14">
        <x:f>IF(B494="","", -$F$8*SIN(B494) - $B$7*$F$6*SIN($F$6*B494))</x:f>
      </x:c>
      <x:c r="H494" s="14">
        <x:f>IF(B494="","", $F$8*COS(B494) - $B$7*$F$6*COS($F$6*B494))</x:f>
      </x:c>
    </x:row>
    <x:row r="495">
      <x:c r="A495" s="13" t="n">
        <x:v>476</x:v>
      </x:c>
      <x:c r="B495" s="14">
        <x:f>IF($B$12&lt;476,"",$B$13+(476-1)*($B$14-$B$13)/($B$12-1))</x:f>
      </x:c>
      <x:c r="C495" s="14">
        <x:f>IF(B495="","",$F$8*COS(B495) + $B$7*COS($F$6*B495))</x:f>
      </x:c>
      <x:c r="D495" s="14">
        <x:f>IF(B495="","",$F$8*SIN(B495) - $B$7*SIN($F$6*B495))</x:f>
      </x:c>
      <x:c r="E495" s="14">
        <x:f>IF(B495="","", C495 + $F$12*$F$9*(-H495)/IF(SQRT(G495^2+H495^2)=0,1,SQRT(G495^2+H495^2)))</x:f>
      </x:c>
      <x:c r="F495" s="14">
        <x:f>IF(B495="","", D495 + $F$12*$F$9*(G495)/IF(SQRT(G495^2+H495^2)=0,1,SQRT(G495^2+H495^2)))</x:f>
      </x:c>
      <x:c r="G495" s="14">
        <x:f>IF(B495="","", -$F$8*SIN(B495) - $B$7*$F$6*SIN($F$6*B495))</x:f>
      </x:c>
      <x:c r="H495" s="14">
        <x:f>IF(B495="","", $F$8*COS(B495) - $B$7*$F$6*COS($F$6*B495))</x:f>
      </x:c>
    </x:row>
    <x:row r="496">
      <x:c r="A496" s="13" t="n">
        <x:v>477</x:v>
      </x:c>
      <x:c r="B496" s="14">
        <x:f>IF($B$12&lt;477,"",$B$13+(477-1)*($B$14-$B$13)/($B$12-1))</x:f>
      </x:c>
      <x:c r="C496" s="14">
        <x:f>IF(B496="","",$F$8*COS(B496) + $B$7*COS($F$6*B496))</x:f>
      </x:c>
      <x:c r="D496" s="14">
        <x:f>IF(B496="","",$F$8*SIN(B496) - $B$7*SIN($F$6*B496))</x:f>
      </x:c>
      <x:c r="E496" s="14">
        <x:f>IF(B496="","", C496 + $F$12*$F$9*(-H496)/IF(SQRT(G496^2+H496^2)=0,1,SQRT(G496^2+H496^2)))</x:f>
      </x:c>
      <x:c r="F496" s="14">
        <x:f>IF(B496="","", D496 + $F$12*$F$9*(G496)/IF(SQRT(G496^2+H496^2)=0,1,SQRT(G496^2+H496^2)))</x:f>
      </x:c>
      <x:c r="G496" s="14">
        <x:f>IF(B496="","", -$F$8*SIN(B496) - $B$7*$F$6*SIN($F$6*B496))</x:f>
      </x:c>
      <x:c r="H496" s="14">
        <x:f>IF(B496="","", $F$8*COS(B496) - $B$7*$F$6*COS($F$6*B496))</x:f>
      </x:c>
    </x:row>
    <x:row r="497">
      <x:c r="A497" s="13" t="n">
        <x:v>478</x:v>
      </x:c>
      <x:c r="B497" s="14">
        <x:f>IF($B$12&lt;478,"",$B$13+(478-1)*($B$14-$B$13)/($B$12-1))</x:f>
      </x:c>
      <x:c r="C497" s="14">
        <x:f>IF(B497="","",$F$8*COS(B497) + $B$7*COS($F$6*B497))</x:f>
      </x:c>
      <x:c r="D497" s="14">
        <x:f>IF(B497="","",$F$8*SIN(B497) - $B$7*SIN($F$6*B497))</x:f>
      </x:c>
      <x:c r="E497" s="14">
        <x:f>IF(B497="","", C497 + $F$12*$F$9*(-H497)/IF(SQRT(G497^2+H497^2)=0,1,SQRT(G497^2+H497^2)))</x:f>
      </x:c>
      <x:c r="F497" s="14">
        <x:f>IF(B497="","", D497 + $F$12*$F$9*(G497)/IF(SQRT(G497^2+H497^2)=0,1,SQRT(G497^2+H497^2)))</x:f>
      </x:c>
      <x:c r="G497" s="14">
        <x:f>IF(B497="","", -$F$8*SIN(B497) - $B$7*$F$6*SIN($F$6*B497))</x:f>
      </x:c>
      <x:c r="H497" s="14">
        <x:f>IF(B497="","", $F$8*COS(B497) - $B$7*$F$6*COS($F$6*B497))</x:f>
      </x:c>
    </x:row>
    <x:row r="498">
      <x:c r="A498" s="13" t="n">
        <x:v>479</x:v>
      </x:c>
      <x:c r="B498" s="14">
        <x:f>IF($B$12&lt;479,"",$B$13+(479-1)*($B$14-$B$13)/($B$12-1))</x:f>
      </x:c>
      <x:c r="C498" s="14">
        <x:f>IF(B498="","",$F$8*COS(B498) + $B$7*COS($F$6*B498))</x:f>
      </x:c>
      <x:c r="D498" s="14">
        <x:f>IF(B498="","",$F$8*SIN(B498) - $B$7*SIN($F$6*B498))</x:f>
      </x:c>
      <x:c r="E498" s="14">
        <x:f>IF(B498="","", C498 + $F$12*$F$9*(-H498)/IF(SQRT(G498^2+H498^2)=0,1,SQRT(G498^2+H498^2)))</x:f>
      </x:c>
      <x:c r="F498" s="14">
        <x:f>IF(B498="","", D498 + $F$12*$F$9*(G498)/IF(SQRT(G498^2+H498^2)=0,1,SQRT(G498^2+H498^2)))</x:f>
      </x:c>
      <x:c r="G498" s="14">
        <x:f>IF(B498="","", -$F$8*SIN(B498) - $B$7*$F$6*SIN($F$6*B498))</x:f>
      </x:c>
      <x:c r="H498" s="14">
        <x:f>IF(B498="","", $F$8*COS(B498) - $B$7*$F$6*COS($F$6*B498))</x:f>
      </x:c>
    </x:row>
    <x:row r="499">
      <x:c r="A499" s="13" t="n">
        <x:v>480</x:v>
      </x:c>
      <x:c r="B499" s="14">
        <x:f>IF($B$12&lt;480,"",$B$13+(480-1)*($B$14-$B$13)/($B$12-1))</x:f>
      </x:c>
      <x:c r="C499" s="14">
        <x:f>IF(B499="","",$F$8*COS(B499) + $B$7*COS($F$6*B499))</x:f>
      </x:c>
      <x:c r="D499" s="14">
        <x:f>IF(B499="","",$F$8*SIN(B499) - $B$7*SIN($F$6*B499))</x:f>
      </x:c>
      <x:c r="E499" s="14">
        <x:f>IF(B499="","", C499 + $F$12*$F$9*(-H499)/IF(SQRT(G499^2+H499^2)=0,1,SQRT(G499^2+H499^2)))</x:f>
      </x:c>
      <x:c r="F499" s="14">
        <x:f>IF(B499="","", D499 + $F$12*$F$9*(G499)/IF(SQRT(G499^2+H499^2)=0,1,SQRT(G499^2+H499^2)))</x:f>
      </x:c>
      <x:c r="G499" s="14">
        <x:f>IF(B499="","", -$F$8*SIN(B499) - $B$7*$F$6*SIN($F$6*B499))</x:f>
      </x:c>
      <x:c r="H499" s="14">
        <x:f>IF(B499="","", $F$8*COS(B499) - $B$7*$F$6*COS($F$6*B499))</x:f>
      </x:c>
    </x:row>
    <x:row r="500">
      <x:c r="A500" s="13" t="n">
        <x:v>481</x:v>
      </x:c>
      <x:c r="B500" s="14">
        <x:f>IF($B$12&lt;481,"",$B$13+(481-1)*($B$14-$B$13)/($B$12-1))</x:f>
      </x:c>
      <x:c r="C500" s="14">
        <x:f>IF(B500="","",$F$8*COS(B500) + $B$7*COS($F$6*B500))</x:f>
      </x:c>
      <x:c r="D500" s="14">
        <x:f>IF(B500="","",$F$8*SIN(B500) - $B$7*SIN($F$6*B500))</x:f>
      </x:c>
      <x:c r="E500" s="14">
        <x:f>IF(B500="","", C500 + $F$12*$F$9*(-H500)/IF(SQRT(G500^2+H500^2)=0,1,SQRT(G500^2+H500^2)))</x:f>
      </x:c>
      <x:c r="F500" s="14">
        <x:f>IF(B500="","", D500 + $F$12*$F$9*(G500)/IF(SQRT(G500^2+H500^2)=0,1,SQRT(G500^2+H500^2)))</x:f>
      </x:c>
      <x:c r="G500" s="14">
        <x:f>IF(B500="","", -$F$8*SIN(B500) - $B$7*$F$6*SIN($F$6*B500))</x:f>
      </x:c>
      <x:c r="H500" s="14">
        <x:f>IF(B500="","", $F$8*COS(B500) - $B$7*$F$6*COS($F$6*B500))</x:f>
      </x:c>
    </x:row>
    <x:row r="501">
      <x:c r="A501" s="13" t="n">
        <x:v>482</x:v>
      </x:c>
      <x:c r="B501" s="14">
        <x:f>IF($B$12&lt;482,"",$B$13+(482-1)*($B$14-$B$13)/($B$12-1))</x:f>
      </x:c>
      <x:c r="C501" s="14">
        <x:f>IF(B501="","",$F$8*COS(B501) + $B$7*COS($F$6*B501))</x:f>
      </x:c>
      <x:c r="D501" s="14">
        <x:f>IF(B501="","",$F$8*SIN(B501) - $B$7*SIN($F$6*B501))</x:f>
      </x:c>
      <x:c r="E501" s="14">
        <x:f>IF(B501="","", C501 + $F$12*$F$9*(-H501)/IF(SQRT(G501^2+H501^2)=0,1,SQRT(G501^2+H501^2)))</x:f>
      </x:c>
      <x:c r="F501" s="14">
        <x:f>IF(B501="","", D501 + $F$12*$F$9*(G501)/IF(SQRT(G501^2+H501^2)=0,1,SQRT(G501^2+H501^2)))</x:f>
      </x:c>
      <x:c r="G501" s="14">
        <x:f>IF(B501="","", -$F$8*SIN(B501) - $B$7*$F$6*SIN($F$6*B501))</x:f>
      </x:c>
      <x:c r="H501" s="14">
        <x:f>IF(B501="","", $F$8*COS(B501) - $B$7*$F$6*COS($F$6*B501))</x:f>
      </x:c>
    </x:row>
    <x:row r="502">
      <x:c r="A502" s="13" t="n">
        <x:v>483</x:v>
      </x:c>
      <x:c r="B502" s="14">
        <x:f>IF($B$12&lt;483,"",$B$13+(483-1)*($B$14-$B$13)/($B$12-1))</x:f>
      </x:c>
      <x:c r="C502" s="14">
        <x:f>IF(B502="","",$F$8*COS(B502) + $B$7*COS($F$6*B502))</x:f>
      </x:c>
      <x:c r="D502" s="14">
        <x:f>IF(B502="","",$F$8*SIN(B502) - $B$7*SIN($F$6*B502))</x:f>
      </x:c>
      <x:c r="E502" s="14">
        <x:f>IF(B502="","", C502 + $F$12*$F$9*(-H502)/IF(SQRT(G502^2+H502^2)=0,1,SQRT(G502^2+H502^2)))</x:f>
      </x:c>
      <x:c r="F502" s="14">
        <x:f>IF(B502="","", D502 + $F$12*$F$9*(G502)/IF(SQRT(G502^2+H502^2)=0,1,SQRT(G502^2+H502^2)))</x:f>
      </x:c>
      <x:c r="G502" s="14">
        <x:f>IF(B502="","", -$F$8*SIN(B502) - $B$7*$F$6*SIN($F$6*B502))</x:f>
      </x:c>
      <x:c r="H502" s="14">
        <x:f>IF(B502="","", $F$8*COS(B502) - $B$7*$F$6*COS($F$6*B502))</x:f>
      </x:c>
    </x:row>
    <x:row r="503">
      <x:c r="A503" s="13" t="n">
        <x:v>484</x:v>
      </x:c>
      <x:c r="B503" s="14">
        <x:f>IF($B$12&lt;484,"",$B$13+(484-1)*($B$14-$B$13)/($B$12-1))</x:f>
      </x:c>
      <x:c r="C503" s="14">
        <x:f>IF(B503="","",$F$8*COS(B503) + $B$7*COS($F$6*B503))</x:f>
      </x:c>
      <x:c r="D503" s="14">
        <x:f>IF(B503="","",$F$8*SIN(B503) - $B$7*SIN($F$6*B503))</x:f>
      </x:c>
      <x:c r="E503" s="14">
        <x:f>IF(B503="","", C503 + $F$12*$F$9*(-H503)/IF(SQRT(G503^2+H503^2)=0,1,SQRT(G503^2+H503^2)))</x:f>
      </x:c>
      <x:c r="F503" s="14">
        <x:f>IF(B503="","", D503 + $F$12*$F$9*(G503)/IF(SQRT(G503^2+H503^2)=0,1,SQRT(G503^2+H503^2)))</x:f>
      </x:c>
      <x:c r="G503" s="14">
        <x:f>IF(B503="","", -$F$8*SIN(B503) - $B$7*$F$6*SIN($F$6*B503))</x:f>
      </x:c>
      <x:c r="H503" s="14">
        <x:f>IF(B503="","", $F$8*COS(B503) - $B$7*$F$6*COS($F$6*B503))</x:f>
      </x:c>
    </x:row>
    <x:row r="504">
      <x:c r="A504" s="13" t="n">
        <x:v>485</x:v>
      </x:c>
      <x:c r="B504" s="14">
        <x:f>IF($B$12&lt;485,"",$B$13+(485-1)*($B$14-$B$13)/($B$12-1))</x:f>
      </x:c>
      <x:c r="C504" s="14">
        <x:f>IF(B504="","",$F$8*COS(B504) + $B$7*COS($F$6*B504))</x:f>
      </x:c>
      <x:c r="D504" s="14">
        <x:f>IF(B504="","",$F$8*SIN(B504) - $B$7*SIN($F$6*B504))</x:f>
      </x:c>
      <x:c r="E504" s="14">
        <x:f>IF(B504="","", C504 + $F$12*$F$9*(-H504)/IF(SQRT(G504^2+H504^2)=0,1,SQRT(G504^2+H504^2)))</x:f>
      </x:c>
      <x:c r="F504" s="14">
        <x:f>IF(B504="","", D504 + $F$12*$F$9*(G504)/IF(SQRT(G504^2+H504^2)=0,1,SQRT(G504^2+H504^2)))</x:f>
      </x:c>
      <x:c r="G504" s="14">
        <x:f>IF(B504="","", -$F$8*SIN(B504) - $B$7*$F$6*SIN($F$6*B504))</x:f>
      </x:c>
      <x:c r="H504" s="14">
        <x:f>IF(B504="","", $F$8*COS(B504) - $B$7*$F$6*COS($F$6*B504))</x:f>
      </x:c>
    </x:row>
    <x:row r="505">
      <x:c r="A505" s="13" t="n">
        <x:v>486</x:v>
      </x:c>
      <x:c r="B505" s="14">
        <x:f>IF($B$12&lt;486,"",$B$13+(486-1)*($B$14-$B$13)/($B$12-1))</x:f>
      </x:c>
      <x:c r="C505" s="14">
        <x:f>IF(B505="","",$F$8*COS(B505) + $B$7*COS($F$6*B505))</x:f>
      </x:c>
      <x:c r="D505" s="14">
        <x:f>IF(B505="","",$F$8*SIN(B505) - $B$7*SIN($F$6*B505))</x:f>
      </x:c>
      <x:c r="E505" s="14">
        <x:f>IF(B505="","", C505 + $F$12*$F$9*(-H505)/IF(SQRT(G505^2+H505^2)=0,1,SQRT(G505^2+H505^2)))</x:f>
      </x:c>
      <x:c r="F505" s="14">
        <x:f>IF(B505="","", D505 + $F$12*$F$9*(G505)/IF(SQRT(G505^2+H505^2)=0,1,SQRT(G505^2+H505^2)))</x:f>
      </x:c>
      <x:c r="G505" s="14">
        <x:f>IF(B505="","", -$F$8*SIN(B505) - $B$7*$F$6*SIN($F$6*B505))</x:f>
      </x:c>
      <x:c r="H505" s="14">
        <x:f>IF(B505="","", $F$8*COS(B505) - $B$7*$F$6*COS($F$6*B505))</x:f>
      </x:c>
    </x:row>
    <x:row r="506">
      <x:c r="A506" s="13" t="n">
        <x:v>487</x:v>
      </x:c>
      <x:c r="B506" s="14">
        <x:f>IF($B$12&lt;487,"",$B$13+(487-1)*($B$14-$B$13)/($B$12-1))</x:f>
      </x:c>
      <x:c r="C506" s="14">
        <x:f>IF(B506="","",$F$8*COS(B506) + $B$7*COS($F$6*B506))</x:f>
      </x:c>
      <x:c r="D506" s="14">
        <x:f>IF(B506="","",$F$8*SIN(B506) - $B$7*SIN($F$6*B506))</x:f>
      </x:c>
      <x:c r="E506" s="14">
        <x:f>IF(B506="","", C506 + $F$12*$F$9*(-H506)/IF(SQRT(G506^2+H506^2)=0,1,SQRT(G506^2+H506^2)))</x:f>
      </x:c>
      <x:c r="F506" s="14">
        <x:f>IF(B506="","", D506 + $F$12*$F$9*(G506)/IF(SQRT(G506^2+H506^2)=0,1,SQRT(G506^2+H506^2)))</x:f>
      </x:c>
      <x:c r="G506" s="14">
        <x:f>IF(B506="","", -$F$8*SIN(B506) - $B$7*$F$6*SIN($F$6*B506))</x:f>
      </x:c>
      <x:c r="H506" s="14">
        <x:f>IF(B506="","", $F$8*COS(B506) - $B$7*$F$6*COS($F$6*B506))</x:f>
      </x:c>
    </x:row>
    <x:row r="507">
      <x:c r="A507" s="13" t="n">
        <x:v>488</x:v>
      </x:c>
      <x:c r="B507" s="14">
        <x:f>IF($B$12&lt;488,"",$B$13+(488-1)*($B$14-$B$13)/($B$12-1))</x:f>
      </x:c>
      <x:c r="C507" s="14">
        <x:f>IF(B507="","",$F$8*COS(B507) + $B$7*COS($F$6*B507))</x:f>
      </x:c>
      <x:c r="D507" s="14">
        <x:f>IF(B507="","",$F$8*SIN(B507) - $B$7*SIN($F$6*B507))</x:f>
      </x:c>
      <x:c r="E507" s="14">
        <x:f>IF(B507="","", C507 + $F$12*$F$9*(-H507)/IF(SQRT(G507^2+H507^2)=0,1,SQRT(G507^2+H507^2)))</x:f>
      </x:c>
      <x:c r="F507" s="14">
        <x:f>IF(B507="","", D507 + $F$12*$F$9*(G507)/IF(SQRT(G507^2+H507^2)=0,1,SQRT(G507^2+H507^2)))</x:f>
      </x:c>
      <x:c r="G507" s="14">
        <x:f>IF(B507="","", -$F$8*SIN(B507) - $B$7*$F$6*SIN($F$6*B507))</x:f>
      </x:c>
      <x:c r="H507" s="14">
        <x:f>IF(B507="","", $F$8*COS(B507) - $B$7*$F$6*COS($F$6*B507))</x:f>
      </x:c>
    </x:row>
    <x:row r="508">
      <x:c r="A508" s="13" t="n">
        <x:v>489</x:v>
      </x:c>
      <x:c r="B508" s="14">
        <x:f>IF($B$12&lt;489,"",$B$13+(489-1)*($B$14-$B$13)/($B$12-1))</x:f>
      </x:c>
      <x:c r="C508" s="14">
        <x:f>IF(B508="","",$F$8*COS(B508) + $B$7*COS($F$6*B508))</x:f>
      </x:c>
      <x:c r="D508" s="14">
        <x:f>IF(B508="","",$F$8*SIN(B508) - $B$7*SIN($F$6*B508))</x:f>
      </x:c>
      <x:c r="E508" s="14">
        <x:f>IF(B508="","", C508 + $F$12*$F$9*(-H508)/IF(SQRT(G508^2+H508^2)=0,1,SQRT(G508^2+H508^2)))</x:f>
      </x:c>
      <x:c r="F508" s="14">
        <x:f>IF(B508="","", D508 + $F$12*$F$9*(G508)/IF(SQRT(G508^2+H508^2)=0,1,SQRT(G508^2+H508^2)))</x:f>
      </x:c>
      <x:c r="G508" s="14">
        <x:f>IF(B508="","", -$F$8*SIN(B508) - $B$7*$F$6*SIN($F$6*B508))</x:f>
      </x:c>
      <x:c r="H508" s="14">
        <x:f>IF(B508="","", $F$8*COS(B508) - $B$7*$F$6*COS($F$6*B508))</x:f>
      </x:c>
    </x:row>
    <x:row r="509">
      <x:c r="A509" s="13" t="n">
        <x:v>490</x:v>
      </x:c>
      <x:c r="B509" s="14">
        <x:f>IF($B$12&lt;490,"",$B$13+(490-1)*($B$14-$B$13)/($B$12-1))</x:f>
      </x:c>
      <x:c r="C509" s="14">
        <x:f>IF(B509="","",$F$8*COS(B509) + $B$7*COS($F$6*B509))</x:f>
      </x:c>
      <x:c r="D509" s="14">
        <x:f>IF(B509="","",$F$8*SIN(B509) - $B$7*SIN($F$6*B509))</x:f>
      </x:c>
      <x:c r="E509" s="14">
        <x:f>IF(B509="","", C509 + $F$12*$F$9*(-H509)/IF(SQRT(G509^2+H509^2)=0,1,SQRT(G509^2+H509^2)))</x:f>
      </x:c>
      <x:c r="F509" s="14">
        <x:f>IF(B509="","", D509 + $F$12*$F$9*(G509)/IF(SQRT(G509^2+H509^2)=0,1,SQRT(G509^2+H509^2)))</x:f>
      </x:c>
      <x:c r="G509" s="14">
        <x:f>IF(B509="","", -$F$8*SIN(B509) - $B$7*$F$6*SIN($F$6*B509))</x:f>
      </x:c>
      <x:c r="H509" s="14">
        <x:f>IF(B509="","", $F$8*COS(B509) - $B$7*$F$6*COS($F$6*B509))</x:f>
      </x:c>
    </x:row>
    <x:row r="510">
      <x:c r="A510" s="13" t="n">
        <x:v>491</x:v>
      </x:c>
      <x:c r="B510" s="14">
        <x:f>IF($B$12&lt;491,"",$B$13+(491-1)*($B$14-$B$13)/($B$12-1))</x:f>
      </x:c>
      <x:c r="C510" s="14">
        <x:f>IF(B510="","",$F$8*COS(B510) + $B$7*COS($F$6*B510))</x:f>
      </x:c>
      <x:c r="D510" s="14">
        <x:f>IF(B510="","",$F$8*SIN(B510) - $B$7*SIN($F$6*B510))</x:f>
      </x:c>
      <x:c r="E510" s="14">
        <x:f>IF(B510="","", C510 + $F$12*$F$9*(-H510)/IF(SQRT(G510^2+H510^2)=0,1,SQRT(G510^2+H510^2)))</x:f>
      </x:c>
      <x:c r="F510" s="14">
        <x:f>IF(B510="","", D510 + $F$12*$F$9*(G510)/IF(SQRT(G510^2+H510^2)=0,1,SQRT(G510^2+H510^2)))</x:f>
      </x:c>
      <x:c r="G510" s="14">
        <x:f>IF(B510="","", -$F$8*SIN(B510) - $B$7*$F$6*SIN($F$6*B510))</x:f>
      </x:c>
      <x:c r="H510" s="14">
        <x:f>IF(B510="","", $F$8*COS(B510) - $B$7*$F$6*COS($F$6*B510))</x:f>
      </x:c>
    </x:row>
    <x:row r="511">
      <x:c r="A511" s="13" t="n">
        <x:v>492</x:v>
      </x:c>
      <x:c r="B511" s="14">
        <x:f>IF($B$12&lt;492,"",$B$13+(492-1)*($B$14-$B$13)/($B$12-1))</x:f>
      </x:c>
      <x:c r="C511" s="14">
        <x:f>IF(B511="","",$F$8*COS(B511) + $B$7*COS($F$6*B511))</x:f>
      </x:c>
      <x:c r="D511" s="14">
        <x:f>IF(B511="","",$F$8*SIN(B511) - $B$7*SIN($F$6*B511))</x:f>
      </x:c>
      <x:c r="E511" s="14">
        <x:f>IF(B511="","", C511 + $F$12*$F$9*(-H511)/IF(SQRT(G511^2+H511^2)=0,1,SQRT(G511^2+H511^2)))</x:f>
      </x:c>
      <x:c r="F511" s="14">
        <x:f>IF(B511="","", D511 + $F$12*$F$9*(G511)/IF(SQRT(G511^2+H511^2)=0,1,SQRT(G511^2+H511^2)))</x:f>
      </x:c>
      <x:c r="G511" s="14">
        <x:f>IF(B511="","", -$F$8*SIN(B511) - $B$7*$F$6*SIN($F$6*B511))</x:f>
      </x:c>
      <x:c r="H511" s="14">
        <x:f>IF(B511="","", $F$8*COS(B511) - $B$7*$F$6*COS($F$6*B511))</x:f>
      </x:c>
    </x:row>
    <x:row r="512">
      <x:c r="A512" s="13" t="n">
        <x:v>493</x:v>
      </x:c>
      <x:c r="B512" s="14">
        <x:f>IF($B$12&lt;493,"",$B$13+(493-1)*($B$14-$B$13)/($B$12-1))</x:f>
      </x:c>
      <x:c r="C512" s="14">
        <x:f>IF(B512="","",$F$8*COS(B512) + $B$7*COS($F$6*B512))</x:f>
      </x:c>
      <x:c r="D512" s="14">
        <x:f>IF(B512="","",$F$8*SIN(B512) - $B$7*SIN($F$6*B512))</x:f>
      </x:c>
      <x:c r="E512" s="14">
        <x:f>IF(B512="","", C512 + $F$12*$F$9*(-H512)/IF(SQRT(G512^2+H512^2)=0,1,SQRT(G512^2+H512^2)))</x:f>
      </x:c>
      <x:c r="F512" s="14">
        <x:f>IF(B512="","", D512 + $F$12*$F$9*(G512)/IF(SQRT(G512^2+H512^2)=0,1,SQRT(G512^2+H512^2)))</x:f>
      </x:c>
      <x:c r="G512" s="14">
        <x:f>IF(B512="","", -$F$8*SIN(B512) - $B$7*$F$6*SIN($F$6*B512))</x:f>
      </x:c>
      <x:c r="H512" s="14">
        <x:f>IF(B512="","", $F$8*COS(B512) - $B$7*$F$6*COS($F$6*B512))</x:f>
      </x:c>
    </x:row>
    <x:row r="513">
      <x:c r="A513" s="13" t="n">
        <x:v>494</x:v>
      </x:c>
      <x:c r="B513" s="14">
        <x:f>IF($B$12&lt;494,"",$B$13+(494-1)*($B$14-$B$13)/($B$12-1))</x:f>
      </x:c>
      <x:c r="C513" s="14">
        <x:f>IF(B513="","",$F$8*COS(B513) + $B$7*COS($F$6*B513))</x:f>
      </x:c>
      <x:c r="D513" s="14">
        <x:f>IF(B513="","",$F$8*SIN(B513) - $B$7*SIN($F$6*B513))</x:f>
      </x:c>
      <x:c r="E513" s="14">
        <x:f>IF(B513="","", C513 + $F$12*$F$9*(-H513)/IF(SQRT(G513^2+H513^2)=0,1,SQRT(G513^2+H513^2)))</x:f>
      </x:c>
      <x:c r="F513" s="14">
        <x:f>IF(B513="","", D513 + $F$12*$F$9*(G513)/IF(SQRT(G513^2+H513^2)=0,1,SQRT(G513^2+H513^2)))</x:f>
      </x:c>
      <x:c r="G513" s="14">
        <x:f>IF(B513="","", -$F$8*SIN(B513) - $B$7*$F$6*SIN($F$6*B513))</x:f>
      </x:c>
      <x:c r="H513" s="14">
        <x:f>IF(B513="","", $F$8*COS(B513) - $B$7*$F$6*COS($F$6*B513))</x:f>
      </x:c>
    </x:row>
    <x:row r="514">
      <x:c r="A514" s="13" t="n">
        <x:v>495</x:v>
      </x:c>
      <x:c r="B514" s="14">
        <x:f>IF($B$12&lt;495,"",$B$13+(495-1)*($B$14-$B$13)/($B$12-1))</x:f>
      </x:c>
      <x:c r="C514" s="14">
        <x:f>IF(B514="","",$F$8*COS(B514) + $B$7*COS($F$6*B514))</x:f>
      </x:c>
      <x:c r="D514" s="14">
        <x:f>IF(B514="","",$F$8*SIN(B514) - $B$7*SIN($F$6*B514))</x:f>
      </x:c>
      <x:c r="E514" s="14">
        <x:f>IF(B514="","", C514 + $F$12*$F$9*(-H514)/IF(SQRT(G514^2+H514^2)=0,1,SQRT(G514^2+H514^2)))</x:f>
      </x:c>
      <x:c r="F514" s="14">
        <x:f>IF(B514="","", D514 + $F$12*$F$9*(G514)/IF(SQRT(G514^2+H514^2)=0,1,SQRT(G514^2+H514^2)))</x:f>
      </x:c>
      <x:c r="G514" s="14">
        <x:f>IF(B514="","", -$F$8*SIN(B514) - $B$7*$F$6*SIN($F$6*B514))</x:f>
      </x:c>
      <x:c r="H514" s="14">
        <x:f>IF(B514="","", $F$8*COS(B514) - $B$7*$F$6*COS($F$6*B514))</x:f>
      </x:c>
    </x:row>
    <x:row r="515">
      <x:c r="A515" s="13" t="n">
        <x:v>496</x:v>
      </x:c>
      <x:c r="B515" s="14">
        <x:f>IF($B$12&lt;496,"",$B$13+(496-1)*($B$14-$B$13)/($B$12-1))</x:f>
      </x:c>
      <x:c r="C515" s="14">
        <x:f>IF(B515="","",$F$8*COS(B515) + $B$7*COS($F$6*B515))</x:f>
      </x:c>
      <x:c r="D515" s="14">
        <x:f>IF(B515="","",$F$8*SIN(B515) - $B$7*SIN($F$6*B515))</x:f>
      </x:c>
      <x:c r="E515" s="14">
        <x:f>IF(B515="","", C515 + $F$12*$F$9*(-H515)/IF(SQRT(G515^2+H515^2)=0,1,SQRT(G515^2+H515^2)))</x:f>
      </x:c>
      <x:c r="F515" s="14">
        <x:f>IF(B515="","", D515 + $F$12*$F$9*(G515)/IF(SQRT(G515^2+H515^2)=0,1,SQRT(G515^2+H515^2)))</x:f>
      </x:c>
      <x:c r="G515" s="14">
        <x:f>IF(B515="","", -$F$8*SIN(B515) - $B$7*$F$6*SIN($F$6*B515))</x:f>
      </x:c>
      <x:c r="H515" s="14">
        <x:f>IF(B515="","", $F$8*COS(B515) - $B$7*$F$6*COS($F$6*B515))</x:f>
      </x:c>
    </x:row>
    <x:row r="516">
      <x:c r="A516" s="13" t="n">
        <x:v>497</x:v>
      </x:c>
      <x:c r="B516" s="14">
        <x:f>IF($B$12&lt;497,"",$B$13+(497-1)*($B$14-$B$13)/($B$12-1))</x:f>
      </x:c>
      <x:c r="C516" s="14">
        <x:f>IF(B516="","",$F$8*COS(B516) + $B$7*COS($F$6*B516))</x:f>
      </x:c>
      <x:c r="D516" s="14">
        <x:f>IF(B516="","",$F$8*SIN(B516) - $B$7*SIN($F$6*B516))</x:f>
      </x:c>
      <x:c r="E516" s="14">
        <x:f>IF(B516="","", C516 + $F$12*$F$9*(-H516)/IF(SQRT(G516^2+H516^2)=0,1,SQRT(G516^2+H516^2)))</x:f>
      </x:c>
      <x:c r="F516" s="14">
        <x:f>IF(B516="","", D516 + $F$12*$F$9*(G516)/IF(SQRT(G516^2+H516^2)=0,1,SQRT(G516^2+H516^2)))</x:f>
      </x:c>
      <x:c r="G516" s="14">
        <x:f>IF(B516="","", -$F$8*SIN(B516) - $B$7*$F$6*SIN($F$6*B516))</x:f>
      </x:c>
      <x:c r="H516" s="14">
        <x:f>IF(B516="","", $F$8*COS(B516) - $B$7*$F$6*COS($F$6*B516))</x:f>
      </x:c>
    </x:row>
    <x:row r="517">
      <x:c r="A517" s="13" t="n">
        <x:v>498</x:v>
      </x:c>
      <x:c r="B517" s="14">
        <x:f>IF($B$12&lt;498,"",$B$13+(498-1)*($B$14-$B$13)/($B$12-1))</x:f>
      </x:c>
      <x:c r="C517" s="14">
        <x:f>IF(B517="","",$F$8*COS(B517) + $B$7*COS($F$6*B517))</x:f>
      </x:c>
      <x:c r="D517" s="14">
        <x:f>IF(B517="","",$F$8*SIN(B517) - $B$7*SIN($F$6*B517))</x:f>
      </x:c>
      <x:c r="E517" s="14">
        <x:f>IF(B517="","", C517 + $F$12*$F$9*(-H517)/IF(SQRT(G517^2+H517^2)=0,1,SQRT(G517^2+H517^2)))</x:f>
      </x:c>
      <x:c r="F517" s="14">
        <x:f>IF(B517="","", D517 + $F$12*$F$9*(G517)/IF(SQRT(G517^2+H517^2)=0,1,SQRT(G517^2+H517^2)))</x:f>
      </x:c>
      <x:c r="G517" s="14">
        <x:f>IF(B517="","", -$F$8*SIN(B517) - $B$7*$F$6*SIN($F$6*B517))</x:f>
      </x:c>
      <x:c r="H517" s="14">
        <x:f>IF(B517="","", $F$8*COS(B517) - $B$7*$F$6*COS($F$6*B517))</x:f>
      </x:c>
    </x:row>
    <x:row r="518">
      <x:c r="A518" s="13" t="n">
        <x:v>499</x:v>
      </x:c>
      <x:c r="B518" s="14">
        <x:f>IF($B$12&lt;499,"",$B$13+(499-1)*($B$14-$B$13)/($B$12-1))</x:f>
      </x:c>
      <x:c r="C518" s="14">
        <x:f>IF(B518="","",$F$8*COS(B518) + $B$7*COS($F$6*B518))</x:f>
      </x:c>
      <x:c r="D518" s="14">
        <x:f>IF(B518="","",$F$8*SIN(B518) - $B$7*SIN($F$6*B518))</x:f>
      </x:c>
      <x:c r="E518" s="14">
        <x:f>IF(B518="","", C518 + $F$12*$F$9*(-H518)/IF(SQRT(G518^2+H518^2)=0,1,SQRT(G518^2+H518^2)))</x:f>
      </x:c>
      <x:c r="F518" s="14">
        <x:f>IF(B518="","", D518 + $F$12*$F$9*(G518)/IF(SQRT(G518^2+H518^2)=0,1,SQRT(G518^2+H518^2)))</x:f>
      </x:c>
      <x:c r="G518" s="14">
        <x:f>IF(B518="","", -$F$8*SIN(B518) - $B$7*$F$6*SIN($F$6*B518))</x:f>
      </x:c>
      <x:c r="H518" s="14">
        <x:f>IF(B518="","", $F$8*COS(B518) - $B$7*$F$6*COS($F$6*B518))</x:f>
      </x:c>
    </x:row>
    <x:row r="519">
      <x:c r="A519" s="13" t="n">
        <x:v>500</x:v>
      </x:c>
      <x:c r="B519" s="14">
        <x:f>IF($B$12&lt;500,"",$B$13+(500-1)*($B$14-$B$13)/($B$12-1))</x:f>
      </x:c>
      <x:c r="C519" s="14">
        <x:f>IF(B519="","",$F$8*COS(B519) + $B$7*COS($F$6*B519))</x:f>
      </x:c>
      <x:c r="D519" s="14">
        <x:f>IF(B519="","",$F$8*SIN(B519) - $B$7*SIN($F$6*B519))</x:f>
      </x:c>
      <x:c r="E519" s="14">
        <x:f>IF(B519="","", C519 + $F$12*$F$9*(-H519)/IF(SQRT(G519^2+H519^2)=0,1,SQRT(G519^2+H519^2)))</x:f>
      </x:c>
      <x:c r="F519" s="14">
        <x:f>IF(B519="","", D519 + $F$12*$F$9*(G519)/IF(SQRT(G519^2+H519^2)=0,1,SQRT(G519^2+H519^2)))</x:f>
      </x:c>
      <x:c r="G519" s="14">
        <x:f>IF(B519="","", -$F$8*SIN(B519) - $B$7*$F$6*SIN($F$6*B519))</x:f>
      </x:c>
      <x:c r="H519" s="14">
        <x:f>IF(B519="","", $F$8*COS(B519) - $B$7*$F$6*COS($F$6*B519))</x:f>
      </x:c>
    </x:row>
    <x:row r="520">
      <x:c r="A520" s="13" t="n">
        <x:v>501</x:v>
      </x:c>
      <x:c r="B520" s="14">
        <x:f>IF($B$12&lt;501,"",$B$13+(501-1)*($B$14-$B$13)/($B$12-1))</x:f>
      </x:c>
      <x:c r="C520" s="14">
        <x:f>IF(B520="","",$F$8*COS(B520) + $B$7*COS($F$6*B520))</x:f>
      </x:c>
      <x:c r="D520" s="14">
        <x:f>IF(B520="","",$F$8*SIN(B520) - $B$7*SIN($F$6*B520))</x:f>
      </x:c>
      <x:c r="E520" s="14">
        <x:f>IF(B520="","", C520 + $F$12*$F$9*(-H520)/IF(SQRT(G520^2+H520^2)=0,1,SQRT(G520^2+H520^2)))</x:f>
      </x:c>
      <x:c r="F520" s="14">
        <x:f>IF(B520="","", D520 + $F$12*$F$9*(G520)/IF(SQRT(G520^2+H520^2)=0,1,SQRT(G520^2+H520^2)))</x:f>
      </x:c>
      <x:c r="G520" s="14">
        <x:f>IF(B520="","", -$F$8*SIN(B520) - $B$7*$F$6*SIN($F$6*B520))</x:f>
      </x:c>
      <x:c r="H520" s="14">
        <x:f>IF(B520="","", $F$8*COS(B520) - $B$7*$F$6*COS($F$6*B520))</x:f>
      </x:c>
    </x:row>
    <x:row r="521">
      <x:c r="A521" s="13" t="n">
        <x:v>502</x:v>
      </x:c>
      <x:c r="B521" s="14">
        <x:f>IF($B$12&lt;502,"",$B$13+(502-1)*($B$14-$B$13)/($B$12-1))</x:f>
      </x:c>
      <x:c r="C521" s="14">
        <x:f>IF(B521="","",$F$8*COS(B521) + $B$7*COS($F$6*B521))</x:f>
      </x:c>
      <x:c r="D521" s="14">
        <x:f>IF(B521="","",$F$8*SIN(B521) - $B$7*SIN($F$6*B521))</x:f>
      </x:c>
      <x:c r="E521" s="14">
        <x:f>IF(B521="","", C521 + $F$12*$F$9*(-H521)/IF(SQRT(G521^2+H521^2)=0,1,SQRT(G521^2+H521^2)))</x:f>
      </x:c>
      <x:c r="F521" s="14">
        <x:f>IF(B521="","", D521 + $F$12*$F$9*(G521)/IF(SQRT(G521^2+H521^2)=0,1,SQRT(G521^2+H521^2)))</x:f>
      </x:c>
      <x:c r="G521" s="14">
        <x:f>IF(B521="","", -$F$8*SIN(B521) - $B$7*$F$6*SIN($F$6*B521))</x:f>
      </x:c>
      <x:c r="H521" s="14">
        <x:f>IF(B521="","", $F$8*COS(B521) - $B$7*$F$6*COS($F$6*B521))</x:f>
      </x:c>
    </x:row>
    <x:row r="522">
      <x:c r="A522" s="13" t="n">
        <x:v>503</x:v>
      </x:c>
      <x:c r="B522" s="14">
        <x:f>IF($B$12&lt;503,"",$B$13+(503-1)*($B$14-$B$13)/($B$12-1))</x:f>
      </x:c>
      <x:c r="C522" s="14">
        <x:f>IF(B522="","",$F$8*COS(B522) + $B$7*COS($F$6*B522))</x:f>
      </x:c>
      <x:c r="D522" s="14">
        <x:f>IF(B522="","",$F$8*SIN(B522) - $B$7*SIN($F$6*B522))</x:f>
      </x:c>
      <x:c r="E522" s="14">
        <x:f>IF(B522="","", C522 + $F$12*$F$9*(-H522)/IF(SQRT(G522^2+H522^2)=0,1,SQRT(G522^2+H522^2)))</x:f>
      </x:c>
      <x:c r="F522" s="14">
        <x:f>IF(B522="","", D522 + $F$12*$F$9*(G522)/IF(SQRT(G522^2+H522^2)=0,1,SQRT(G522^2+H522^2)))</x:f>
      </x:c>
      <x:c r="G522" s="14">
        <x:f>IF(B522="","", -$F$8*SIN(B522) - $B$7*$F$6*SIN($F$6*B522))</x:f>
      </x:c>
      <x:c r="H522" s="14">
        <x:f>IF(B522="","", $F$8*COS(B522) - $B$7*$F$6*COS($F$6*B522))</x:f>
      </x:c>
    </x:row>
    <x:row r="523">
      <x:c r="A523" s="13" t="n">
        <x:v>504</x:v>
      </x:c>
      <x:c r="B523" s="14">
        <x:f>IF($B$12&lt;504,"",$B$13+(504-1)*($B$14-$B$13)/($B$12-1))</x:f>
      </x:c>
      <x:c r="C523" s="14">
        <x:f>IF(B523="","",$F$8*COS(B523) + $B$7*COS($F$6*B523))</x:f>
      </x:c>
      <x:c r="D523" s="14">
        <x:f>IF(B523="","",$F$8*SIN(B523) - $B$7*SIN($F$6*B523))</x:f>
      </x:c>
      <x:c r="E523" s="14">
        <x:f>IF(B523="","", C523 + $F$12*$F$9*(-H523)/IF(SQRT(G523^2+H523^2)=0,1,SQRT(G523^2+H523^2)))</x:f>
      </x:c>
      <x:c r="F523" s="14">
        <x:f>IF(B523="","", D523 + $F$12*$F$9*(G523)/IF(SQRT(G523^2+H523^2)=0,1,SQRT(G523^2+H523^2)))</x:f>
      </x:c>
      <x:c r="G523" s="14">
        <x:f>IF(B523="","", -$F$8*SIN(B523) - $B$7*$F$6*SIN($F$6*B523))</x:f>
      </x:c>
      <x:c r="H523" s="14">
        <x:f>IF(B523="","", $F$8*COS(B523) - $B$7*$F$6*COS($F$6*B523))</x:f>
      </x:c>
    </x:row>
    <x:row r="524">
      <x:c r="A524" s="13" t="n">
        <x:v>505</x:v>
      </x:c>
      <x:c r="B524" s="14">
        <x:f>IF($B$12&lt;505,"",$B$13+(505-1)*($B$14-$B$13)/($B$12-1))</x:f>
      </x:c>
      <x:c r="C524" s="14">
        <x:f>IF(B524="","",$F$8*COS(B524) + $B$7*COS($F$6*B524))</x:f>
      </x:c>
      <x:c r="D524" s="14">
        <x:f>IF(B524="","",$F$8*SIN(B524) - $B$7*SIN($F$6*B524))</x:f>
      </x:c>
      <x:c r="E524" s="14">
        <x:f>IF(B524="","", C524 + $F$12*$F$9*(-H524)/IF(SQRT(G524^2+H524^2)=0,1,SQRT(G524^2+H524^2)))</x:f>
      </x:c>
      <x:c r="F524" s="14">
        <x:f>IF(B524="","", D524 + $F$12*$F$9*(G524)/IF(SQRT(G524^2+H524^2)=0,1,SQRT(G524^2+H524^2)))</x:f>
      </x:c>
      <x:c r="G524" s="14">
        <x:f>IF(B524="","", -$F$8*SIN(B524) - $B$7*$F$6*SIN($F$6*B524))</x:f>
      </x:c>
      <x:c r="H524" s="14">
        <x:f>IF(B524="","", $F$8*COS(B524) - $B$7*$F$6*COS($F$6*B524))</x:f>
      </x:c>
    </x:row>
    <x:row r="525">
      <x:c r="A525" s="13" t="n">
        <x:v>506</x:v>
      </x:c>
      <x:c r="B525" s="14">
        <x:f>IF($B$12&lt;506,"",$B$13+(506-1)*($B$14-$B$13)/($B$12-1))</x:f>
      </x:c>
      <x:c r="C525" s="14">
        <x:f>IF(B525="","",$F$8*COS(B525) + $B$7*COS($F$6*B525))</x:f>
      </x:c>
      <x:c r="D525" s="14">
        <x:f>IF(B525="","",$F$8*SIN(B525) - $B$7*SIN($F$6*B525))</x:f>
      </x:c>
      <x:c r="E525" s="14">
        <x:f>IF(B525="","", C525 + $F$12*$F$9*(-H525)/IF(SQRT(G525^2+H525^2)=0,1,SQRT(G525^2+H525^2)))</x:f>
      </x:c>
      <x:c r="F525" s="14">
        <x:f>IF(B525="","", D525 + $F$12*$F$9*(G525)/IF(SQRT(G525^2+H525^2)=0,1,SQRT(G525^2+H525^2)))</x:f>
      </x:c>
      <x:c r="G525" s="14">
        <x:f>IF(B525="","", -$F$8*SIN(B525) - $B$7*$F$6*SIN($F$6*B525))</x:f>
      </x:c>
      <x:c r="H525" s="14">
        <x:f>IF(B525="","", $F$8*COS(B525) - $B$7*$F$6*COS($F$6*B525))</x:f>
      </x:c>
    </x:row>
    <x:row r="526">
      <x:c r="A526" s="13" t="n">
        <x:v>507</x:v>
      </x:c>
      <x:c r="B526" s="14">
        <x:f>IF($B$12&lt;507,"",$B$13+(507-1)*($B$14-$B$13)/($B$12-1))</x:f>
      </x:c>
      <x:c r="C526" s="14">
        <x:f>IF(B526="","",$F$8*COS(B526) + $B$7*COS($F$6*B526))</x:f>
      </x:c>
      <x:c r="D526" s="14">
        <x:f>IF(B526="","",$F$8*SIN(B526) - $B$7*SIN($F$6*B526))</x:f>
      </x:c>
      <x:c r="E526" s="14">
        <x:f>IF(B526="","", C526 + $F$12*$F$9*(-H526)/IF(SQRT(G526^2+H526^2)=0,1,SQRT(G526^2+H526^2)))</x:f>
      </x:c>
      <x:c r="F526" s="14">
        <x:f>IF(B526="","", D526 + $F$12*$F$9*(G526)/IF(SQRT(G526^2+H526^2)=0,1,SQRT(G526^2+H526^2)))</x:f>
      </x:c>
      <x:c r="G526" s="14">
        <x:f>IF(B526="","", -$F$8*SIN(B526) - $B$7*$F$6*SIN($F$6*B526))</x:f>
      </x:c>
      <x:c r="H526" s="14">
        <x:f>IF(B526="","", $F$8*COS(B526) - $B$7*$F$6*COS($F$6*B526))</x:f>
      </x:c>
    </x:row>
    <x:row r="527">
      <x:c r="A527" s="13" t="n">
        <x:v>508</x:v>
      </x:c>
      <x:c r="B527" s="14">
        <x:f>IF($B$12&lt;508,"",$B$13+(508-1)*($B$14-$B$13)/($B$12-1))</x:f>
      </x:c>
      <x:c r="C527" s="14">
        <x:f>IF(B527="","",$F$8*COS(B527) + $B$7*COS($F$6*B527))</x:f>
      </x:c>
      <x:c r="D527" s="14">
        <x:f>IF(B527="","",$F$8*SIN(B527) - $B$7*SIN($F$6*B527))</x:f>
      </x:c>
      <x:c r="E527" s="14">
        <x:f>IF(B527="","", C527 + $F$12*$F$9*(-H527)/IF(SQRT(G527^2+H527^2)=0,1,SQRT(G527^2+H527^2)))</x:f>
      </x:c>
      <x:c r="F527" s="14">
        <x:f>IF(B527="","", D527 + $F$12*$F$9*(G527)/IF(SQRT(G527^2+H527^2)=0,1,SQRT(G527^2+H527^2)))</x:f>
      </x:c>
      <x:c r="G527" s="14">
        <x:f>IF(B527="","", -$F$8*SIN(B527) - $B$7*$F$6*SIN($F$6*B527))</x:f>
      </x:c>
      <x:c r="H527" s="14">
        <x:f>IF(B527="","", $F$8*COS(B527) - $B$7*$F$6*COS($F$6*B527))</x:f>
      </x:c>
    </x:row>
    <x:row r="528">
      <x:c r="A528" s="13" t="n">
        <x:v>509</x:v>
      </x:c>
      <x:c r="B528" s="14">
        <x:f>IF($B$12&lt;509,"",$B$13+(509-1)*($B$14-$B$13)/($B$12-1))</x:f>
      </x:c>
      <x:c r="C528" s="14">
        <x:f>IF(B528="","",$F$8*COS(B528) + $B$7*COS($F$6*B528))</x:f>
      </x:c>
      <x:c r="D528" s="14">
        <x:f>IF(B528="","",$F$8*SIN(B528) - $B$7*SIN($F$6*B528))</x:f>
      </x:c>
      <x:c r="E528" s="14">
        <x:f>IF(B528="","", C528 + $F$12*$F$9*(-H528)/IF(SQRT(G528^2+H528^2)=0,1,SQRT(G528^2+H528^2)))</x:f>
      </x:c>
      <x:c r="F528" s="14">
        <x:f>IF(B528="","", D528 + $F$12*$F$9*(G528)/IF(SQRT(G528^2+H528^2)=0,1,SQRT(G528^2+H528^2)))</x:f>
      </x:c>
      <x:c r="G528" s="14">
        <x:f>IF(B528="","", -$F$8*SIN(B528) - $B$7*$F$6*SIN($F$6*B528))</x:f>
      </x:c>
      <x:c r="H528" s="14">
        <x:f>IF(B528="","", $F$8*COS(B528) - $B$7*$F$6*COS($F$6*B528))</x:f>
      </x:c>
    </x:row>
    <x:row r="529">
      <x:c r="A529" s="13" t="n">
        <x:v>510</x:v>
      </x:c>
      <x:c r="B529" s="14">
        <x:f>IF($B$12&lt;510,"",$B$13+(510-1)*($B$14-$B$13)/($B$12-1))</x:f>
      </x:c>
      <x:c r="C529" s="14">
        <x:f>IF(B529="","",$F$8*COS(B529) + $B$7*COS($F$6*B529))</x:f>
      </x:c>
      <x:c r="D529" s="14">
        <x:f>IF(B529="","",$F$8*SIN(B529) - $B$7*SIN($F$6*B529))</x:f>
      </x:c>
      <x:c r="E529" s="14">
        <x:f>IF(B529="","", C529 + $F$12*$F$9*(-H529)/IF(SQRT(G529^2+H529^2)=0,1,SQRT(G529^2+H529^2)))</x:f>
      </x:c>
      <x:c r="F529" s="14">
        <x:f>IF(B529="","", D529 + $F$12*$F$9*(G529)/IF(SQRT(G529^2+H529^2)=0,1,SQRT(G529^2+H529^2)))</x:f>
      </x:c>
      <x:c r="G529" s="14">
        <x:f>IF(B529="","", -$F$8*SIN(B529) - $B$7*$F$6*SIN($F$6*B529))</x:f>
      </x:c>
      <x:c r="H529" s="14">
        <x:f>IF(B529="","", $F$8*COS(B529) - $B$7*$F$6*COS($F$6*B529))</x:f>
      </x:c>
    </x:row>
    <x:row r="530">
      <x:c r="A530" s="13" t="n">
        <x:v>511</x:v>
      </x:c>
      <x:c r="B530" s="14">
        <x:f>IF($B$12&lt;511,"",$B$13+(511-1)*($B$14-$B$13)/($B$12-1))</x:f>
      </x:c>
      <x:c r="C530" s="14">
        <x:f>IF(B530="","",$F$8*COS(B530) + $B$7*COS($F$6*B530))</x:f>
      </x:c>
      <x:c r="D530" s="14">
        <x:f>IF(B530="","",$F$8*SIN(B530) - $B$7*SIN($F$6*B530))</x:f>
      </x:c>
      <x:c r="E530" s="14">
        <x:f>IF(B530="","", C530 + $F$12*$F$9*(-H530)/IF(SQRT(G530^2+H530^2)=0,1,SQRT(G530^2+H530^2)))</x:f>
      </x:c>
      <x:c r="F530" s="14">
        <x:f>IF(B530="","", D530 + $F$12*$F$9*(G530)/IF(SQRT(G530^2+H530^2)=0,1,SQRT(G530^2+H530^2)))</x:f>
      </x:c>
      <x:c r="G530" s="14">
        <x:f>IF(B530="","", -$F$8*SIN(B530) - $B$7*$F$6*SIN($F$6*B530))</x:f>
      </x:c>
      <x:c r="H530" s="14">
        <x:f>IF(B530="","", $F$8*COS(B530) - $B$7*$F$6*COS($F$6*B530))</x:f>
      </x:c>
    </x:row>
    <x:row r="531">
      <x:c r="A531" s="13" t="n">
        <x:v>512</x:v>
      </x:c>
      <x:c r="B531" s="14">
        <x:f>IF($B$12&lt;512,"",$B$13+(512-1)*($B$14-$B$13)/($B$12-1))</x:f>
      </x:c>
      <x:c r="C531" s="14">
        <x:f>IF(B531="","",$F$8*COS(B531) + $B$7*COS($F$6*B531))</x:f>
      </x:c>
      <x:c r="D531" s="14">
        <x:f>IF(B531="","",$F$8*SIN(B531) - $B$7*SIN($F$6*B531))</x:f>
      </x:c>
      <x:c r="E531" s="14">
        <x:f>IF(B531="","", C531 + $F$12*$F$9*(-H531)/IF(SQRT(G531^2+H531^2)=0,1,SQRT(G531^2+H531^2)))</x:f>
      </x:c>
      <x:c r="F531" s="14">
        <x:f>IF(B531="","", D531 + $F$12*$F$9*(G531)/IF(SQRT(G531^2+H531^2)=0,1,SQRT(G531^2+H531^2)))</x:f>
      </x:c>
      <x:c r="G531" s="14">
        <x:f>IF(B531="","", -$F$8*SIN(B531) - $B$7*$F$6*SIN($F$6*B531))</x:f>
      </x:c>
      <x:c r="H531" s="14">
        <x:f>IF(B531="","", $F$8*COS(B531) - $B$7*$F$6*COS($F$6*B531))</x:f>
      </x:c>
    </x:row>
    <x:row r="532">
      <x:c r="A532" s="13" t="n">
        <x:v>513</x:v>
      </x:c>
      <x:c r="B532" s="14">
        <x:f>IF($B$12&lt;513,"",$B$13+(513-1)*($B$14-$B$13)/($B$12-1))</x:f>
      </x:c>
      <x:c r="C532" s="14">
        <x:f>IF(B532="","",$F$8*COS(B532) + $B$7*COS($F$6*B532))</x:f>
      </x:c>
      <x:c r="D532" s="14">
        <x:f>IF(B532="","",$F$8*SIN(B532) - $B$7*SIN($F$6*B532))</x:f>
      </x:c>
      <x:c r="E532" s="14">
        <x:f>IF(B532="","", C532 + $F$12*$F$9*(-H532)/IF(SQRT(G532^2+H532^2)=0,1,SQRT(G532^2+H532^2)))</x:f>
      </x:c>
      <x:c r="F532" s="14">
        <x:f>IF(B532="","", D532 + $F$12*$F$9*(G532)/IF(SQRT(G532^2+H532^2)=0,1,SQRT(G532^2+H532^2)))</x:f>
      </x:c>
      <x:c r="G532" s="14">
        <x:f>IF(B532="","", -$F$8*SIN(B532) - $B$7*$F$6*SIN($F$6*B532))</x:f>
      </x:c>
      <x:c r="H532" s="14">
        <x:f>IF(B532="","", $F$8*COS(B532) - $B$7*$F$6*COS($F$6*B532))</x:f>
      </x:c>
    </x:row>
    <x:row r="533">
      <x:c r="A533" s="13" t="n">
        <x:v>514</x:v>
      </x:c>
      <x:c r="B533" s="14">
        <x:f>IF($B$12&lt;514,"",$B$13+(514-1)*($B$14-$B$13)/($B$12-1))</x:f>
      </x:c>
      <x:c r="C533" s="14">
        <x:f>IF(B533="","",$F$8*COS(B533) + $B$7*COS($F$6*B533))</x:f>
      </x:c>
      <x:c r="D533" s="14">
        <x:f>IF(B533="","",$F$8*SIN(B533) - $B$7*SIN($F$6*B533))</x:f>
      </x:c>
      <x:c r="E533" s="14">
        <x:f>IF(B533="","", C533 + $F$12*$F$9*(-H533)/IF(SQRT(G533^2+H533^2)=0,1,SQRT(G533^2+H533^2)))</x:f>
      </x:c>
      <x:c r="F533" s="14">
        <x:f>IF(B533="","", D533 + $F$12*$F$9*(G533)/IF(SQRT(G533^2+H533^2)=0,1,SQRT(G533^2+H533^2)))</x:f>
      </x:c>
      <x:c r="G533" s="14">
        <x:f>IF(B533="","", -$F$8*SIN(B533) - $B$7*$F$6*SIN($F$6*B533))</x:f>
      </x:c>
      <x:c r="H533" s="14">
        <x:f>IF(B533="","", $F$8*COS(B533) - $B$7*$F$6*COS($F$6*B533))</x:f>
      </x:c>
    </x:row>
    <x:row r="534">
      <x:c r="A534" s="13" t="n">
        <x:v>515</x:v>
      </x:c>
      <x:c r="B534" s="14">
        <x:f>IF($B$12&lt;515,"",$B$13+(515-1)*($B$14-$B$13)/($B$12-1))</x:f>
      </x:c>
      <x:c r="C534" s="14">
        <x:f>IF(B534="","",$F$8*COS(B534) + $B$7*COS($F$6*B534))</x:f>
      </x:c>
      <x:c r="D534" s="14">
        <x:f>IF(B534="","",$F$8*SIN(B534) - $B$7*SIN($F$6*B534))</x:f>
      </x:c>
      <x:c r="E534" s="14">
        <x:f>IF(B534="","", C534 + $F$12*$F$9*(-H534)/IF(SQRT(G534^2+H534^2)=0,1,SQRT(G534^2+H534^2)))</x:f>
      </x:c>
      <x:c r="F534" s="14">
        <x:f>IF(B534="","", D534 + $F$12*$F$9*(G534)/IF(SQRT(G534^2+H534^2)=0,1,SQRT(G534^2+H534^2)))</x:f>
      </x:c>
      <x:c r="G534" s="14">
        <x:f>IF(B534="","", -$F$8*SIN(B534) - $B$7*$F$6*SIN($F$6*B534))</x:f>
      </x:c>
      <x:c r="H534" s="14">
        <x:f>IF(B534="","", $F$8*COS(B534) - $B$7*$F$6*COS($F$6*B534))</x:f>
      </x:c>
    </x:row>
    <x:row r="535">
      <x:c r="A535" s="13" t="n">
        <x:v>516</x:v>
      </x:c>
      <x:c r="B535" s="14">
        <x:f>IF($B$12&lt;516,"",$B$13+(516-1)*($B$14-$B$13)/($B$12-1))</x:f>
      </x:c>
      <x:c r="C535" s="14">
        <x:f>IF(B535="","",$F$8*COS(B535) + $B$7*COS($F$6*B535))</x:f>
      </x:c>
      <x:c r="D535" s="14">
        <x:f>IF(B535="","",$F$8*SIN(B535) - $B$7*SIN($F$6*B535))</x:f>
      </x:c>
      <x:c r="E535" s="14">
        <x:f>IF(B535="","", C535 + $F$12*$F$9*(-H535)/IF(SQRT(G535^2+H535^2)=0,1,SQRT(G535^2+H535^2)))</x:f>
      </x:c>
      <x:c r="F535" s="14">
        <x:f>IF(B535="","", D535 + $F$12*$F$9*(G535)/IF(SQRT(G535^2+H535^2)=0,1,SQRT(G535^2+H535^2)))</x:f>
      </x:c>
      <x:c r="G535" s="14">
        <x:f>IF(B535="","", -$F$8*SIN(B535) - $B$7*$F$6*SIN($F$6*B535))</x:f>
      </x:c>
      <x:c r="H535" s="14">
        <x:f>IF(B535="","", $F$8*COS(B535) - $B$7*$F$6*COS($F$6*B535))</x:f>
      </x:c>
    </x:row>
    <x:row r="536">
      <x:c r="A536" s="13" t="n">
        <x:v>517</x:v>
      </x:c>
      <x:c r="B536" s="14">
        <x:f>IF($B$12&lt;517,"",$B$13+(517-1)*($B$14-$B$13)/($B$12-1))</x:f>
      </x:c>
      <x:c r="C536" s="14">
        <x:f>IF(B536="","",$F$8*COS(B536) + $B$7*COS($F$6*B536))</x:f>
      </x:c>
      <x:c r="D536" s="14">
        <x:f>IF(B536="","",$F$8*SIN(B536) - $B$7*SIN($F$6*B536))</x:f>
      </x:c>
      <x:c r="E536" s="14">
        <x:f>IF(B536="","", C536 + $F$12*$F$9*(-H536)/IF(SQRT(G536^2+H536^2)=0,1,SQRT(G536^2+H536^2)))</x:f>
      </x:c>
      <x:c r="F536" s="14">
        <x:f>IF(B536="","", D536 + $F$12*$F$9*(G536)/IF(SQRT(G536^2+H536^2)=0,1,SQRT(G536^2+H536^2)))</x:f>
      </x:c>
      <x:c r="G536" s="14">
        <x:f>IF(B536="","", -$F$8*SIN(B536) - $B$7*$F$6*SIN($F$6*B536))</x:f>
      </x:c>
      <x:c r="H536" s="14">
        <x:f>IF(B536="","", $F$8*COS(B536) - $B$7*$F$6*COS($F$6*B536))</x:f>
      </x:c>
    </x:row>
    <x:row r="537">
      <x:c r="A537" s="13" t="n">
        <x:v>518</x:v>
      </x:c>
      <x:c r="B537" s="14">
        <x:f>IF($B$12&lt;518,"",$B$13+(518-1)*($B$14-$B$13)/($B$12-1))</x:f>
      </x:c>
      <x:c r="C537" s="14">
        <x:f>IF(B537="","",$F$8*COS(B537) + $B$7*COS($F$6*B537))</x:f>
      </x:c>
      <x:c r="D537" s="14">
        <x:f>IF(B537="","",$F$8*SIN(B537) - $B$7*SIN($F$6*B537))</x:f>
      </x:c>
      <x:c r="E537" s="14">
        <x:f>IF(B537="","", C537 + $F$12*$F$9*(-H537)/IF(SQRT(G537^2+H537^2)=0,1,SQRT(G537^2+H537^2)))</x:f>
      </x:c>
      <x:c r="F537" s="14">
        <x:f>IF(B537="","", D537 + $F$12*$F$9*(G537)/IF(SQRT(G537^2+H537^2)=0,1,SQRT(G537^2+H537^2)))</x:f>
      </x:c>
      <x:c r="G537" s="14">
        <x:f>IF(B537="","", -$F$8*SIN(B537) - $B$7*$F$6*SIN($F$6*B537))</x:f>
      </x:c>
      <x:c r="H537" s="14">
        <x:f>IF(B537="","", $F$8*COS(B537) - $B$7*$F$6*COS($F$6*B537))</x:f>
      </x:c>
    </x:row>
    <x:row r="538">
      <x:c r="A538" s="13" t="n">
        <x:v>519</x:v>
      </x:c>
      <x:c r="B538" s="14">
        <x:f>IF($B$12&lt;519,"",$B$13+(519-1)*($B$14-$B$13)/($B$12-1))</x:f>
      </x:c>
      <x:c r="C538" s="14">
        <x:f>IF(B538="","",$F$8*COS(B538) + $B$7*COS($F$6*B538))</x:f>
      </x:c>
      <x:c r="D538" s="14">
        <x:f>IF(B538="","",$F$8*SIN(B538) - $B$7*SIN($F$6*B538))</x:f>
      </x:c>
      <x:c r="E538" s="14">
        <x:f>IF(B538="","", C538 + $F$12*$F$9*(-H538)/IF(SQRT(G538^2+H538^2)=0,1,SQRT(G538^2+H538^2)))</x:f>
      </x:c>
      <x:c r="F538" s="14">
        <x:f>IF(B538="","", D538 + $F$12*$F$9*(G538)/IF(SQRT(G538^2+H538^2)=0,1,SQRT(G538^2+H538^2)))</x:f>
      </x:c>
      <x:c r="G538" s="14">
        <x:f>IF(B538="","", -$F$8*SIN(B538) - $B$7*$F$6*SIN($F$6*B538))</x:f>
      </x:c>
      <x:c r="H538" s="14">
        <x:f>IF(B538="","", $F$8*COS(B538) - $B$7*$F$6*COS($F$6*B538))</x:f>
      </x:c>
    </x:row>
    <x:row r="539">
      <x:c r="A539" s="13" t="n">
        <x:v>520</x:v>
      </x:c>
      <x:c r="B539" s="14">
        <x:f>IF($B$12&lt;520,"",$B$13+(520-1)*($B$14-$B$13)/($B$12-1))</x:f>
      </x:c>
      <x:c r="C539" s="14">
        <x:f>IF(B539="","",$F$8*COS(B539) + $B$7*COS($F$6*B539))</x:f>
      </x:c>
      <x:c r="D539" s="14">
        <x:f>IF(B539="","",$F$8*SIN(B539) - $B$7*SIN($F$6*B539))</x:f>
      </x:c>
      <x:c r="E539" s="14">
        <x:f>IF(B539="","", C539 + $F$12*$F$9*(-H539)/IF(SQRT(G539^2+H539^2)=0,1,SQRT(G539^2+H539^2)))</x:f>
      </x:c>
      <x:c r="F539" s="14">
        <x:f>IF(B539="","", D539 + $F$12*$F$9*(G539)/IF(SQRT(G539^2+H539^2)=0,1,SQRT(G539^2+H539^2)))</x:f>
      </x:c>
      <x:c r="G539" s="14">
        <x:f>IF(B539="","", -$F$8*SIN(B539) - $B$7*$F$6*SIN($F$6*B539))</x:f>
      </x:c>
      <x:c r="H539" s="14">
        <x:f>IF(B539="","", $F$8*COS(B539) - $B$7*$F$6*COS($F$6*B539))</x:f>
      </x:c>
    </x:row>
    <x:row r="540">
      <x:c r="A540" s="13" t="n">
        <x:v>521</x:v>
      </x:c>
      <x:c r="B540" s="14">
        <x:f>IF($B$12&lt;521,"",$B$13+(521-1)*($B$14-$B$13)/($B$12-1))</x:f>
      </x:c>
      <x:c r="C540" s="14">
        <x:f>IF(B540="","",$F$8*COS(B540) + $B$7*COS($F$6*B540))</x:f>
      </x:c>
      <x:c r="D540" s="14">
        <x:f>IF(B540="","",$F$8*SIN(B540) - $B$7*SIN($F$6*B540))</x:f>
      </x:c>
      <x:c r="E540" s="14">
        <x:f>IF(B540="","", C540 + $F$12*$F$9*(-H540)/IF(SQRT(G540^2+H540^2)=0,1,SQRT(G540^2+H540^2)))</x:f>
      </x:c>
      <x:c r="F540" s="14">
        <x:f>IF(B540="","", D540 + $F$12*$F$9*(G540)/IF(SQRT(G540^2+H540^2)=0,1,SQRT(G540^2+H540^2)))</x:f>
      </x:c>
      <x:c r="G540" s="14">
        <x:f>IF(B540="","", -$F$8*SIN(B540) - $B$7*$F$6*SIN($F$6*B540))</x:f>
      </x:c>
      <x:c r="H540" s="14">
        <x:f>IF(B540="","", $F$8*COS(B540) - $B$7*$F$6*COS($F$6*B540))</x:f>
      </x:c>
    </x:row>
    <x:row r="541">
      <x:c r="A541" s="13" t="n">
        <x:v>522</x:v>
      </x:c>
      <x:c r="B541" s="14">
        <x:f>IF($B$12&lt;522,"",$B$13+(522-1)*($B$14-$B$13)/($B$12-1))</x:f>
      </x:c>
      <x:c r="C541" s="14">
        <x:f>IF(B541="","",$F$8*COS(B541) + $B$7*COS($F$6*B541))</x:f>
      </x:c>
      <x:c r="D541" s="14">
        <x:f>IF(B541="","",$F$8*SIN(B541) - $B$7*SIN($F$6*B541))</x:f>
      </x:c>
      <x:c r="E541" s="14">
        <x:f>IF(B541="","", C541 + $F$12*$F$9*(-H541)/IF(SQRT(G541^2+H541^2)=0,1,SQRT(G541^2+H541^2)))</x:f>
      </x:c>
      <x:c r="F541" s="14">
        <x:f>IF(B541="","", D541 + $F$12*$F$9*(G541)/IF(SQRT(G541^2+H541^2)=0,1,SQRT(G541^2+H541^2)))</x:f>
      </x:c>
      <x:c r="G541" s="14">
        <x:f>IF(B541="","", -$F$8*SIN(B541) - $B$7*$F$6*SIN($F$6*B541))</x:f>
      </x:c>
      <x:c r="H541" s="14">
        <x:f>IF(B541="","", $F$8*COS(B541) - $B$7*$F$6*COS($F$6*B541))</x:f>
      </x:c>
    </x:row>
    <x:row r="542">
      <x:c r="A542" s="13" t="n">
        <x:v>523</x:v>
      </x:c>
      <x:c r="B542" s="14">
        <x:f>IF($B$12&lt;523,"",$B$13+(523-1)*($B$14-$B$13)/($B$12-1))</x:f>
      </x:c>
      <x:c r="C542" s="14">
        <x:f>IF(B542="","",$F$8*COS(B542) + $B$7*COS($F$6*B542))</x:f>
      </x:c>
      <x:c r="D542" s="14">
        <x:f>IF(B542="","",$F$8*SIN(B542) - $B$7*SIN($F$6*B542))</x:f>
      </x:c>
      <x:c r="E542" s="14">
        <x:f>IF(B542="","", C542 + $F$12*$F$9*(-H542)/IF(SQRT(G542^2+H542^2)=0,1,SQRT(G542^2+H542^2)))</x:f>
      </x:c>
      <x:c r="F542" s="14">
        <x:f>IF(B542="","", D542 + $F$12*$F$9*(G542)/IF(SQRT(G542^2+H542^2)=0,1,SQRT(G542^2+H542^2)))</x:f>
      </x:c>
      <x:c r="G542" s="14">
        <x:f>IF(B542="","", -$F$8*SIN(B542) - $B$7*$F$6*SIN($F$6*B542))</x:f>
      </x:c>
      <x:c r="H542" s="14">
        <x:f>IF(B542="","", $F$8*COS(B542) - $B$7*$F$6*COS($F$6*B542))</x:f>
      </x:c>
    </x:row>
    <x:row r="543">
      <x:c r="A543" s="13" t="n">
        <x:v>524</x:v>
      </x:c>
      <x:c r="B543" s="14">
        <x:f>IF($B$12&lt;524,"",$B$13+(524-1)*($B$14-$B$13)/($B$12-1))</x:f>
      </x:c>
      <x:c r="C543" s="14">
        <x:f>IF(B543="","",$F$8*COS(B543) + $B$7*COS($F$6*B543))</x:f>
      </x:c>
      <x:c r="D543" s="14">
        <x:f>IF(B543="","",$F$8*SIN(B543) - $B$7*SIN($F$6*B543))</x:f>
      </x:c>
      <x:c r="E543" s="14">
        <x:f>IF(B543="","", C543 + $F$12*$F$9*(-H543)/IF(SQRT(G543^2+H543^2)=0,1,SQRT(G543^2+H543^2)))</x:f>
      </x:c>
      <x:c r="F543" s="14">
        <x:f>IF(B543="","", D543 + $F$12*$F$9*(G543)/IF(SQRT(G543^2+H543^2)=0,1,SQRT(G543^2+H543^2)))</x:f>
      </x:c>
      <x:c r="G543" s="14">
        <x:f>IF(B543="","", -$F$8*SIN(B543) - $B$7*$F$6*SIN($F$6*B543))</x:f>
      </x:c>
      <x:c r="H543" s="14">
        <x:f>IF(B543="","", $F$8*COS(B543) - $B$7*$F$6*COS($F$6*B543))</x:f>
      </x:c>
    </x:row>
    <x:row r="544">
      <x:c r="A544" s="13" t="n">
        <x:v>525</x:v>
      </x:c>
      <x:c r="B544" s="14">
        <x:f>IF($B$12&lt;525,"",$B$13+(525-1)*($B$14-$B$13)/($B$12-1))</x:f>
      </x:c>
      <x:c r="C544" s="14">
        <x:f>IF(B544="","",$F$8*COS(B544) + $B$7*COS($F$6*B544))</x:f>
      </x:c>
      <x:c r="D544" s="14">
        <x:f>IF(B544="","",$F$8*SIN(B544) - $B$7*SIN($F$6*B544))</x:f>
      </x:c>
      <x:c r="E544" s="14">
        <x:f>IF(B544="","", C544 + $F$12*$F$9*(-H544)/IF(SQRT(G544^2+H544^2)=0,1,SQRT(G544^2+H544^2)))</x:f>
      </x:c>
      <x:c r="F544" s="14">
        <x:f>IF(B544="","", D544 + $F$12*$F$9*(G544)/IF(SQRT(G544^2+H544^2)=0,1,SQRT(G544^2+H544^2)))</x:f>
      </x:c>
      <x:c r="G544" s="14">
        <x:f>IF(B544="","", -$F$8*SIN(B544) - $B$7*$F$6*SIN($F$6*B544))</x:f>
      </x:c>
      <x:c r="H544" s="14">
        <x:f>IF(B544="","", $F$8*COS(B544) - $B$7*$F$6*COS($F$6*B544))</x:f>
      </x:c>
    </x:row>
    <x:row r="545">
      <x:c r="A545" s="13" t="n">
        <x:v>526</x:v>
      </x:c>
      <x:c r="B545" s="14">
        <x:f>IF($B$12&lt;526,"",$B$13+(526-1)*($B$14-$B$13)/($B$12-1))</x:f>
      </x:c>
      <x:c r="C545" s="14">
        <x:f>IF(B545="","",$F$8*COS(B545) + $B$7*COS($F$6*B545))</x:f>
      </x:c>
      <x:c r="D545" s="14">
        <x:f>IF(B545="","",$F$8*SIN(B545) - $B$7*SIN($F$6*B545))</x:f>
      </x:c>
      <x:c r="E545" s="14">
        <x:f>IF(B545="","", C545 + $F$12*$F$9*(-H545)/IF(SQRT(G545^2+H545^2)=0,1,SQRT(G545^2+H545^2)))</x:f>
      </x:c>
      <x:c r="F545" s="14">
        <x:f>IF(B545="","", D545 + $F$12*$F$9*(G545)/IF(SQRT(G545^2+H545^2)=0,1,SQRT(G545^2+H545^2)))</x:f>
      </x:c>
      <x:c r="G545" s="14">
        <x:f>IF(B545="","", -$F$8*SIN(B545) - $B$7*$F$6*SIN($F$6*B545))</x:f>
      </x:c>
      <x:c r="H545" s="14">
        <x:f>IF(B545="","", $F$8*COS(B545) - $B$7*$F$6*COS($F$6*B545))</x:f>
      </x:c>
    </x:row>
    <x:row r="546">
      <x:c r="A546" s="13" t="n">
        <x:v>527</x:v>
      </x:c>
      <x:c r="B546" s="14">
        <x:f>IF($B$12&lt;527,"",$B$13+(527-1)*($B$14-$B$13)/($B$12-1))</x:f>
      </x:c>
      <x:c r="C546" s="14">
        <x:f>IF(B546="","",$F$8*COS(B546) + $B$7*COS($F$6*B546))</x:f>
      </x:c>
      <x:c r="D546" s="14">
        <x:f>IF(B546="","",$F$8*SIN(B546) - $B$7*SIN($F$6*B546))</x:f>
      </x:c>
      <x:c r="E546" s="14">
        <x:f>IF(B546="","", C546 + $F$12*$F$9*(-H546)/IF(SQRT(G546^2+H546^2)=0,1,SQRT(G546^2+H546^2)))</x:f>
      </x:c>
      <x:c r="F546" s="14">
        <x:f>IF(B546="","", D546 + $F$12*$F$9*(G546)/IF(SQRT(G546^2+H546^2)=0,1,SQRT(G546^2+H546^2)))</x:f>
      </x:c>
      <x:c r="G546" s="14">
        <x:f>IF(B546="","", -$F$8*SIN(B546) - $B$7*$F$6*SIN($F$6*B546))</x:f>
      </x:c>
      <x:c r="H546" s="14">
        <x:f>IF(B546="","", $F$8*COS(B546) - $B$7*$F$6*COS($F$6*B546))</x:f>
      </x:c>
    </x:row>
    <x:row r="547">
      <x:c r="A547" s="13" t="n">
        <x:v>528</x:v>
      </x:c>
      <x:c r="B547" s="14">
        <x:f>IF($B$12&lt;528,"",$B$13+(528-1)*($B$14-$B$13)/($B$12-1))</x:f>
      </x:c>
      <x:c r="C547" s="14">
        <x:f>IF(B547="","",$F$8*COS(B547) + $B$7*COS($F$6*B547))</x:f>
      </x:c>
      <x:c r="D547" s="14">
        <x:f>IF(B547="","",$F$8*SIN(B547) - $B$7*SIN($F$6*B547))</x:f>
      </x:c>
      <x:c r="E547" s="14">
        <x:f>IF(B547="","", C547 + $F$12*$F$9*(-H547)/IF(SQRT(G547^2+H547^2)=0,1,SQRT(G547^2+H547^2)))</x:f>
      </x:c>
      <x:c r="F547" s="14">
        <x:f>IF(B547="","", D547 + $F$12*$F$9*(G547)/IF(SQRT(G547^2+H547^2)=0,1,SQRT(G547^2+H547^2)))</x:f>
      </x:c>
      <x:c r="G547" s="14">
        <x:f>IF(B547="","", -$F$8*SIN(B547) - $B$7*$F$6*SIN($F$6*B547))</x:f>
      </x:c>
      <x:c r="H547" s="14">
        <x:f>IF(B547="","", $F$8*COS(B547) - $B$7*$F$6*COS($F$6*B547))</x:f>
      </x:c>
    </x:row>
    <x:row r="548">
      <x:c r="A548" s="13" t="n">
        <x:v>529</x:v>
      </x:c>
      <x:c r="B548" s="14">
        <x:f>IF($B$12&lt;529,"",$B$13+(529-1)*($B$14-$B$13)/($B$12-1))</x:f>
      </x:c>
      <x:c r="C548" s="14">
        <x:f>IF(B548="","",$F$8*COS(B548) + $B$7*COS($F$6*B548))</x:f>
      </x:c>
      <x:c r="D548" s="14">
        <x:f>IF(B548="","",$F$8*SIN(B548) - $B$7*SIN($F$6*B548))</x:f>
      </x:c>
      <x:c r="E548" s="14">
        <x:f>IF(B548="","", C548 + $F$12*$F$9*(-H548)/IF(SQRT(G548^2+H548^2)=0,1,SQRT(G548^2+H548^2)))</x:f>
      </x:c>
      <x:c r="F548" s="14">
        <x:f>IF(B548="","", D548 + $F$12*$F$9*(G548)/IF(SQRT(G548^2+H548^2)=0,1,SQRT(G548^2+H548^2)))</x:f>
      </x:c>
      <x:c r="G548" s="14">
        <x:f>IF(B548="","", -$F$8*SIN(B548) - $B$7*$F$6*SIN($F$6*B548))</x:f>
      </x:c>
      <x:c r="H548" s="14">
        <x:f>IF(B548="","", $F$8*COS(B548) - $B$7*$F$6*COS($F$6*B548))</x:f>
      </x:c>
    </x:row>
    <x:row r="549">
      <x:c r="A549" s="13" t="n">
        <x:v>530</x:v>
      </x:c>
      <x:c r="B549" s="14">
        <x:f>IF($B$12&lt;530,"",$B$13+(530-1)*($B$14-$B$13)/($B$12-1))</x:f>
      </x:c>
      <x:c r="C549" s="14">
        <x:f>IF(B549="","",$F$8*COS(B549) + $B$7*COS($F$6*B549))</x:f>
      </x:c>
      <x:c r="D549" s="14">
        <x:f>IF(B549="","",$F$8*SIN(B549) - $B$7*SIN($F$6*B549))</x:f>
      </x:c>
      <x:c r="E549" s="14">
        <x:f>IF(B549="","", C549 + $F$12*$F$9*(-H549)/IF(SQRT(G549^2+H549^2)=0,1,SQRT(G549^2+H549^2)))</x:f>
      </x:c>
      <x:c r="F549" s="14">
        <x:f>IF(B549="","", D549 + $F$12*$F$9*(G549)/IF(SQRT(G549^2+H549^2)=0,1,SQRT(G549^2+H549^2)))</x:f>
      </x:c>
      <x:c r="G549" s="14">
        <x:f>IF(B549="","", -$F$8*SIN(B549) - $B$7*$F$6*SIN($F$6*B549))</x:f>
      </x:c>
      <x:c r="H549" s="14">
        <x:f>IF(B549="","", $F$8*COS(B549) - $B$7*$F$6*COS($F$6*B549))</x:f>
      </x:c>
    </x:row>
    <x:row r="550">
      <x:c r="A550" s="13" t="n">
        <x:v>531</x:v>
      </x:c>
      <x:c r="B550" s="14">
        <x:f>IF($B$12&lt;531,"",$B$13+(531-1)*($B$14-$B$13)/($B$12-1))</x:f>
      </x:c>
      <x:c r="C550" s="14">
        <x:f>IF(B550="","",$F$8*COS(B550) + $B$7*COS($F$6*B550))</x:f>
      </x:c>
      <x:c r="D550" s="14">
        <x:f>IF(B550="","",$F$8*SIN(B550) - $B$7*SIN($F$6*B550))</x:f>
      </x:c>
      <x:c r="E550" s="14">
        <x:f>IF(B550="","", C550 + $F$12*$F$9*(-H550)/IF(SQRT(G550^2+H550^2)=0,1,SQRT(G550^2+H550^2)))</x:f>
      </x:c>
      <x:c r="F550" s="14">
        <x:f>IF(B550="","", D550 + $F$12*$F$9*(G550)/IF(SQRT(G550^2+H550^2)=0,1,SQRT(G550^2+H550^2)))</x:f>
      </x:c>
      <x:c r="G550" s="14">
        <x:f>IF(B550="","", -$F$8*SIN(B550) - $B$7*$F$6*SIN($F$6*B550))</x:f>
      </x:c>
      <x:c r="H550" s="14">
        <x:f>IF(B550="","", $F$8*COS(B550) - $B$7*$F$6*COS($F$6*B550))</x:f>
      </x:c>
    </x:row>
    <x:row r="551">
      <x:c r="A551" s="13" t="n">
        <x:v>532</x:v>
      </x:c>
      <x:c r="B551" s="14">
        <x:f>IF($B$12&lt;532,"",$B$13+(532-1)*($B$14-$B$13)/($B$12-1))</x:f>
      </x:c>
      <x:c r="C551" s="14">
        <x:f>IF(B551="","",$F$8*COS(B551) + $B$7*COS($F$6*B551))</x:f>
      </x:c>
      <x:c r="D551" s="14">
        <x:f>IF(B551="","",$F$8*SIN(B551) - $B$7*SIN($F$6*B551))</x:f>
      </x:c>
      <x:c r="E551" s="14">
        <x:f>IF(B551="","", C551 + $F$12*$F$9*(-H551)/IF(SQRT(G551^2+H551^2)=0,1,SQRT(G551^2+H551^2)))</x:f>
      </x:c>
      <x:c r="F551" s="14">
        <x:f>IF(B551="","", D551 + $F$12*$F$9*(G551)/IF(SQRT(G551^2+H551^2)=0,1,SQRT(G551^2+H551^2)))</x:f>
      </x:c>
      <x:c r="G551" s="14">
        <x:f>IF(B551="","", -$F$8*SIN(B551) - $B$7*$F$6*SIN($F$6*B551))</x:f>
      </x:c>
      <x:c r="H551" s="14">
        <x:f>IF(B551="","", $F$8*COS(B551) - $B$7*$F$6*COS($F$6*B551))</x:f>
      </x:c>
    </x:row>
    <x:row r="552">
      <x:c r="A552" s="13" t="n">
        <x:v>533</x:v>
      </x:c>
      <x:c r="B552" s="14">
        <x:f>IF($B$12&lt;533,"",$B$13+(533-1)*($B$14-$B$13)/($B$12-1))</x:f>
      </x:c>
      <x:c r="C552" s="14">
        <x:f>IF(B552="","",$F$8*COS(B552) + $B$7*COS($F$6*B552))</x:f>
      </x:c>
      <x:c r="D552" s="14">
        <x:f>IF(B552="","",$F$8*SIN(B552) - $B$7*SIN($F$6*B552))</x:f>
      </x:c>
      <x:c r="E552" s="14">
        <x:f>IF(B552="","", C552 + $F$12*$F$9*(-H552)/IF(SQRT(G552^2+H552^2)=0,1,SQRT(G552^2+H552^2)))</x:f>
      </x:c>
      <x:c r="F552" s="14">
        <x:f>IF(B552="","", D552 + $F$12*$F$9*(G552)/IF(SQRT(G552^2+H552^2)=0,1,SQRT(G552^2+H552^2)))</x:f>
      </x:c>
      <x:c r="G552" s="14">
        <x:f>IF(B552="","", -$F$8*SIN(B552) - $B$7*$F$6*SIN($F$6*B552))</x:f>
      </x:c>
      <x:c r="H552" s="14">
        <x:f>IF(B552="","", $F$8*COS(B552) - $B$7*$F$6*COS($F$6*B552))</x:f>
      </x:c>
    </x:row>
    <x:row r="553">
      <x:c r="A553" s="13" t="n">
        <x:v>534</x:v>
      </x:c>
      <x:c r="B553" s="14">
        <x:f>IF($B$12&lt;534,"",$B$13+(534-1)*($B$14-$B$13)/($B$12-1))</x:f>
      </x:c>
      <x:c r="C553" s="14">
        <x:f>IF(B553="","",$F$8*COS(B553) + $B$7*COS($F$6*B553))</x:f>
      </x:c>
      <x:c r="D553" s="14">
        <x:f>IF(B553="","",$F$8*SIN(B553) - $B$7*SIN($F$6*B553))</x:f>
      </x:c>
      <x:c r="E553" s="14">
        <x:f>IF(B553="","", C553 + $F$12*$F$9*(-H553)/IF(SQRT(G553^2+H553^2)=0,1,SQRT(G553^2+H553^2)))</x:f>
      </x:c>
      <x:c r="F553" s="14">
        <x:f>IF(B553="","", D553 + $F$12*$F$9*(G553)/IF(SQRT(G553^2+H553^2)=0,1,SQRT(G553^2+H553^2)))</x:f>
      </x:c>
      <x:c r="G553" s="14">
        <x:f>IF(B553="","", -$F$8*SIN(B553) - $B$7*$F$6*SIN($F$6*B553))</x:f>
      </x:c>
      <x:c r="H553" s="14">
        <x:f>IF(B553="","", $F$8*COS(B553) - $B$7*$F$6*COS($F$6*B553))</x:f>
      </x:c>
    </x:row>
    <x:row r="554">
      <x:c r="A554" s="13" t="n">
        <x:v>535</x:v>
      </x:c>
      <x:c r="B554" s="14">
        <x:f>IF($B$12&lt;535,"",$B$13+(535-1)*($B$14-$B$13)/($B$12-1))</x:f>
      </x:c>
      <x:c r="C554" s="14">
        <x:f>IF(B554="","",$F$8*COS(B554) + $B$7*COS($F$6*B554))</x:f>
      </x:c>
      <x:c r="D554" s="14">
        <x:f>IF(B554="","",$F$8*SIN(B554) - $B$7*SIN($F$6*B554))</x:f>
      </x:c>
      <x:c r="E554" s="14">
        <x:f>IF(B554="","", C554 + $F$12*$F$9*(-H554)/IF(SQRT(G554^2+H554^2)=0,1,SQRT(G554^2+H554^2)))</x:f>
      </x:c>
      <x:c r="F554" s="14">
        <x:f>IF(B554="","", D554 + $F$12*$F$9*(G554)/IF(SQRT(G554^2+H554^2)=0,1,SQRT(G554^2+H554^2)))</x:f>
      </x:c>
      <x:c r="G554" s="14">
        <x:f>IF(B554="","", -$F$8*SIN(B554) - $B$7*$F$6*SIN($F$6*B554))</x:f>
      </x:c>
      <x:c r="H554" s="14">
        <x:f>IF(B554="","", $F$8*COS(B554) - $B$7*$F$6*COS($F$6*B554))</x:f>
      </x:c>
    </x:row>
    <x:row r="555">
      <x:c r="A555" s="13" t="n">
        <x:v>536</x:v>
      </x:c>
      <x:c r="B555" s="14">
        <x:f>IF($B$12&lt;536,"",$B$13+(536-1)*($B$14-$B$13)/($B$12-1))</x:f>
      </x:c>
      <x:c r="C555" s="14">
        <x:f>IF(B555="","",$F$8*COS(B555) + $B$7*COS($F$6*B555))</x:f>
      </x:c>
      <x:c r="D555" s="14">
        <x:f>IF(B555="","",$F$8*SIN(B555) - $B$7*SIN($F$6*B555))</x:f>
      </x:c>
      <x:c r="E555" s="14">
        <x:f>IF(B555="","", C555 + $F$12*$F$9*(-H555)/IF(SQRT(G555^2+H555^2)=0,1,SQRT(G555^2+H555^2)))</x:f>
      </x:c>
      <x:c r="F555" s="14">
        <x:f>IF(B555="","", D555 + $F$12*$F$9*(G555)/IF(SQRT(G555^2+H555^2)=0,1,SQRT(G555^2+H555^2)))</x:f>
      </x:c>
      <x:c r="G555" s="14">
        <x:f>IF(B555="","", -$F$8*SIN(B555) - $B$7*$F$6*SIN($F$6*B555))</x:f>
      </x:c>
      <x:c r="H555" s="14">
        <x:f>IF(B555="","", $F$8*COS(B555) - $B$7*$F$6*COS($F$6*B555))</x:f>
      </x:c>
    </x:row>
    <x:row r="556">
      <x:c r="A556" s="13" t="n">
        <x:v>537</x:v>
      </x:c>
      <x:c r="B556" s="14">
        <x:f>IF($B$12&lt;537,"",$B$13+(537-1)*($B$14-$B$13)/($B$12-1))</x:f>
      </x:c>
      <x:c r="C556" s="14">
        <x:f>IF(B556="","",$F$8*COS(B556) + $B$7*COS($F$6*B556))</x:f>
      </x:c>
      <x:c r="D556" s="14">
        <x:f>IF(B556="","",$F$8*SIN(B556) - $B$7*SIN($F$6*B556))</x:f>
      </x:c>
      <x:c r="E556" s="14">
        <x:f>IF(B556="","", C556 + $F$12*$F$9*(-H556)/IF(SQRT(G556^2+H556^2)=0,1,SQRT(G556^2+H556^2)))</x:f>
      </x:c>
      <x:c r="F556" s="14">
        <x:f>IF(B556="","", D556 + $F$12*$F$9*(G556)/IF(SQRT(G556^2+H556^2)=0,1,SQRT(G556^2+H556^2)))</x:f>
      </x:c>
      <x:c r="G556" s="14">
        <x:f>IF(B556="","", -$F$8*SIN(B556) - $B$7*$F$6*SIN($F$6*B556))</x:f>
      </x:c>
      <x:c r="H556" s="14">
        <x:f>IF(B556="","", $F$8*COS(B556) - $B$7*$F$6*COS($F$6*B556))</x:f>
      </x:c>
    </x:row>
    <x:row r="557">
      <x:c r="A557" s="13" t="n">
        <x:v>538</x:v>
      </x:c>
      <x:c r="B557" s="14">
        <x:f>IF($B$12&lt;538,"",$B$13+(538-1)*($B$14-$B$13)/($B$12-1))</x:f>
      </x:c>
      <x:c r="C557" s="14">
        <x:f>IF(B557="","",$F$8*COS(B557) + $B$7*COS($F$6*B557))</x:f>
      </x:c>
      <x:c r="D557" s="14">
        <x:f>IF(B557="","",$F$8*SIN(B557) - $B$7*SIN($F$6*B557))</x:f>
      </x:c>
      <x:c r="E557" s="14">
        <x:f>IF(B557="","", C557 + $F$12*$F$9*(-H557)/IF(SQRT(G557^2+H557^2)=0,1,SQRT(G557^2+H557^2)))</x:f>
      </x:c>
      <x:c r="F557" s="14">
        <x:f>IF(B557="","", D557 + $F$12*$F$9*(G557)/IF(SQRT(G557^2+H557^2)=0,1,SQRT(G557^2+H557^2)))</x:f>
      </x:c>
      <x:c r="G557" s="14">
        <x:f>IF(B557="","", -$F$8*SIN(B557) - $B$7*$F$6*SIN($F$6*B557))</x:f>
      </x:c>
      <x:c r="H557" s="14">
        <x:f>IF(B557="","", $F$8*COS(B557) - $B$7*$F$6*COS($F$6*B557))</x:f>
      </x:c>
    </x:row>
    <x:row r="558">
      <x:c r="A558" s="13" t="n">
        <x:v>539</x:v>
      </x:c>
      <x:c r="B558" s="14">
        <x:f>IF($B$12&lt;539,"",$B$13+(539-1)*($B$14-$B$13)/($B$12-1))</x:f>
      </x:c>
      <x:c r="C558" s="14">
        <x:f>IF(B558="","",$F$8*COS(B558) + $B$7*COS($F$6*B558))</x:f>
      </x:c>
      <x:c r="D558" s="14">
        <x:f>IF(B558="","",$F$8*SIN(B558) - $B$7*SIN($F$6*B558))</x:f>
      </x:c>
      <x:c r="E558" s="14">
        <x:f>IF(B558="","", C558 + $F$12*$F$9*(-H558)/IF(SQRT(G558^2+H558^2)=0,1,SQRT(G558^2+H558^2)))</x:f>
      </x:c>
      <x:c r="F558" s="14">
        <x:f>IF(B558="","", D558 + $F$12*$F$9*(G558)/IF(SQRT(G558^2+H558^2)=0,1,SQRT(G558^2+H558^2)))</x:f>
      </x:c>
      <x:c r="G558" s="14">
        <x:f>IF(B558="","", -$F$8*SIN(B558) - $B$7*$F$6*SIN($F$6*B558))</x:f>
      </x:c>
      <x:c r="H558" s="14">
        <x:f>IF(B558="","", $F$8*COS(B558) - $B$7*$F$6*COS($F$6*B558))</x:f>
      </x:c>
    </x:row>
    <x:row r="559">
      <x:c r="A559" s="13" t="n">
        <x:v>540</x:v>
      </x:c>
      <x:c r="B559" s="14">
        <x:f>IF($B$12&lt;540,"",$B$13+(540-1)*($B$14-$B$13)/($B$12-1))</x:f>
      </x:c>
      <x:c r="C559" s="14">
        <x:f>IF(B559="","",$F$8*COS(B559) + $B$7*COS($F$6*B559))</x:f>
      </x:c>
      <x:c r="D559" s="14">
        <x:f>IF(B559="","",$F$8*SIN(B559) - $B$7*SIN($F$6*B559))</x:f>
      </x:c>
      <x:c r="E559" s="14">
        <x:f>IF(B559="","", C559 + $F$12*$F$9*(-H559)/IF(SQRT(G559^2+H559^2)=0,1,SQRT(G559^2+H559^2)))</x:f>
      </x:c>
      <x:c r="F559" s="14">
        <x:f>IF(B559="","", D559 + $F$12*$F$9*(G559)/IF(SQRT(G559^2+H559^2)=0,1,SQRT(G559^2+H559^2)))</x:f>
      </x:c>
      <x:c r="G559" s="14">
        <x:f>IF(B559="","", -$F$8*SIN(B559) - $B$7*$F$6*SIN($F$6*B559))</x:f>
      </x:c>
      <x:c r="H559" s="14">
        <x:f>IF(B559="","", $F$8*COS(B559) - $B$7*$F$6*COS($F$6*B559))</x:f>
      </x:c>
    </x:row>
    <x:row r="560">
      <x:c r="A560" s="13" t="n">
        <x:v>541</x:v>
      </x:c>
      <x:c r="B560" s="14">
        <x:f>IF($B$12&lt;541,"",$B$13+(541-1)*($B$14-$B$13)/($B$12-1))</x:f>
      </x:c>
      <x:c r="C560" s="14">
        <x:f>IF(B560="","",$F$8*COS(B560) + $B$7*COS($F$6*B560))</x:f>
      </x:c>
      <x:c r="D560" s="14">
        <x:f>IF(B560="","",$F$8*SIN(B560) - $B$7*SIN($F$6*B560))</x:f>
      </x:c>
      <x:c r="E560" s="14">
        <x:f>IF(B560="","", C560 + $F$12*$F$9*(-H560)/IF(SQRT(G560^2+H560^2)=0,1,SQRT(G560^2+H560^2)))</x:f>
      </x:c>
      <x:c r="F560" s="14">
        <x:f>IF(B560="","", D560 + $F$12*$F$9*(G560)/IF(SQRT(G560^2+H560^2)=0,1,SQRT(G560^2+H560^2)))</x:f>
      </x:c>
      <x:c r="G560" s="14">
        <x:f>IF(B560="","", -$F$8*SIN(B560) - $B$7*$F$6*SIN($F$6*B560))</x:f>
      </x:c>
      <x:c r="H560" s="14">
        <x:f>IF(B560="","", $F$8*COS(B560) - $B$7*$F$6*COS($F$6*B560))</x:f>
      </x:c>
    </x:row>
    <x:row r="561">
      <x:c r="A561" s="13" t="n">
        <x:v>542</x:v>
      </x:c>
      <x:c r="B561" s="14">
        <x:f>IF($B$12&lt;542,"",$B$13+(542-1)*($B$14-$B$13)/($B$12-1))</x:f>
      </x:c>
      <x:c r="C561" s="14">
        <x:f>IF(B561="","",$F$8*COS(B561) + $B$7*COS($F$6*B561))</x:f>
      </x:c>
      <x:c r="D561" s="14">
        <x:f>IF(B561="","",$F$8*SIN(B561) - $B$7*SIN($F$6*B561))</x:f>
      </x:c>
      <x:c r="E561" s="14">
        <x:f>IF(B561="","", C561 + $F$12*$F$9*(-H561)/IF(SQRT(G561^2+H561^2)=0,1,SQRT(G561^2+H561^2)))</x:f>
      </x:c>
      <x:c r="F561" s="14">
        <x:f>IF(B561="","", D561 + $F$12*$F$9*(G561)/IF(SQRT(G561^2+H561^2)=0,1,SQRT(G561^2+H561^2)))</x:f>
      </x:c>
      <x:c r="G561" s="14">
        <x:f>IF(B561="","", -$F$8*SIN(B561) - $B$7*$F$6*SIN($F$6*B561))</x:f>
      </x:c>
      <x:c r="H561" s="14">
        <x:f>IF(B561="","", $F$8*COS(B561) - $B$7*$F$6*COS($F$6*B561))</x:f>
      </x:c>
    </x:row>
    <x:row r="562">
      <x:c r="A562" s="13" t="n">
        <x:v>543</x:v>
      </x:c>
      <x:c r="B562" s="14">
        <x:f>IF($B$12&lt;543,"",$B$13+(543-1)*($B$14-$B$13)/($B$12-1))</x:f>
      </x:c>
      <x:c r="C562" s="14">
        <x:f>IF(B562="","",$F$8*COS(B562) + $B$7*COS($F$6*B562))</x:f>
      </x:c>
      <x:c r="D562" s="14">
        <x:f>IF(B562="","",$F$8*SIN(B562) - $B$7*SIN($F$6*B562))</x:f>
      </x:c>
      <x:c r="E562" s="14">
        <x:f>IF(B562="","", C562 + $F$12*$F$9*(-H562)/IF(SQRT(G562^2+H562^2)=0,1,SQRT(G562^2+H562^2)))</x:f>
      </x:c>
      <x:c r="F562" s="14">
        <x:f>IF(B562="","", D562 + $F$12*$F$9*(G562)/IF(SQRT(G562^2+H562^2)=0,1,SQRT(G562^2+H562^2)))</x:f>
      </x:c>
      <x:c r="G562" s="14">
        <x:f>IF(B562="","", -$F$8*SIN(B562) - $B$7*$F$6*SIN($F$6*B562))</x:f>
      </x:c>
      <x:c r="H562" s="14">
        <x:f>IF(B562="","", $F$8*COS(B562) - $B$7*$F$6*COS($F$6*B562))</x:f>
      </x:c>
    </x:row>
    <x:row r="563">
      <x:c r="A563" s="13" t="n">
        <x:v>544</x:v>
      </x:c>
      <x:c r="B563" s="14">
        <x:f>IF($B$12&lt;544,"",$B$13+(544-1)*($B$14-$B$13)/($B$12-1))</x:f>
      </x:c>
      <x:c r="C563" s="14">
        <x:f>IF(B563="","",$F$8*COS(B563) + $B$7*COS($F$6*B563))</x:f>
      </x:c>
      <x:c r="D563" s="14">
        <x:f>IF(B563="","",$F$8*SIN(B563) - $B$7*SIN($F$6*B563))</x:f>
      </x:c>
      <x:c r="E563" s="14">
        <x:f>IF(B563="","", C563 + $F$12*$F$9*(-H563)/IF(SQRT(G563^2+H563^2)=0,1,SQRT(G563^2+H563^2)))</x:f>
      </x:c>
      <x:c r="F563" s="14">
        <x:f>IF(B563="","", D563 + $F$12*$F$9*(G563)/IF(SQRT(G563^2+H563^2)=0,1,SQRT(G563^2+H563^2)))</x:f>
      </x:c>
      <x:c r="G563" s="14">
        <x:f>IF(B563="","", -$F$8*SIN(B563) - $B$7*$F$6*SIN($F$6*B563))</x:f>
      </x:c>
      <x:c r="H563" s="14">
        <x:f>IF(B563="","", $F$8*COS(B563) - $B$7*$F$6*COS($F$6*B563))</x:f>
      </x:c>
    </x:row>
    <x:row r="564">
      <x:c r="A564" s="13" t="n">
        <x:v>545</x:v>
      </x:c>
      <x:c r="B564" s="14">
        <x:f>IF($B$12&lt;545,"",$B$13+(545-1)*($B$14-$B$13)/($B$12-1))</x:f>
      </x:c>
      <x:c r="C564" s="14">
        <x:f>IF(B564="","",$F$8*COS(B564) + $B$7*COS($F$6*B564))</x:f>
      </x:c>
      <x:c r="D564" s="14">
        <x:f>IF(B564="","",$F$8*SIN(B564) - $B$7*SIN($F$6*B564))</x:f>
      </x:c>
      <x:c r="E564" s="14">
        <x:f>IF(B564="","", C564 + $F$12*$F$9*(-H564)/IF(SQRT(G564^2+H564^2)=0,1,SQRT(G564^2+H564^2)))</x:f>
      </x:c>
      <x:c r="F564" s="14">
        <x:f>IF(B564="","", D564 + $F$12*$F$9*(G564)/IF(SQRT(G564^2+H564^2)=0,1,SQRT(G564^2+H564^2)))</x:f>
      </x:c>
      <x:c r="G564" s="14">
        <x:f>IF(B564="","", -$F$8*SIN(B564) - $B$7*$F$6*SIN($F$6*B564))</x:f>
      </x:c>
      <x:c r="H564" s="14">
        <x:f>IF(B564="","", $F$8*COS(B564) - $B$7*$F$6*COS($F$6*B564))</x:f>
      </x:c>
    </x:row>
    <x:row r="565">
      <x:c r="A565" s="13" t="n">
        <x:v>546</x:v>
      </x:c>
      <x:c r="B565" s="14">
        <x:f>IF($B$12&lt;546,"",$B$13+(546-1)*($B$14-$B$13)/($B$12-1))</x:f>
      </x:c>
      <x:c r="C565" s="14">
        <x:f>IF(B565="","",$F$8*COS(B565) + $B$7*COS($F$6*B565))</x:f>
      </x:c>
      <x:c r="D565" s="14">
        <x:f>IF(B565="","",$F$8*SIN(B565) - $B$7*SIN($F$6*B565))</x:f>
      </x:c>
      <x:c r="E565" s="14">
        <x:f>IF(B565="","", C565 + $F$12*$F$9*(-H565)/IF(SQRT(G565^2+H565^2)=0,1,SQRT(G565^2+H565^2)))</x:f>
      </x:c>
      <x:c r="F565" s="14">
        <x:f>IF(B565="","", D565 + $F$12*$F$9*(G565)/IF(SQRT(G565^2+H565^2)=0,1,SQRT(G565^2+H565^2)))</x:f>
      </x:c>
      <x:c r="G565" s="14">
        <x:f>IF(B565="","", -$F$8*SIN(B565) - $B$7*$F$6*SIN($F$6*B565))</x:f>
      </x:c>
      <x:c r="H565" s="14">
        <x:f>IF(B565="","", $F$8*COS(B565) - $B$7*$F$6*COS($F$6*B565))</x:f>
      </x:c>
    </x:row>
    <x:row r="566">
      <x:c r="A566" s="13" t="n">
        <x:v>547</x:v>
      </x:c>
      <x:c r="B566" s="14">
        <x:f>IF($B$12&lt;547,"",$B$13+(547-1)*($B$14-$B$13)/($B$12-1))</x:f>
      </x:c>
      <x:c r="C566" s="14">
        <x:f>IF(B566="","",$F$8*COS(B566) + $B$7*COS($F$6*B566))</x:f>
      </x:c>
      <x:c r="D566" s="14">
        <x:f>IF(B566="","",$F$8*SIN(B566) - $B$7*SIN($F$6*B566))</x:f>
      </x:c>
      <x:c r="E566" s="14">
        <x:f>IF(B566="","", C566 + $F$12*$F$9*(-H566)/IF(SQRT(G566^2+H566^2)=0,1,SQRT(G566^2+H566^2)))</x:f>
      </x:c>
      <x:c r="F566" s="14">
        <x:f>IF(B566="","", D566 + $F$12*$F$9*(G566)/IF(SQRT(G566^2+H566^2)=0,1,SQRT(G566^2+H566^2)))</x:f>
      </x:c>
      <x:c r="G566" s="14">
        <x:f>IF(B566="","", -$F$8*SIN(B566) - $B$7*$F$6*SIN($F$6*B566))</x:f>
      </x:c>
      <x:c r="H566" s="14">
        <x:f>IF(B566="","", $F$8*COS(B566) - $B$7*$F$6*COS($F$6*B566))</x:f>
      </x:c>
    </x:row>
    <x:row r="567">
      <x:c r="A567" s="13" t="n">
        <x:v>548</x:v>
      </x:c>
      <x:c r="B567" s="14">
        <x:f>IF($B$12&lt;548,"",$B$13+(548-1)*($B$14-$B$13)/($B$12-1))</x:f>
      </x:c>
      <x:c r="C567" s="14">
        <x:f>IF(B567="","",$F$8*COS(B567) + $B$7*COS($F$6*B567))</x:f>
      </x:c>
      <x:c r="D567" s="14">
        <x:f>IF(B567="","",$F$8*SIN(B567) - $B$7*SIN($F$6*B567))</x:f>
      </x:c>
      <x:c r="E567" s="14">
        <x:f>IF(B567="","", C567 + $F$12*$F$9*(-H567)/IF(SQRT(G567^2+H567^2)=0,1,SQRT(G567^2+H567^2)))</x:f>
      </x:c>
      <x:c r="F567" s="14">
        <x:f>IF(B567="","", D567 + $F$12*$F$9*(G567)/IF(SQRT(G567^2+H567^2)=0,1,SQRT(G567^2+H567^2)))</x:f>
      </x:c>
      <x:c r="G567" s="14">
        <x:f>IF(B567="","", -$F$8*SIN(B567) - $B$7*$F$6*SIN($F$6*B567))</x:f>
      </x:c>
      <x:c r="H567" s="14">
        <x:f>IF(B567="","", $F$8*COS(B567) - $B$7*$F$6*COS($F$6*B567))</x:f>
      </x:c>
    </x:row>
    <x:row r="568">
      <x:c r="A568" s="13" t="n">
        <x:v>549</x:v>
      </x:c>
      <x:c r="B568" s="14">
        <x:f>IF($B$12&lt;549,"",$B$13+(549-1)*($B$14-$B$13)/($B$12-1))</x:f>
      </x:c>
      <x:c r="C568" s="14">
        <x:f>IF(B568="","",$F$8*COS(B568) + $B$7*COS($F$6*B568))</x:f>
      </x:c>
      <x:c r="D568" s="14">
        <x:f>IF(B568="","",$F$8*SIN(B568) - $B$7*SIN($F$6*B568))</x:f>
      </x:c>
      <x:c r="E568" s="14">
        <x:f>IF(B568="","", C568 + $F$12*$F$9*(-H568)/IF(SQRT(G568^2+H568^2)=0,1,SQRT(G568^2+H568^2)))</x:f>
      </x:c>
      <x:c r="F568" s="14">
        <x:f>IF(B568="","", D568 + $F$12*$F$9*(G568)/IF(SQRT(G568^2+H568^2)=0,1,SQRT(G568^2+H568^2)))</x:f>
      </x:c>
      <x:c r="G568" s="14">
        <x:f>IF(B568="","", -$F$8*SIN(B568) - $B$7*$F$6*SIN($F$6*B568))</x:f>
      </x:c>
      <x:c r="H568" s="14">
        <x:f>IF(B568="","", $F$8*COS(B568) - $B$7*$F$6*COS($F$6*B568))</x:f>
      </x:c>
    </x:row>
    <x:row r="569">
      <x:c r="A569" s="13" t="n">
        <x:v>550</x:v>
      </x:c>
      <x:c r="B569" s="14">
        <x:f>IF($B$12&lt;550,"",$B$13+(550-1)*($B$14-$B$13)/($B$12-1))</x:f>
      </x:c>
      <x:c r="C569" s="14">
        <x:f>IF(B569="","",$F$8*COS(B569) + $B$7*COS($F$6*B569))</x:f>
      </x:c>
      <x:c r="D569" s="14">
        <x:f>IF(B569="","",$F$8*SIN(B569) - $B$7*SIN($F$6*B569))</x:f>
      </x:c>
      <x:c r="E569" s="14">
        <x:f>IF(B569="","", C569 + $F$12*$F$9*(-H569)/IF(SQRT(G569^2+H569^2)=0,1,SQRT(G569^2+H569^2)))</x:f>
      </x:c>
      <x:c r="F569" s="14">
        <x:f>IF(B569="","", D569 + $F$12*$F$9*(G569)/IF(SQRT(G569^2+H569^2)=0,1,SQRT(G569^2+H569^2)))</x:f>
      </x:c>
      <x:c r="G569" s="14">
        <x:f>IF(B569="","", -$F$8*SIN(B569) - $B$7*$F$6*SIN($F$6*B569))</x:f>
      </x:c>
      <x:c r="H569" s="14">
        <x:f>IF(B569="","", $F$8*COS(B569) - $B$7*$F$6*COS($F$6*B569))</x:f>
      </x:c>
    </x:row>
    <x:row r="570">
      <x:c r="A570" s="13" t="n">
        <x:v>551</x:v>
      </x:c>
      <x:c r="B570" s="14">
        <x:f>IF($B$12&lt;551,"",$B$13+(551-1)*($B$14-$B$13)/($B$12-1))</x:f>
      </x:c>
      <x:c r="C570" s="14">
        <x:f>IF(B570="","",$F$8*COS(B570) + $B$7*COS($F$6*B570))</x:f>
      </x:c>
      <x:c r="D570" s="14">
        <x:f>IF(B570="","",$F$8*SIN(B570) - $B$7*SIN($F$6*B570))</x:f>
      </x:c>
      <x:c r="E570" s="14">
        <x:f>IF(B570="","", C570 + $F$12*$F$9*(-H570)/IF(SQRT(G570^2+H570^2)=0,1,SQRT(G570^2+H570^2)))</x:f>
      </x:c>
      <x:c r="F570" s="14">
        <x:f>IF(B570="","", D570 + $F$12*$F$9*(G570)/IF(SQRT(G570^2+H570^2)=0,1,SQRT(G570^2+H570^2)))</x:f>
      </x:c>
      <x:c r="G570" s="14">
        <x:f>IF(B570="","", -$F$8*SIN(B570) - $B$7*$F$6*SIN($F$6*B570))</x:f>
      </x:c>
      <x:c r="H570" s="14">
        <x:f>IF(B570="","", $F$8*COS(B570) - $B$7*$F$6*COS($F$6*B570))</x:f>
      </x:c>
    </x:row>
    <x:row r="571">
      <x:c r="A571" s="13" t="n">
        <x:v>552</x:v>
      </x:c>
      <x:c r="B571" s="14">
        <x:f>IF($B$12&lt;552,"",$B$13+(552-1)*($B$14-$B$13)/($B$12-1))</x:f>
      </x:c>
      <x:c r="C571" s="14">
        <x:f>IF(B571="","",$F$8*COS(B571) + $B$7*COS($F$6*B571))</x:f>
      </x:c>
      <x:c r="D571" s="14">
        <x:f>IF(B571="","",$F$8*SIN(B571) - $B$7*SIN($F$6*B571))</x:f>
      </x:c>
      <x:c r="E571" s="14">
        <x:f>IF(B571="","", C571 + $F$12*$F$9*(-H571)/IF(SQRT(G571^2+H571^2)=0,1,SQRT(G571^2+H571^2)))</x:f>
      </x:c>
      <x:c r="F571" s="14">
        <x:f>IF(B571="","", D571 + $F$12*$F$9*(G571)/IF(SQRT(G571^2+H571^2)=0,1,SQRT(G571^2+H571^2)))</x:f>
      </x:c>
      <x:c r="G571" s="14">
        <x:f>IF(B571="","", -$F$8*SIN(B571) - $B$7*$F$6*SIN($F$6*B571))</x:f>
      </x:c>
      <x:c r="H571" s="14">
        <x:f>IF(B571="","", $F$8*COS(B571) - $B$7*$F$6*COS($F$6*B571))</x:f>
      </x:c>
    </x:row>
    <x:row r="572">
      <x:c r="A572" s="13" t="n">
        <x:v>553</x:v>
      </x:c>
      <x:c r="B572" s="14">
        <x:f>IF($B$12&lt;553,"",$B$13+(553-1)*($B$14-$B$13)/($B$12-1))</x:f>
      </x:c>
      <x:c r="C572" s="14">
        <x:f>IF(B572="","",$F$8*COS(B572) + $B$7*COS($F$6*B572))</x:f>
      </x:c>
      <x:c r="D572" s="14">
        <x:f>IF(B572="","",$F$8*SIN(B572) - $B$7*SIN($F$6*B572))</x:f>
      </x:c>
      <x:c r="E572" s="14">
        <x:f>IF(B572="","", C572 + $F$12*$F$9*(-H572)/IF(SQRT(G572^2+H572^2)=0,1,SQRT(G572^2+H572^2)))</x:f>
      </x:c>
      <x:c r="F572" s="14">
        <x:f>IF(B572="","", D572 + $F$12*$F$9*(G572)/IF(SQRT(G572^2+H572^2)=0,1,SQRT(G572^2+H572^2)))</x:f>
      </x:c>
      <x:c r="G572" s="14">
        <x:f>IF(B572="","", -$F$8*SIN(B572) - $B$7*$F$6*SIN($F$6*B572))</x:f>
      </x:c>
      <x:c r="H572" s="14">
        <x:f>IF(B572="","", $F$8*COS(B572) - $B$7*$F$6*COS($F$6*B572))</x:f>
      </x:c>
    </x:row>
    <x:row r="573">
      <x:c r="A573" s="13" t="n">
        <x:v>554</x:v>
      </x:c>
      <x:c r="B573" s="14">
        <x:f>IF($B$12&lt;554,"",$B$13+(554-1)*($B$14-$B$13)/($B$12-1))</x:f>
      </x:c>
      <x:c r="C573" s="14">
        <x:f>IF(B573="","",$F$8*COS(B573) + $B$7*COS($F$6*B573))</x:f>
      </x:c>
      <x:c r="D573" s="14">
        <x:f>IF(B573="","",$F$8*SIN(B573) - $B$7*SIN($F$6*B573))</x:f>
      </x:c>
      <x:c r="E573" s="14">
        <x:f>IF(B573="","", C573 + $F$12*$F$9*(-H573)/IF(SQRT(G573^2+H573^2)=0,1,SQRT(G573^2+H573^2)))</x:f>
      </x:c>
      <x:c r="F573" s="14">
        <x:f>IF(B573="","", D573 + $F$12*$F$9*(G573)/IF(SQRT(G573^2+H573^2)=0,1,SQRT(G573^2+H573^2)))</x:f>
      </x:c>
      <x:c r="G573" s="14">
        <x:f>IF(B573="","", -$F$8*SIN(B573) - $B$7*$F$6*SIN($F$6*B573))</x:f>
      </x:c>
      <x:c r="H573" s="14">
        <x:f>IF(B573="","", $F$8*COS(B573) - $B$7*$F$6*COS($F$6*B573))</x:f>
      </x:c>
    </x:row>
    <x:row r="574">
      <x:c r="A574" s="13" t="n">
        <x:v>555</x:v>
      </x:c>
      <x:c r="B574" s="14">
        <x:f>IF($B$12&lt;555,"",$B$13+(555-1)*($B$14-$B$13)/($B$12-1))</x:f>
      </x:c>
      <x:c r="C574" s="14">
        <x:f>IF(B574="","",$F$8*COS(B574) + $B$7*COS($F$6*B574))</x:f>
      </x:c>
      <x:c r="D574" s="14">
        <x:f>IF(B574="","",$F$8*SIN(B574) - $B$7*SIN($F$6*B574))</x:f>
      </x:c>
      <x:c r="E574" s="14">
        <x:f>IF(B574="","", C574 + $F$12*$F$9*(-H574)/IF(SQRT(G574^2+H574^2)=0,1,SQRT(G574^2+H574^2)))</x:f>
      </x:c>
      <x:c r="F574" s="14">
        <x:f>IF(B574="","", D574 + $F$12*$F$9*(G574)/IF(SQRT(G574^2+H574^2)=0,1,SQRT(G574^2+H574^2)))</x:f>
      </x:c>
      <x:c r="G574" s="14">
        <x:f>IF(B574="","", -$F$8*SIN(B574) - $B$7*$F$6*SIN($F$6*B574))</x:f>
      </x:c>
      <x:c r="H574" s="14">
        <x:f>IF(B574="","", $F$8*COS(B574) - $B$7*$F$6*COS($F$6*B574))</x:f>
      </x:c>
    </x:row>
    <x:row r="575">
      <x:c r="A575" s="13" t="n">
        <x:v>556</x:v>
      </x:c>
      <x:c r="B575" s="14">
        <x:f>IF($B$12&lt;556,"",$B$13+(556-1)*($B$14-$B$13)/($B$12-1))</x:f>
      </x:c>
      <x:c r="C575" s="14">
        <x:f>IF(B575="","",$F$8*COS(B575) + $B$7*COS($F$6*B575))</x:f>
      </x:c>
      <x:c r="D575" s="14">
        <x:f>IF(B575="","",$F$8*SIN(B575) - $B$7*SIN($F$6*B575))</x:f>
      </x:c>
      <x:c r="E575" s="14">
        <x:f>IF(B575="","", C575 + $F$12*$F$9*(-H575)/IF(SQRT(G575^2+H575^2)=0,1,SQRT(G575^2+H575^2)))</x:f>
      </x:c>
      <x:c r="F575" s="14">
        <x:f>IF(B575="","", D575 + $F$12*$F$9*(G575)/IF(SQRT(G575^2+H575^2)=0,1,SQRT(G575^2+H575^2)))</x:f>
      </x:c>
      <x:c r="G575" s="14">
        <x:f>IF(B575="","", -$F$8*SIN(B575) - $B$7*$F$6*SIN($F$6*B575))</x:f>
      </x:c>
      <x:c r="H575" s="14">
        <x:f>IF(B575="","", $F$8*COS(B575) - $B$7*$F$6*COS($F$6*B575))</x:f>
      </x:c>
    </x:row>
    <x:row r="576">
      <x:c r="A576" s="13" t="n">
        <x:v>557</x:v>
      </x:c>
      <x:c r="B576" s="14">
        <x:f>IF($B$12&lt;557,"",$B$13+(557-1)*($B$14-$B$13)/($B$12-1))</x:f>
      </x:c>
      <x:c r="C576" s="14">
        <x:f>IF(B576="","",$F$8*COS(B576) + $B$7*COS($F$6*B576))</x:f>
      </x:c>
      <x:c r="D576" s="14">
        <x:f>IF(B576="","",$F$8*SIN(B576) - $B$7*SIN($F$6*B576))</x:f>
      </x:c>
      <x:c r="E576" s="14">
        <x:f>IF(B576="","", C576 + $F$12*$F$9*(-H576)/IF(SQRT(G576^2+H576^2)=0,1,SQRT(G576^2+H576^2)))</x:f>
      </x:c>
      <x:c r="F576" s="14">
        <x:f>IF(B576="","", D576 + $F$12*$F$9*(G576)/IF(SQRT(G576^2+H576^2)=0,1,SQRT(G576^2+H576^2)))</x:f>
      </x:c>
      <x:c r="G576" s="14">
        <x:f>IF(B576="","", -$F$8*SIN(B576) - $B$7*$F$6*SIN($F$6*B576))</x:f>
      </x:c>
      <x:c r="H576" s="14">
        <x:f>IF(B576="","", $F$8*COS(B576) - $B$7*$F$6*COS($F$6*B576))</x:f>
      </x:c>
    </x:row>
    <x:row r="577">
      <x:c r="A577" s="13" t="n">
        <x:v>558</x:v>
      </x:c>
      <x:c r="B577" s="14">
        <x:f>IF($B$12&lt;558,"",$B$13+(558-1)*($B$14-$B$13)/($B$12-1))</x:f>
      </x:c>
      <x:c r="C577" s="14">
        <x:f>IF(B577="","",$F$8*COS(B577) + $B$7*COS($F$6*B577))</x:f>
      </x:c>
      <x:c r="D577" s="14">
        <x:f>IF(B577="","",$F$8*SIN(B577) - $B$7*SIN($F$6*B577))</x:f>
      </x:c>
      <x:c r="E577" s="14">
        <x:f>IF(B577="","", C577 + $F$12*$F$9*(-H577)/IF(SQRT(G577^2+H577^2)=0,1,SQRT(G577^2+H577^2)))</x:f>
      </x:c>
      <x:c r="F577" s="14">
        <x:f>IF(B577="","", D577 + $F$12*$F$9*(G577)/IF(SQRT(G577^2+H577^2)=0,1,SQRT(G577^2+H577^2)))</x:f>
      </x:c>
      <x:c r="G577" s="14">
        <x:f>IF(B577="","", -$F$8*SIN(B577) - $B$7*$F$6*SIN($F$6*B577))</x:f>
      </x:c>
      <x:c r="H577" s="14">
        <x:f>IF(B577="","", $F$8*COS(B577) - $B$7*$F$6*COS($F$6*B577))</x:f>
      </x:c>
    </x:row>
    <x:row r="578">
      <x:c r="A578" s="13" t="n">
        <x:v>559</x:v>
      </x:c>
      <x:c r="B578" s="14">
        <x:f>IF($B$12&lt;559,"",$B$13+(559-1)*($B$14-$B$13)/($B$12-1))</x:f>
      </x:c>
      <x:c r="C578" s="14">
        <x:f>IF(B578="","",$F$8*COS(B578) + $B$7*COS($F$6*B578))</x:f>
      </x:c>
      <x:c r="D578" s="14">
        <x:f>IF(B578="","",$F$8*SIN(B578) - $B$7*SIN($F$6*B578))</x:f>
      </x:c>
      <x:c r="E578" s="14">
        <x:f>IF(B578="","", C578 + $F$12*$F$9*(-H578)/IF(SQRT(G578^2+H578^2)=0,1,SQRT(G578^2+H578^2)))</x:f>
      </x:c>
      <x:c r="F578" s="14">
        <x:f>IF(B578="","", D578 + $F$12*$F$9*(G578)/IF(SQRT(G578^2+H578^2)=0,1,SQRT(G578^2+H578^2)))</x:f>
      </x:c>
      <x:c r="G578" s="14">
        <x:f>IF(B578="","", -$F$8*SIN(B578) - $B$7*$F$6*SIN($F$6*B578))</x:f>
      </x:c>
      <x:c r="H578" s="14">
        <x:f>IF(B578="","", $F$8*COS(B578) - $B$7*$F$6*COS($F$6*B578))</x:f>
      </x:c>
    </x:row>
    <x:row r="579">
      <x:c r="A579" s="13" t="n">
        <x:v>560</x:v>
      </x:c>
      <x:c r="B579" s="14">
        <x:f>IF($B$12&lt;560,"",$B$13+(560-1)*($B$14-$B$13)/($B$12-1))</x:f>
      </x:c>
      <x:c r="C579" s="14">
        <x:f>IF(B579="","",$F$8*COS(B579) + $B$7*COS($F$6*B579))</x:f>
      </x:c>
      <x:c r="D579" s="14">
        <x:f>IF(B579="","",$F$8*SIN(B579) - $B$7*SIN($F$6*B579))</x:f>
      </x:c>
      <x:c r="E579" s="14">
        <x:f>IF(B579="","", C579 + $F$12*$F$9*(-H579)/IF(SQRT(G579^2+H579^2)=0,1,SQRT(G579^2+H579^2)))</x:f>
      </x:c>
      <x:c r="F579" s="14">
        <x:f>IF(B579="","", D579 + $F$12*$F$9*(G579)/IF(SQRT(G579^2+H579^2)=0,1,SQRT(G579^2+H579^2)))</x:f>
      </x:c>
      <x:c r="G579" s="14">
        <x:f>IF(B579="","", -$F$8*SIN(B579) - $B$7*$F$6*SIN($F$6*B579))</x:f>
      </x:c>
      <x:c r="H579" s="14">
        <x:f>IF(B579="","", $F$8*COS(B579) - $B$7*$F$6*COS($F$6*B579))</x:f>
      </x:c>
    </x:row>
    <x:row r="580">
      <x:c r="A580" s="13" t="n">
        <x:v>561</x:v>
      </x:c>
      <x:c r="B580" s="14">
        <x:f>IF($B$12&lt;561,"",$B$13+(561-1)*($B$14-$B$13)/($B$12-1))</x:f>
      </x:c>
      <x:c r="C580" s="14">
        <x:f>IF(B580="","",$F$8*COS(B580) + $B$7*COS($F$6*B580))</x:f>
      </x:c>
      <x:c r="D580" s="14">
        <x:f>IF(B580="","",$F$8*SIN(B580) - $B$7*SIN($F$6*B580))</x:f>
      </x:c>
      <x:c r="E580" s="14">
        <x:f>IF(B580="","", C580 + $F$12*$F$9*(-H580)/IF(SQRT(G580^2+H580^2)=0,1,SQRT(G580^2+H580^2)))</x:f>
      </x:c>
      <x:c r="F580" s="14">
        <x:f>IF(B580="","", D580 + $F$12*$F$9*(G580)/IF(SQRT(G580^2+H580^2)=0,1,SQRT(G580^2+H580^2)))</x:f>
      </x:c>
      <x:c r="G580" s="14">
        <x:f>IF(B580="","", -$F$8*SIN(B580) - $B$7*$F$6*SIN($F$6*B580))</x:f>
      </x:c>
      <x:c r="H580" s="14">
        <x:f>IF(B580="","", $F$8*COS(B580) - $B$7*$F$6*COS($F$6*B580))</x:f>
      </x:c>
    </x:row>
    <x:row r="581">
      <x:c r="A581" s="13" t="n">
        <x:v>562</x:v>
      </x:c>
      <x:c r="B581" s="14">
        <x:f>IF($B$12&lt;562,"",$B$13+(562-1)*($B$14-$B$13)/($B$12-1))</x:f>
      </x:c>
      <x:c r="C581" s="14">
        <x:f>IF(B581="","",$F$8*COS(B581) + $B$7*COS($F$6*B581))</x:f>
      </x:c>
      <x:c r="D581" s="14">
        <x:f>IF(B581="","",$F$8*SIN(B581) - $B$7*SIN($F$6*B581))</x:f>
      </x:c>
      <x:c r="E581" s="14">
        <x:f>IF(B581="","", C581 + $F$12*$F$9*(-H581)/IF(SQRT(G581^2+H581^2)=0,1,SQRT(G581^2+H581^2)))</x:f>
      </x:c>
      <x:c r="F581" s="14">
        <x:f>IF(B581="","", D581 + $F$12*$F$9*(G581)/IF(SQRT(G581^2+H581^2)=0,1,SQRT(G581^2+H581^2)))</x:f>
      </x:c>
      <x:c r="G581" s="14">
        <x:f>IF(B581="","", -$F$8*SIN(B581) - $B$7*$F$6*SIN($F$6*B581))</x:f>
      </x:c>
      <x:c r="H581" s="14">
        <x:f>IF(B581="","", $F$8*COS(B581) - $B$7*$F$6*COS($F$6*B581))</x:f>
      </x:c>
    </x:row>
    <x:row r="582">
      <x:c r="A582" s="13" t="n">
        <x:v>563</x:v>
      </x:c>
      <x:c r="B582" s="14">
        <x:f>IF($B$12&lt;563,"",$B$13+(563-1)*($B$14-$B$13)/($B$12-1))</x:f>
      </x:c>
      <x:c r="C582" s="14">
        <x:f>IF(B582="","",$F$8*COS(B582) + $B$7*COS($F$6*B582))</x:f>
      </x:c>
      <x:c r="D582" s="14">
        <x:f>IF(B582="","",$F$8*SIN(B582) - $B$7*SIN($F$6*B582))</x:f>
      </x:c>
      <x:c r="E582" s="14">
        <x:f>IF(B582="","", C582 + $F$12*$F$9*(-H582)/IF(SQRT(G582^2+H582^2)=0,1,SQRT(G582^2+H582^2)))</x:f>
      </x:c>
      <x:c r="F582" s="14">
        <x:f>IF(B582="","", D582 + $F$12*$F$9*(G582)/IF(SQRT(G582^2+H582^2)=0,1,SQRT(G582^2+H582^2)))</x:f>
      </x:c>
      <x:c r="G582" s="14">
        <x:f>IF(B582="","", -$F$8*SIN(B582) - $B$7*$F$6*SIN($F$6*B582))</x:f>
      </x:c>
      <x:c r="H582" s="14">
        <x:f>IF(B582="","", $F$8*COS(B582) - $B$7*$F$6*COS($F$6*B582))</x:f>
      </x:c>
    </x:row>
    <x:row r="583">
      <x:c r="A583" s="13" t="n">
        <x:v>564</x:v>
      </x:c>
      <x:c r="B583" s="14">
        <x:f>IF($B$12&lt;564,"",$B$13+(564-1)*($B$14-$B$13)/($B$12-1))</x:f>
      </x:c>
      <x:c r="C583" s="14">
        <x:f>IF(B583="","",$F$8*COS(B583) + $B$7*COS($F$6*B583))</x:f>
      </x:c>
      <x:c r="D583" s="14">
        <x:f>IF(B583="","",$F$8*SIN(B583) - $B$7*SIN($F$6*B583))</x:f>
      </x:c>
      <x:c r="E583" s="14">
        <x:f>IF(B583="","", C583 + $F$12*$F$9*(-H583)/IF(SQRT(G583^2+H583^2)=0,1,SQRT(G583^2+H583^2)))</x:f>
      </x:c>
      <x:c r="F583" s="14">
        <x:f>IF(B583="","", D583 + $F$12*$F$9*(G583)/IF(SQRT(G583^2+H583^2)=0,1,SQRT(G583^2+H583^2)))</x:f>
      </x:c>
      <x:c r="G583" s="14">
        <x:f>IF(B583="","", -$F$8*SIN(B583) - $B$7*$F$6*SIN($F$6*B583))</x:f>
      </x:c>
      <x:c r="H583" s="14">
        <x:f>IF(B583="","", $F$8*COS(B583) - $B$7*$F$6*COS($F$6*B583))</x:f>
      </x:c>
    </x:row>
    <x:row r="584">
      <x:c r="A584" s="13" t="n">
        <x:v>565</x:v>
      </x:c>
      <x:c r="B584" s="14">
        <x:f>IF($B$12&lt;565,"",$B$13+(565-1)*($B$14-$B$13)/($B$12-1))</x:f>
      </x:c>
      <x:c r="C584" s="14">
        <x:f>IF(B584="","",$F$8*COS(B584) + $B$7*COS($F$6*B584))</x:f>
      </x:c>
      <x:c r="D584" s="14">
        <x:f>IF(B584="","",$F$8*SIN(B584) - $B$7*SIN($F$6*B584))</x:f>
      </x:c>
      <x:c r="E584" s="14">
        <x:f>IF(B584="","", C584 + $F$12*$F$9*(-H584)/IF(SQRT(G584^2+H584^2)=0,1,SQRT(G584^2+H584^2)))</x:f>
      </x:c>
      <x:c r="F584" s="14">
        <x:f>IF(B584="","", D584 + $F$12*$F$9*(G584)/IF(SQRT(G584^2+H584^2)=0,1,SQRT(G584^2+H584^2)))</x:f>
      </x:c>
      <x:c r="G584" s="14">
        <x:f>IF(B584="","", -$F$8*SIN(B584) - $B$7*$F$6*SIN($F$6*B584))</x:f>
      </x:c>
      <x:c r="H584" s="14">
        <x:f>IF(B584="","", $F$8*COS(B584) - $B$7*$F$6*COS($F$6*B584))</x:f>
      </x:c>
    </x:row>
    <x:row r="585">
      <x:c r="A585" s="13" t="n">
        <x:v>566</x:v>
      </x:c>
      <x:c r="B585" s="14">
        <x:f>IF($B$12&lt;566,"",$B$13+(566-1)*($B$14-$B$13)/($B$12-1))</x:f>
      </x:c>
      <x:c r="C585" s="14">
        <x:f>IF(B585="","",$F$8*COS(B585) + $B$7*COS($F$6*B585))</x:f>
      </x:c>
      <x:c r="D585" s="14">
        <x:f>IF(B585="","",$F$8*SIN(B585) - $B$7*SIN($F$6*B585))</x:f>
      </x:c>
      <x:c r="E585" s="14">
        <x:f>IF(B585="","", C585 + $F$12*$F$9*(-H585)/IF(SQRT(G585^2+H585^2)=0,1,SQRT(G585^2+H585^2)))</x:f>
      </x:c>
      <x:c r="F585" s="14">
        <x:f>IF(B585="","", D585 + $F$12*$F$9*(G585)/IF(SQRT(G585^2+H585^2)=0,1,SQRT(G585^2+H585^2)))</x:f>
      </x:c>
      <x:c r="G585" s="14">
        <x:f>IF(B585="","", -$F$8*SIN(B585) - $B$7*$F$6*SIN($F$6*B585))</x:f>
      </x:c>
      <x:c r="H585" s="14">
        <x:f>IF(B585="","", $F$8*COS(B585) - $B$7*$F$6*COS($F$6*B585))</x:f>
      </x:c>
    </x:row>
    <x:row r="586">
      <x:c r="A586" s="13" t="n">
        <x:v>567</x:v>
      </x:c>
      <x:c r="B586" s="14">
        <x:f>IF($B$12&lt;567,"",$B$13+(567-1)*($B$14-$B$13)/($B$12-1))</x:f>
      </x:c>
      <x:c r="C586" s="14">
        <x:f>IF(B586="","",$F$8*COS(B586) + $B$7*COS($F$6*B586))</x:f>
      </x:c>
      <x:c r="D586" s="14">
        <x:f>IF(B586="","",$F$8*SIN(B586) - $B$7*SIN($F$6*B586))</x:f>
      </x:c>
      <x:c r="E586" s="14">
        <x:f>IF(B586="","", C586 + $F$12*$F$9*(-H586)/IF(SQRT(G586^2+H586^2)=0,1,SQRT(G586^2+H586^2)))</x:f>
      </x:c>
      <x:c r="F586" s="14">
        <x:f>IF(B586="","", D586 + $F$12*$F$9*(G586)/IF(SQRT(G586^2+H586^2)=0,1,SQRT(G586^2+H586^2)))</x:f>
      </x:c>
      <x:c r="G586" s="14">
        <x:f>IF(B586="","", -$F$8*SIN(B586) - $B$7*$F$6*SIN($F$6*B586))</x:f>
      </x:c>
      <x:c r="H586" s="14">
        <x:f>IF(B586="","", $F$8*COS(B586) - $B$7*$F$6*COS($F$6*B586))</x:f>
      </x:c>
    </x:row>
    <x:row r="587">
      <x:c r="A587" s="13" t="n">
        <x:v>568</x:v>
      </x:c>
      <x:c r="B587" s="14">
        <x:f>IF($B$12&lt;568,"",$B$13+(568-1)*($B$14-$B$13)/($B$12-1))</x:f>
      </x:c>
      <x:c r="C587" s="14">
        <x:f>IF(B587="","",$F$8*COS(B587) + $B$7*COS($F$6*B587))</x:f>
      </x:c>
      <x:c r="D587" s="14">
        <x:f>IF(B587="","",$F$8*SIN(B587) - $B$7*SIN($F$6*B587))</x:f>
      </x:c>
      <x:c r="E587" s="14">
        <x:f>IF(B587="","", C587 + $F$12*$F$9*(-H587)/IF(SQRT(G587^2+H587^2)=0,1,SQRT(G587^2+H587^2)))</x:f>
      </x:c>
      <x:c r="F587" s="14">
        <x:f>IF(B587="","", D587 + $F$12*$F$9*(G587)/IF(SQRT(G587^2+H587^2)=0,1,SQRT(G587^2+H587^2)))</x:f>
      </x:c>
      <x:c r="G587" s="14">
        <x:f>IF(B587="","", -$F$8*SIN(B587) - $B$7*$F$6*SIN($F$6*B587))</x:f>
      </x:c>
      <x:c r="H587" s="14">
        <x:f>IF(B587="","", $F$8*COS(B587) - $B$7*$F$6*COS($F$6*B587))</x:f>
      </x:c>
    </x:row>
    <x:row r="588">
      <x:c r="A588" s="13" t="n">
        <x:v>569</x:v>
      </x:c>
      <x:c r="B588" s="14">
        <x:f>IF($B$12&lt;569,"",$B$13+(569-1)*($B$14-$B$13)/($B$12-1))</x:f>
      </x:c>
      <x:c r="C588" s="14">
        <x:f>IF(B588="","",$F$8*COS(B588) + $B$7*COS($F$6*B588))</x:f>
      </x:c>
      <x:c r="D588" s="14">
        <x:f>IF(B588="","",$F$8*SIN(B588) - $B$7*SIN($F$6*B588))</x:f>
      </x:c>
      <x:c r="E588" s="14">
        <x:f>IF(B588="","", C588 + $F$12*$F$9*(-H588)/IF(SQRT(G588^2+H588^2)=0,1,SQRT(G588^2+H588^2)))</x:f>
      </x:c>
      <x:c r="F588" s="14">
        <x:f>IF(B588="","", D588 + $F$12*$F$9*(G588)/IF(SQRT(G588^2+H588^2)=0,1,SQRT(G588^2+H588^2)))</x:f>
      </x:c>
      <x:c r="G588" s="14">
        <x:f>IF(B588="","", -$F$8*SIN(B588) - $B$7*$F$6*SIN($F$6*B588))</x:f>
      </x:c>
      <x:c r="H588" s="14">
        <x:f>IF(B588="","", $F$8*COS(B588) - $B$7*$F$6*COS($F$6*B588))</x:f>
      </x:c>
    </x:row>
    <x:row r="589">
      <x:c r="A589" s="13" t="n">
        <x:v>570</x:v>
      </x:c>
      <x:c r="B589" s="14">
        <x:f>IF($B$12&lt;570,"",$B$13+(570-1)*($B$14-$B$13)/($B$12-1))</x:f>
      </x:c>
      <x:c r="C589" s="14">
        <x:f>IF(B589="","",$F$8*COS(B589) + $B$7*COS($F$6*B589))</x:f>
      </x:c>
      <x:c r="D589" s="14">
        <x:f>IF(B589="","",$F$8*SIN(B589) - $B$7*SIN($F$6*B589))</x:f>
      </x:c>
      <x:c r="E589" s="14">
        <x:f>IF(B589="","", C589 + $F$12*$F$9*(-H589)/IF(SQRT(G589^2+H589^2)=0,1,SQRT(G589^2+H589^2)))</x:f>
      </x:c>
      <x:c r="F589" s="14">
        <x:f>IF(B589="","", D589 + $F$12*$F$9*(G589)/IF(SQRT(G589^2+H589^2)=0,1,SQRT(G589^2+H589^2)))</x:f>
      </x:c>
      <x:c r="G589" s="14">
        <x:f>IF(B589="","", -$F$8*SIN(B589) - $B$7*$F$6*SIN($F$6*B589))</x:f>
      </x:c>
      <x:c r="H589" s="14">
        <x:f>IF(B589="","", $F$8*COS(B589) - $B$7*$F$6*COS($F$6*B589))</x:f>
      </x:c>
    </x:row>
    <x:row r="590">
      <x:c r="A590" s="13" t="n">
        <x:v>571</x:v>
      </x:c>
      <x:c r="B590" s="14">
        <x:f>IF($B$12&lt;571,"",$B$13+(571-1)*($B$14-$B$13)/($B$12-1))</x:f>
      </x:c>
      <x:c r="C590" s="14">
        <x:f>IF(B590="","",$F$8*COS(B590) + $B$7*COS($F$6*B590))</x:f>
      </x:c>
      <x:c r="D590" s="14">
        <x:f>IF(B590="","",$F$8*SIN(B590) - $B$7*SIN($F$6*B590))</x:f>
      </x:c>
      <x:c r="E590" s="14">
        <x:f>IF(B590="","", C590 + $F$12*$F$9*(-H590)/IF(SQRT(G590^2+H590^2)=0,1,SQRT(G590^2+H590^2)))</x:f>
      </x:c>
      <x:c r="F590" s="14">
        <x:f>IF(B590="","", D590 + $F$12*$F$9*(G590)/IF(SQRT(G590^2+H590^2)=0,1,SQRT(G590^2+H590^2)))</x:f>
      </x:c>
      <x:c r="G590" s="14">
        <x:f>IF(B590="","", -$F$8*SIN(B590) - $B$7*$F$6*SIN($F$6*B590))</x:f>
      </x:c>
      <x:c r="H590" s="14">
        <x:f>IF(B590="","", $F$8*COS(B590) - $B$7*$F$6*COS($F$6*B590))</x:f>
      </x:c>
    </x:row>
    <x:row r="591">
      <x:c r="A591" s="13" t="n">
        <x:v>572</x:v>
      </x:c>
      <x:c r="B591" s="14">
        <x:f>IF($B$12&lt;572,"",$B$13+(572-1)*($B$14-$B$13)/($B$12-1))</x:f>
      </x:c>
      <x:c r="C591" s="14">
        <x:f>IF(B591="","",$F$8*COS(B591) + $B$7*COS($F$6*B591))</x:f>
      </x:c>
      <x:c r="D591" s="14">
        <x:f>IF(B591="","",$F$8*SIN(B591) - $B$7*SIN($F$6*B591))</x:f>
      </x:c>
      <x:c r="E591" s="14">
        <x:f>IF(B591="","", C591 + $F$12*$F$9*(-H591)/IF(SQRT(G591^2+H591^2)=0,1,SQRT(G591^2+H591^2)))</x:f>
      </x:c>
      <x:c r="F591" s="14">
        <x:f>IF(B591="","", D591 + $F$12*$F$9*(G591)/IF(SQRT(G591^2+H591^2)=0,1,SQRT(G591^2+H591^2)))</x:f>
      </x:c>
      <x:c r="G591" s="14">
        <x:f>IF(B591="","", -$F$8*SIN(B591) - $B$7*$F$6*SIN($F$6*B591))</x:f>
      </x:c>
      <x:c r="H591" s="14">
        <x:f>IF(B591="","", $F$8*COS(B591) - $B$7*$F$6*COS($F$6*B591))</x:f>
      </x:c>
    </x:row>
    <x:row r="592">
      <x:c r="A592" s="13" t="n">
        <x:v>573</x:v>
      </x:c>
      <x:c r="B592" s="14">
        <x:f>IF($B$12&lt;573,"",$B$13+(573-1)*($B$14-$B$13)/($B$12-1))</x:f>
      </x:c>
      <x:c r="C592" s="14">
        <x:f>IF(B592="","",$F$8*COS(B592) + $B$7*COS($F$6*B592))</x:f>
      </x:c>
      <x:c r="D592" s="14">
        <x:f>IF(B592="","",$F$8*SIN(B592) - $B$7*SIN($F$6*B592))</x:f>
      </x:c>
      <x:c r="E592" s="14">
        <x:f>IF(B592="","", C592 + $F$12*$F$9*(-H592)/IF(SQRT(G592^2+H592^2)=0,1,SQRT(G592^2+H592^2)))</x:f>
      </x:c>
      <x:c r="F592" s="14">
        <x:f>IF(B592="","", D592 + $F$12*$F$9*(G592)/IF(SQRT(G592^2+H592^2)=0,1,SQRT(G592^2+H592^2)))</x:f>
      </x:c>
      <x:c r="G592" s="14">
        <x:f>IF(B592="","", -$F$8*SIN(B592) - $B$7*$F$6*SIN($F$6*B592))</x:f>
      </x:c>
      <x:c r="H592" s="14">
        <x:f>IF(B592="","", $F$8*COS(B592) - $B$7*$F$6*COS($F$6*B592))</x:f>
      </x:c>
    </x:row>
    <x:row r="593">
      <x:c r="A593" s="13" t="n">
        <x:v>574</x:v>
      </x:c>
      <x:c r="B593" s="14">
        <x:f>IF($B$12&lt;574,"",$B$13+(574-1)*($B$14-$B$13)/($B$12-1))</x:f>
      </x:c>
      <x:c r="C593" s="14">
        <x:f>IF(B593="","",$F$8*COS(B593) + $B$7*COS($F$6*B593))</x:f>
      </x:c>
      <x:c r="D593" s="14">
        <x:f>IF(B593="","",$F$8*SIN(B593) - $B$7*SIN($F$6*B593))</x:f>
      </x:c>
      <x:c r="E593" s="14">
        <x:f>IF(B593="","", C593 + $F$12*$F$9*(-H593)/IF(SQRT(G593^2+H593^2)=0,1,SQRT(G593^2+H593^2)))</x:f>
      </x:c>
      <x:c r="F593" s="14">
        <x:f>IF(B593="","", D593 + $F$12*$F$9*(G593)/IF(SQRT(G593^2+H593^2)=0,1,SQRT(G593^2+H593^2)))</x:f>
      </x:c>
      <x:c r="G593" s="14">
        <x:f>IF(B593="","", -$F$8*SIN(B593) - $B$7*$F$6*SIN($F$6*B593))</x:f>
      </x:c>
      <x:c r="H593" s="14">
        <x:f>IF(B593="","", $F$8*COS(B593) - $B$7*$F$6*COS($F$6*B593))</x:f>
      </x:c>
    </x:row>
    <x:row r="594">
      <x:c r="A594" s="13" t="n">
        <x:v>575</x:v>
      </x:c>
      <x:c r="B594" s="14">
        <x:f>IF($B$12&lt;575,"",$B$13+(575-1)*($B$14-$B$13)/($B$12-1))</x:f>
      </x:c>
      <x:c r="C594" s="14">
        <x:f>IF(B594="","",$F$8*COS(B594) + $B$7*COS($F$6*B594))</x:f>
      </x:c>
      <x:c r="D594" s="14">
        <x:f>IF(B594="","",$F$8*SIN(B594) - $B$7*SIN($F$6*B594))</x:f>
      </x:c>
      <x:c r="E594" s="14">
        <x:f>IF(B594="","", C594 + $F$12*$F$9*(-H594)/IF(SQRT(G594^2+H594^2)=0,1,SQRT(G594^2+H594^2)))</x:f>
      </x:c>
      <x:c r="F594" s="14">
        <x:f>IF(B594="","", D594 + $F$12*$F$9*(G594)/IF(SQRT(G594^2+H594^2)=0,1,SQRT(G594^2+H594^2)))</x:f>
      </x:c>
      <x:c r="G594" s="14">
        <x:f>IF(B594="","", -$F$8*SIN(B594) - $B$7*$F$6*SIN($F$6*B594))</x:f>
      </x:c>
      <x:c r="H594" s="14">
        <x:f>IF(B594="","", $F$8*COS(B594) - $B$7*$F$6*COS($F$6*B594))</x:f>
      </x:c>
    </x:row>
    <x:row r="595">
      <x:c r="A595" s="13" t="n">
        <x:v>576</x:v>
      </x:c>
      <x:c r="B595" s="14">
        <x:f>IF($B$12&lt;576,"",$B$13+(576-1)*($B$14-$B$13)/($B$12-1))</x:f>
      </x:c>
      <x:c r="C595" s="14">
        <x:f>IF(B595="","",$F$8*COS(B595) + $B$7*COS($F$6*B595))</x:f>
      </x:c>
      <x:c r="D595" s="14">
        <x:f>IF(B595="","",$F$8*SIN(B595) - $B$7*SIN($F$6*B595))</x:f>
      </x:c>
      <x:c r="E595" s="14">
        <x:f>IF(B595="","", C595 + $F$12*$F$9*(-H595)/IF(SQRT(G595^2+H595^2)=0,1,SQRT(G595^2+H595^2)))</x:f>
      </x:c>
      <x:c r="F595" s="14">
        <x:f>IF(B595="","", D595 + $F$12*$F$9*(G595)/IF(SQRT(G595^2+H595^2)=0,1,SQRT(G595^2+H595^2)))</x:f>
      </x:c>
      <x:c r="G595" s="14">
        <x:f>IF(B595="","", -$F$8*SIN(B595) - $B$7*$F$6*SIN($F$6*B595))</x:f>
      </x:c>
      <x:c r="H595" s="14">
        <x:f>IF(B595="","", $F$8*COS(B595) - $B$7*$F$6*COS($F$6*B595))</x:f>
      </x:c>
    </x:row>
    <x:row r="596">
      <x:c r="A596" s="13" t="n">
        <x:v>577</x:v>
      </x:c>
      <x:c r="B596" s="14">
        <x:f>IF($B$12&lt;577,"",$B$13+(577-1)*($B$14-$B$13)/($B$12-1))</x:f>
      </x:c>
      <x:c r="C596" s="14">
        <x:f>IF(B596="","",$F$8*COS(B596) + $B$7*COS($F$6*B596))</x:f>
      </x:c>
      <x:c r="D596" s="14">
        <x:f>IF(B596="","",$F$8*SIN(B596) - $B$7*SIN($F$6*B596))</x:f>
      </x:c>
      <x:c r="E596" s="14">
        <x:f>IF(B596="","", C596 + $F$12*$F$9*(-H596)/IF(SQRT(G596^2+H596^2)=0,1,SQRT(G596^2+H596^2)))</x:f>
      </x:c>
      <x:c r="F596" s="14">
        <x:f>IF(B596="","", D596 + $F$12*$F$9*(G596)/IF(SQRT(G596^2+H596^2)=0,1,SQRT(G596^2+H596^2)))</x:f>
      </x:c>
      <x:c r="G596" s="14">
        <x:f>IF(B596="","", -$F$8*SIN(B596) - $B$7*$F$6*SIN($F$6*B596))</x:f>
      </x:c>
      <x:c r="H596" s="14">
        <x:f>IF(B596="","", $F$8*COS(B596) - $B$7*$F$6*COS($F$6*B596))</x:f>
      </x:c>
    </x:row>
    <x:row r="597">
      <x:c r="A597" s="13" t="n">
        <x:v>578</x:v>
      </x:c>
      <x:c r="B597" s="14">
        <x:f>IF($B$12&lt;578,"",$B$13+(578-1)*($B$14-$B$13)/($B$12-1))</x:f>
      </x:c>
      <x:c r="C597" s="14">
        <x:f>IF(B597="","",$F$8*COS(B597) + $B$7*COS($F$6*B597))</x:f>
      </x:c>
      <x:c r="D597" s="14">
        <x:f>IF(B597="","",$F$8*SIN(B597) - $B$7*SIN($F$6*B597))</x:f>
      </x:c>
      <x:c r="E597" s="14">
        <x:f>IF(B597="","", C597 + $F$12*$F$9*(-H597)/IF(SQRT(G597^2+H597^2)=0,1,SQRT(G597^2+H597^2)))</x:f>
      </x:c>
      <x:c r="F597" s="14">
        <x:f>IF(B597="","", D597 + $F$12*$F$9*(G597)/IF(SQRT(G597^2+H597^2)=0,1,SQRT(G597^2+H597^2)))</x:f>
      </x:c>
      <x:c r="G597" s="14">
        <x:f>IF(B597="","", -$F$8*SIN(B597) - $B$7*$F$6*SIN($F$6*B597))</x:f>
      </x:c>
      <x:c r="H597" s="14">
        <x:f>IF(B597="","", $F$8*COS(B597) - $B$7*$F$6*COS($F$6*B597))</x:f>
      </x:c>
    </x:row>
    <x:row r="598">
      <x:c r="A598" s="13" t="n">
        <x:v>579</x:v>
      </x:c>
      <x:c r="B598" s="14">
        <x:f>IF($B$12&lt;579,"",$B$13+(579-1)*($B$14-$B$13)/($B$12-1))</x:f>
      </x:c>
      <x:c r="C598" s="14">
        <x:f>IF(B598="","",$F$8*COS(B598) + $B$7*COS($F$6*B598))</x:f>
      </x:c>
      <x:c r="D598" s="14">
        <x:f>IF(B598="","",$F$8*SIN(B598) - $B$7*SIN($F$6*B598))</x:f>
      </x:c>
      <x:c r="E598" s="14">
        <x:f>IF(B598="","", C598 + $F$12*$F$9*(-H598)/IF(SQRT(G598^2+H598^2)=0,1,SQRT(G598^2+H598^2)))</x:f>
      </x:c>
      <x:c r="F598" s="14">
        <x:f>IF(B598="","", D598 + $F$12*$F$9*(G598)/IF(SQRT(G598^2+H598^2)=0,1,SQRT(G598^2+H598^2)))</x:f>
      </x:c>
      <x:c r="G598" s="14">
        <x:f>IF(B598="","", -$F$8*SIN(B598) - $B$7*$F$6*SIN($F$6*B598))</x:f>
      </x:c>
      <x:c r="H598" s="14">
        <x:f>IF(B598="","", $F$8*COS(B598) - $B$7*$F$6*COS($F$6*B598))</x:f>
      </x:c>
    </x:row>
    <x:row r="599">
      <x:c r="A599" s="13" t="n">
        <x:v>580</x:v>
      </x:c>
      <x:c r="B599" s="14">
        <x:f>IF($B$12&lt;580,"",$B$13+(580-1)*($B$14-$B$13)/($B$12-1))</x:f>
      </x:c>
      <x:c r="C599" s="14">
        <x:f>IF(B599="","",$F$8*COS(B599) + $B$7*COS($F$6*B599))</x:f>
      </x:c>
      <x:c r="D599" s="14">
        <x:f>IF(B599="","",$F$8*SIN(B599) - $B$7*SIN($F$6*B599))</x:f>
      </x:c>
      <x:c r="E599" s="14">
        <x:f>IF(B599="","", C599 + $F$12*$F$9*(-H599)/IF(SQRT(G599^2+H599^2)=0,1,SQRT(G599^2+H599^2)))</x:f>
      </x:c>
      <x:c r="F599" s="14">
        <x:f>IF(B599="","", D599 + $F$12*$F$9*(G599)/IF(SQRT(G599^2+H599^2)=0,1,SQRT(G599^2+H599^2)))</x:f>
      </x:c>
      <x:c r="G599" s="14">
        <x:f>IF(B599="","", -$F$8*SIN(B599) - $B$7*$F$6*SIN($F$6*B599))</x:f>
      </x:c>
      <x:c r="H599" s="14">
        <x:f>IF(B599="","", $F$8*COS(B599) - $B$7*$F$6*COS($F$6*B599))</x:f>
      </x:c>
    </x:row>
    <x:row r="600">
      <x:c r="A600" s="13" t="n">
        <x:v>581</x:v>
      </x:c>
      <x:c r="B600" s="14">
        <x:f>IF($B$12&lt;581,"",$B$13+(581-1)*($B$14-$B$13)/($B$12-1))</x:f>
      </x:c>
      <x:c r="C600" s="14">
        <x:f>IF(B600="","",$F$8*COS(B600) + $B$7*COS($F$6*B600))</x:f>
      </x:c>
      <x:c r="D600" s="14">
        <x:f>IF(B600="","",$F$8*SIN(B600) - $B$7*SIN($F$6*B600))</x:f>
      </x:c>
      <x:c r="E600" s="14">
        <x:f>IF(B600="","", C600 + $F$12*$F$9*(-H600)/IF(SQRT(G600^2+H600^2)=0,1,SQRT(G600^2+H600^2)))</x:f>
      </x:c>
      <x:c r="F600" s="14">
        <x:f>IF(B600="","", D600 + $F$12*$F$9*(G600)/IF(SQRT(G600^2+H600^2)=0,1,SQRT(G600^2+H600^2)))</x:f>
      </x:c>
      <x:c r="G600" s="14">
        <x:f>IF(B600="","", -$F$8*SIN(B600) - $B$7*$F$6*SIN($F$6*B600))</x:f>
      </x:c>
      <x:c r="H600" s="14">
        <x:f>IF(B600="","", $F$8*COS(B600) - $B$7*$F$6*COS($F$6*B600))</x:f>
      </x:c>
    </x:row>
    <x:row r="601">
      <x:c r="A601" s="13" t="n">
        <x:v>582</x:v>
      </x:c>
      <x:c r="B601" s="14">
        <x:f>IF($B$12&lt;582,"",$B$13+(582-1)*($B$14-$B$13)/($B$12-1))</x:f>
      </x:c>
      <x:c r="C601" s="14">
        <x:f>IF(B601="","",$F$8*COS(B601) + $B$7*COS($F$6*B601))</x:f>
      </x:c>
      <x:c r="D601" s="14">
        <x:f>IF(B601="","",$F$8*SIN(B601) - $B$7*SIN($F$6*B601))</x:f>
      </x:c>
      <x:c r="E601" s="14">
        <x:f>IF(B601="","", C601 + $F$12*$F$9*(-H601)/IF(SQRT(G601^2+H601^2)=0,1,SQRT(G601^2+H601^2)))</x:f>
      </x:c>
      <x:c r="F601" s="14">
        <x:f>IF(B601="","", D601 + $F$12*$F$9*(G601)/IF(SQRT(G601^2+H601^2)=0,1,SQRT(G601^2+H601^2)))</x:f>
      </x:c>
      <x:c r="G601" s="14">
        <x:f>IF(B601="","", -$F$8*SIN(B601) - $B$7*$F$6*SIN($F$6*B601))</x:f>
      </x:c>
      <x:c r="H601" s="14">
        <x:f>IF(B601="","", $F$8*COS(B601) - $B$7*$F$6*COS($F$6*B601))</x:f>
      </x:c>
    </x:row>
    <x:row r="602">
      <x:c r="A602" s="13" t="n">
        <x:v>583</x:v>
      </x:c>
      <x:c r="B602" s="14">
        <x:f>IF($B$12&lt;583,"",$B$13+(583-1)*($B$14-$B$13)/($B$12-1))</x:f>
      </x:c>
      <x:c r="C602" s="14">
        <x:f>IF(B602="","",$F$8*COS(B602) + $B$7*COS($F$6*B602))</x:f>
      </x:c>
      <x:c r="D602" s="14">
        <x:f>IF(B602="","",$F$8*SIN(B602) - $B$7*SIN($F$6*B602))</x:f>
      </x:c>
      <x:c r="E602" s="14">
        <x:f>IF(B602="","", C602 + $F$12*$F$9*(-H602)/IF(SQRT(G602^2+H602^2)=0,1,SQRT(G602^2+H602^2)))</x:f>
      </x:c>
      <x:c r="F602" s="14">
        <x:f>IF(B602="","", D602 + $F$12*$F$9*(G602)/IF(SQRT(G602^2+H602^2)=0,1,SQRT(G602^2+H602^2)))</x:f>
      </x:c>
      <x:c r="G602" s="14">
        <x:f>IF(B602="","", -$F$8*SIN(B602) - $B$7*$F$6*SIN($F$6*B602))</x:f>
      </x:c>
      <x:c r="H602" s="14">
        <x:f>IF(B602="","", $F$8*COS(B602) - $B$7*$F$6*COS($F$6*B602))</x:f>
      </x:c>
    </x:row>
    <x:row r="603">
      <x:c r="A603" s="13" t="n">
        <x:v>584</x:v>
      </x:c>
      <x:c r="B603" s="14">
        <x:f>IF($B$12&lt;584,"",$B$13+(584-1)*($B$14-$B$13)/($B$12-1))</x:f>
      </x:c>
      <x:c r="C603" s="14">
        <x:f>IF(B603="","",$F$8*COS(B603) + $B$7*COS($F$6*B603))</x:f>
      </x:c>
      <x:c r="D603" s="14">
        <x:f>IF(B603="","",$F$8*SIN(B603) - $B$7*SIN($F$6*B603))</x:f>
      </x:c>
      <x:c r="E603" s="14">
        <x:f>IF(B603="","", C603 + $F$12*$F$9*(-H603)/IF(SQRT(G603^2+H603^2)=0,1,SQRT(G603^2+H603^2)))</x:f>
      </x:c>
      <x:c r="F603" s="14">
        <x:f>IF(B603="","", D603 + $F$12*$F$9*(G603)/IF(SQRT(G603^2+H603^2)=0,1,SQRT(G603^2+H603^2)))</x:f>
      </x:c>
      <x:c r="G603" s="14">
        <x:f>IF(B603="","", -$F$8*SIN(B603) - $B$7*$F$6*SIN($F$6*B603))</x:f>
      </x:c>
      <x:c r="H603" s="14">
        <x:f>IF(B603="","", $F$8*COS(B603) - $B$7*$F$6*COS($F$6*B603))</x:f>
      </x:c>
    </x:row>
    <x:row r="604">
      <x:c r="A604" s="13" t="n">
        <x:v>585</x:v>
      </x:c>
      <x:c r="B604" s="14">
        <x:f>IF($B$12&lt;585,"",$B$13+(585-1)*($B$14-$B$13)/($B$12-1))</x:f>
      </x:c>
      <x:c r="C604" s="14">
        <x:f>IF(B604="","",$F$8*COS(B604) + $B$7*COS($F$6*B604))</x:f>
      </x:c>
      <x:c r="D604" s="14">
        <x:f>IF(B604="","",$F$8*SIN(B604) - $B$7*SIN($F$6*B604))</x:f>
      </x:c>
      <x:c r="E604" s="14">
        <x:f>IF(B604="","", C604 + $F$12*$F$9*(-H604)/IF(SQRT(G604^2+H604^2)=0,1,SQRT(G604^2+H604^2)))</x:f>
      </x:c>
      <x:c r="F604" s="14">
        <x:f>IF(B604="","", D604 + $F$12*$F$9*(G604)/IF(SQRT(G604^2+H604^2)=0,1,SQRT(G604^2+H604^2)))</x:f>
      </x:c>
      <x:c r="G604" s="14">
        <x:f>IF(B604="","", -$F$8*SIN(B604) - $B$7*$F$6*SIN($F$6*B604))</x:f>
      </x:c>
      <x:c r="H604" s="14">
        <x:f>IF(B604="","", $F$8*COS(B604) - $B$7*$F$6*COS($F$6*B604))</x:f>
      </x:c>
    </x:row>
    <x:row r="605">
      <x:c r="A605" s="13" t="n">
        <x:v>586</x:v>
      </x:c>
      <x:c r="B605" s="14">
        <x:f>IF($B$12&lt;586,"",$B$13+(586-1)*($B$14-$B$13)/($B$12-1))</x:f>
      </x:c>
      <x:c r="C605" s="14">
        <x:f>IF(B605="","",$F$8*COS(B605) + $B$7*COS($F$6*B605))</x:f>
      </x:c>
      <x:c r="D605" s="14">
        <x:f>IF(B605="","",$F$8*SIN(B605) - $B$7*SIN($F$6*B605))</x:f>
      </x:c>
      <x:c r="E605" s="14">
        <x:f>IF(B605="","", C605 + $F$12*$F$9*(-H605)/IF(SQRT(G605^2+H605^2)=0,1,SQRT(G605^2+H605^2)))</x:f>
      </x:c>
      <x:c r="F605" s="14">
        <x:f>IF(B605="","", D605 + $F$12*$F$9*(G605)/IF(SQRT(G605^2+H605^2)=0,1,SQRT(G605^2+H605^2)))</x:f>
      </x:c>
      <x:c r="G605" s="14">
        <x:f>IF(B605="","", -$F$8*SIN(B605) - $B$7*$F$6*SIN($F$6*B605))</x:f>
      </x:c>
      <x:c r="H605" s="14">
        <x:f>IF(B605="","", $F$8*COS(B605) - $B$7*$F$6*COS($F$6*B605))</x:f>
      </x:c>
    </x:row>
    <x:row r="606">
      <x:c r="A606" s="13" t="n">
        <x:v>587</x:v>
      </x:c>
      <x:c r="B606" s="14">
        <x:f>IF($B$12&lt;587,"",$B$13+(587-1)*($B$14-$B$13)/($B$12-1))</x:f>
      </x:c>
      <x:c r="C606" s="14">
        <x:f>IF(B606="","",$F$8*COS(B606) + $B$7*COS($F$6*B606))</x:f>
      </x:c>
      <x:c r="D606" s="14">
        <x:f>IF(B606="","",$F$8*SIN(B606) - $B$7*SIN($F$6*B606))</x:f>
      </x:c>
      <x:c r="E606" s="14">
        <x:f>IF(B606="","", C606 + $F$12*$F$9*(-H606)/IF(SQRT(G606^2+H606^2)=0,1,SQRT(G606^2+H606^2)))</x:f>
      </x:c>
      <x:c r="F606" s="14">
        <x:f>IF(B606="","", D606 + $F$12*$F$9*(G606)/IF(SQRT(G606^2+H606^2)=0,1,SQRT(G606^2+H606^2)))</x:f>
      </x:c>
      <x:c r="G606" s="14">
        <x:f>IF(B606="","", -$F$8*SIN(B606) - $B$7*$F$6*SIN($F$6*B606))</x:f>
      </x:c>
      <x:c r="H606" s="14">
        <x:f>IF(B606="","", $F$8*COS(B606) - $B$7*$F$6*COS($F$6*B606))</x:f>
      </x:c>
    </x:row>
    <x:row r="607">
      <x:c r="A607" s="13" t="n">
        <x:v>588</x:v>
      </x:c>
      <x:c r="B607" s="14">
        <x:f>IF($B$12&lt;588,"",$B$13+(588-1)*($B$14-$B$13)/($B$12-1))</x:f>
      </x:c>
      <x:c r="C607" s="14">
        <x:f>IF(B607="","",$F$8*COS(B607) + $B$7*COS($F$6*B607))</x:f>
      </x:c>
      <x:c r="D607" s="14">
        <x:f>IF(B607="","",$F$8*SIN(B607) - $B$7*SIN($F$6*B607))</x:f>
      </x:c>
      <x:c r="E607" s="14">
        <x:f>IF(B607="","", C607 + $F$12*$F$9*(-H607)/IF(SQRT(G607^2+H607^2)=0,1,SQRT(G607^2+H607^2)))</x:f>
      </x:c>
      <x:c r="F607" s="14">
        <x:f>IF(B607="","", D607 + $F$12*$F$9*(G607)/IF(SQRT(G607^2+H607^2)=0,1,SQRT(G607^2+H607^2)))</x:f>
      </x:c>
      <x:c r="G607" s="14">
        <x:f>IF(B607="","", -$F$8*SIN(B607) - $B$7*$F$6*SIN($F$6*B607))</x:f>
      </x:c>
      <x:c r="H607" s="14">
        <x:f>IF(B607="","", $F$8*COS(B607) - $B$7*$F$6*COS($F$6*B607))</x:f>
      </x:c>
    </x:row>
    <x:row r="608">
      <x:c r="A608" s="13" t="n">
        <x:v>589</x:v>
      </x:c>
      <x:c r="B608" s="14">
        <x:f>IF($B$12&lt;589,"",$B$13+(589-1)*($B$14-$B$13)/($B$12-1))</x:f>
      </x:c>
      <x:c r="C608" s="14">
        <x:f>IF(B608="","",$F$8*COS(B608) + $B$7*COS($F$6*B608))</x:f>
      </x:c>
      <x:c r="D608" s="14">
        <x:f>IF(B608="","",$F$8*SIN(B608) - $B$7*SIN($F$6*B608))</x:f>
      </x:c>
      <x:c r="E608" s="14">
        <x:f>IF(B608="","", C608 + $F$12*$F$9*(-H608)/IF(SQRT(G608^2+H608^2)=0,1,SQRT(G608^2+H608^2)))</x:f>
      </x:c>
      <x:c r="F608" s="14">
        <x:f>IF(B608="","", D608 + $F$12*$F$9*(G608)/IF(SQRT(G608^2+H608^2)=0,1,SQRT(G608^2+H608^2)))</x:f>
      </x:c>
      <x:c r="G608" s="14">
        <x:f>IF(B608="","", -$F$8*SIN(B608) - $B$7*$F$6*SIN($F$6*B608))</x:f>
      </x:c>
      <x:c r="H608" s="14">
        <x:f>IF(B608="","", $F$8*COS(B608) - $B$7*$F$6*COS($F$6*B608))</x:f>
      </x:c>
    </x:row>
    <x:row r="609">
      <x:c r="A609" s="13" t="n">
        <x:v>590</x:v>
      </x:c>
      <x:c r="B609" s="14">
        <x:f>IF($B$12&lt;590,"",$B$13+(590-1)*($B$14-$B$13)/($B$12-1))</x:f>
      </x:c>
      <x:c r="C609" s="14">
        <x:f>IF(B609="","",$F$8*COS(B609) + $B$7*COS($F$6*B609))</x:f>
      </x:c>
      <x:c r="D609" s="14">
        <x:f>IF(B609="","",$F$8*SIN(B609) - $B$7*SIN($F$6*B609))</x:f>
      </x:c>
      <x:c r="E609" s="14">
        <x:f>IF(B609="","", C609 + $F$12*$F$9*(-H609)/IF(SQRT(G609^2+H609^2)=0,1,SQRT(G609^2+H609^2)))</x:f>
      </x:c>
      <x:c r="F609" s="14">
        <x:f>IF(B609="","", D609 + $F$12*$F$9*(G609)/IF(SQRT(G609^2+H609^2)=0,1,SQRT(G609^2+H609^2)))</x:f>
      </x:c>
      <x:c r="G609" s="14">
        <x:f>IF(B609="","", -$F$8*SIN(B609) - $B$7*$F$6*SIN($F$6*B609))</x:f>
      </x:c>
      <x:c r="H609" s="14">
        <x:f>IF(B609="","", $F$8*COS(B609) - $B$7*$F$6*COS($F$6*B609))</x:f>
      </x:c>
    </x:row>
    <x:row r="610">
      <x:c r="A610" s="13" t="n">
        <x:v>591</x:v>
      </x:c>
      <x:c r="B610" s="14">
        <x:f>IF($B$12&lt;591,"",$B$13+(591-1)*($B$14-$B$13)/($B$12-1))</x:f>
      </x:c>
      <x:c r="C610" s="14">
        <x:f>IF(B610="","",$F$8*COS(B610) + $B$7*COS($F$6*B610))</x:f>
      </x:c>
      <x:c r="D610" s="14">
        <x:f>IF(B610="","",$F$8*SIN(B610) - $B$7*SIN($F$6*B610))</x:f>
      </x:c>
      <x:c r="E610" s="14">
        <x:f>IF(B610="","", C610 + $F$12*$F$9*(-H610)/IF(SQRT(G610^2+H610^2)=0,1,SQRT(G610^2+H610^2)))</x:f>
      </x:c>
      <x:c r="F610" s="14">
        <x:f>IF(B610="","", D610 + $F$12*$F$9*(G610)/IF(SQRT(G610^2+H610^2)=0,1,SQRT(G610^2+H610^2)))</x:f>
      </x:c>
      <x:c r="G610" s="14">
        <x:f>IF(B610="","", -$F$8*SIN(B610) - $B$7*$F$6*SIN($F$6*B610))</x:f>
      </x:c>
      <x:c r="H610" s="14">
        <x:f>IF(B610="","", $F$8*COS(B610) - $B$7*$F$6*COS($F$6*B610))</x:f>
      </x:c>
    </x:row>
    <x:row r="611">
      <x:c r="A611" s="13" t="n">
        <x:v>592</x:v>
      </x:c>
      <x:c r="B611" s="14">
        <x:f>IF($B$12&lt;592,"",$B$13+(592-1)*($B$14-$B$13)/($B$12-1))</x:f>
      </x:c>
      <x:c r="C611" s="14">
        <x:f>IF(B611="","",$F$8*COS(B611) + $B$7*COS($F$6*B611))</x:f>
      </x:c>
      <x:c r="D611" s="14">
        <x:f>IF(B611="","",$F$8*SIN(B611) - $B$7*SIN($F$6*B611))</x:f>
      </x:c>
      <x:c r="E611" s="14">
        <x:f>IF(B611="","", C611 + $F$12*$F$9*(-H611)/IF(SQRT(G611^2+H611^2)=0,1,SQRT(G611^2+H611^2)))</x:f>
      </x:c>
      <x:c r="F611" s="14">
        <x:f>IF(B611="","", D611 + $F$12*$F$9*(G611)/IF(SQRT(G611^2+H611^2)=0,1,SQRT(G611^2+H611^2)))</x:f>
      </x:c>
      <x:c r="G611" s="14">
        <x:f>IF(B611="","", -$F$8*SIN(B611) - $B$7*$F$6*SIN($F$6*B611))</x:f>
      </x:c>
      <x:c r="H611" s="14">
        <x:f>IF(B611="","", $F$8*COS(B611) - $B$7*$F$6*COS($F$6*B611))</x:f>
      </x:c>
    </x:row>
    <x:row r="612">
      <x:c r="A612" s="13" t="n">
        <x:v>593</x:v>
      </x:c>
      <x:c r="B612" s="14">
        <x:f>IF($B$12&lt;593,"",$B$13+(593-1)*($B$14-$B$13)/($B$12-1))</x:f>
      </x:c>
      <x:c r="C612" s="14">
        <x:f>IF(B612="","",$F$8*COS(B612) + $B$7*COS($F$6*B612))</x:f>
      </x:c>
      <x:c r="D612" s="14">
        <x:f>IF(B612="","",$F$8*SIN(B612) - $B$7*SIN($F$6*B612))</x:f>
      </x:c>
      <x:c r="E612" s="14">
        <x:f>IF(B612="","", C612 + $F$12*$F$9*(-H612)/IF(SQRT(G612^2+H612^2)=0,1,SQRT(G612^2+H612^2)))</x:f>
      </x:c>
      <x:c r="F612" s="14">
        <x:f>IF(B612="","", D612 + $F$12*$F$9*(G612)/IF(SQRT(G612^2+H612^2)=0,1,SQRT(G612^2+H612^2)))</x:f>
      </x:c>
      <x:c r="G612" s="14">
        <x:f>IF(B612="","", -$F$8*SIN(B612) - $B$7*$F$6*SIN($F$6*B612))</x:f>
      </x:c>
      <x:c r="H612" s="14">
        <x:f>IF(B612="","", $F$8*COS(B612) - $B$7*$F$6*COS($F$6*B612))</x:f>
      </x:c>
    </x:row>
    <x:row r="613">
      <x:c r="A613" s="13" t="n">
        <x:v>594</x:v>
      </x:c>
      <x:c r="B613" s="14">
        <x:f>IF($B$12&lt;594,"",$B$13+(594-1)*($B$14-$B$13)/($B$12-1))</x:f>
      </x:c>
      <x:c r="C613" s="14">
        <x:f>IF(B613="","",$F$8*COS(B613) + $B$7*COS($F$6*B613))</x:f>
      </x:c>
      <x:c r="D613" s="14">
        <x:f>IF(B613="","",$F$8*SIN(B613) - $B$7*SIN($F$6*B613))</x:f>
      </x:c>
      <x:c r="E613" s="14">
        <x:f>IF(B613="","", C613 + $F$12*$F$9*(-H613)/IF(SQRT(G613^2+H613^2)=0,1,SQRT(G613^2+H613^2)))</x:f>
      </x:c>
      <x:c r="F613" s="14">
        <x:f>IF(B613="","", D613 + $F$12*$F$9*(G613)/IF(SQRT(G613^2+H613^2)=0,1,SQRT(G613^2+H613^2)))</x:f>
      </x:c>
      <x:c r="G613" s="14">
        <x:f>IF(B613="","", -$F$8*SIN(B613) - $B$7*$F$6*SIN($F$6*B613))</x:f>
      </x:c>
      <x:c r="H613" s="14">
        <x:f>IF(B613="","", $F$8*COS(B613) - $B$7*$F$6*COS($F$6*B613))</x:f>
      </x:c>
    </x:row>
    <x:row r="614">
      <x:c r="A614" s="13" t="n">
        <x:v>595</x:v>
      </x:c>
      <x:c r="B614" s="14">
        <x:f>IF($B$12&lt;595,"",$B$13+(595-1)*($B$14-$B$13)/($B$12-1))</x:f>
      </x:c>
      <x:c r="C614" s="14">
        <x:f>IF(B614="","",$F$8*COS(B614) + $B$7*COS($F$6*B614))</x:f>
      </x:c>
      <x:c r="D614" s="14">
        <x:f>IF(B614="","",$F$8*SIN(B614) - $B$7*SIN($F$6*B614))</x:f>
      </x:c>
      <x:c r="E614" s="14">
        <x:f>IF(B614="","", C614 + $F$12*$F$9*(-H614)/IF(SQRT(G614^2+H614^2)=0,1,SQRT(G614^2+H614^2)))</x:f>
      </x:c>
      <x:c r="F614" s="14">
        <x:f>IF(B614="","", D614 + $F$12*$F$9*(G614)/IF(SQRT(G614^2+H614^2)=0,1,SQRT(G614^2+H614^2)))</x:f>
      </x:c>
      <x:c r="G614" s="14">
        <x:f>IF(B614="","", -$F$8*SIN(B614) - $B$7*$F$6*SIN($F$6*B614))</x:f>
      </x:c>
      <x:c r="H614" s="14">
        <x:f>IF(B614="","", $F$8*COS(B614) - $B$7*$F$6*COS($F$6*B614))</x:f>
      </x:c>
    </x:row>
    <x:row r="615">
      <x:c r="A615" s="13" t="n">
        <x:v>596</x:v>
      </x:c>
      <x:c r="B615" s="14">
        <x:f>IF($B$12&lt;596,"",$B$13+(596-1)*($B$14-$B$13)/($B$12-1))</x:f>
      </x:c>
      <x:c r="C615" s="14">
        <x:f>IF(B615="","",$F$8*COS(B615) + $B$7*COS($F$6*B615))</x:f>
      </x:c>
      <x:c r="D615" s="14">
        <x:f>IF(B615="","",$F$8*SIN(B615) - $B$7*SIN($F$6*B615))</x:f>
      </x:c>
      <x:c r="E615" s="14">
        <x:f>IF(B615="","", C615 + $F$12*$F$9*(-H615)/IF(SQRT(G615^2+H615^2)=0,1,SQRT(G615^2+H615^2)))</x:f>
      </x:c>
      <x:c r="F615" s="14">
        <x:f>IF(B615="","", D615 + $F$12*$F$9*(G615)/IF(SQRT(G615^2+H615^2)=0,1,SQRT(G615^2+H615^2)))</x:f>
      </x:c>
      <x:c r="G615" s="14">
        <x:f>IF(B615="","", -$F$8*SIN(B615) - $B$7*$F$6*SIN($F$6*B615))</x:f>
      </x:c>
      <x:c r="H615" s="14">
        <x:f>IF(B615="","", $F$8*COS(B615) - $B$7*$F$6*COS($F$6*B615))</x:f>
      </x:c>
    </x:row>
    <x:row r="616">
      <x:c r="A616" s="13" t="n">
        <x:v>597</x:v>
      </x:c>
      <x:c r="B616" s="14">
        <x:f>IF($B$12&lt;597,"",$B$13+(597-1)*($B$14-$B$13)/($B$12-1))</x:f>
      </x:c>
      <x:c r="C616" s="14">
        <x:f>IF(B616="","",$F$8*COS(B616) + $B$7*COS($F$6*B616))</x:f>
      </x:c>
      <x:c r="D616" s="14">
        <x:f>IF(B616="","",$F$8*SIN(B616) - $B$7*SIN($F$6*B616))</x:f>
      </x:c>
      <x:c r="E616" s="14">
        <x:f>IF(B616="","", C616 + $F$12*$F$9*(-H616)/IF(SQRT(G616^2+H616^2)=0,1,SQRT(G616^2+H616^2)))</x:f>
      </x:c>
      <x:c r="F616" s="14">
        <x:f>IF(B616="","", D616 + $F$12*$F$9*(G616)/IF(SQRT(G616^2+H616^2)=0,1,SQRT(G616^2+H616^2)))</x:f>
      </x:c>
      <x:c r="G616" s="14">
        <x:f>IF(B616="","", -$F$8*SIN(B616) - $B$7*$F$6*SIN($F$6*B616))</x:f>
      </x:c>
      <x:c r="H616" s="14">
        <x:f>IF(B616="","", $F$8*COS(B616) - $B$7*$F$6*COS($F$6*B616))</x:f>
      </x:c>
    </x:row>
    <x:row r="617">
      <x:c r="A617" s="13" t="n">
        <x:v>598</x:v>
      </x:c>
      <x:c r="B617" s="14">
        <x:f>IF($B$12&lt;598,"",$B$13+(598-1)*($B$14-$B$13)/($B$12-1))</x:f>
      </x:c>
      <x:c r="C617" s="14">
        <x:f>IF(B617="","",$F$8*COS(B617) + $B$7*COS($F$6*B617))</x:f>
      </x:c>
      <x:c r="D617" s="14">
        <x:f>IF(B617="","",$F$8*SIN(B617) - $B$7*SIN($F$6*B617))</x:f>
      </x:c>
      <x:c r="E617" s="14">
        <x:f>IF(B617="","", C617 + $F$12*$F$9*(-H617)/IF(SQRT(G617^2+H617^2)=0,1,SQRT(G617^2+H617^2)))</x:f>
      </x:c>
      <x:c r="F617" s="14">
        <x:f>IF(B617="","", D617 + $F$12*$F$9*(G617)/IF(SQRT(G617^2+H617^2)=0,1,SQRT(G617^2+H617^2)))</x:f>
      </x:c>
      <x:c r="G617" s="14">
        <x:f>IF(B617="","", -$F$8*SIN(B617) - $B$7*$F$6*SIN($F$6*B617))</x:f>
      </x:c>
      <x:c r="H617" s="14">
        <x:f>IF(B617="","", $F$8*COS(B617) - $B$7*$F$6*COS($F$6*B617))</x:f>
      </x:c>
    </x:row>
    <x:row r="618">
      <x:c r="A618" s="13" t="n">
        <x:v>599</x:v>
      </x:c>
      <x:c r="B618" s="14">
        <x:f>IF($B$12&lt;599,"",$B$13+(599-1)*($B$14-$B$13)/($B$12-1))</x:f>
      </x:c>
      <x:c r="C618" s="14">
        <x:f>IF(B618="","",$F$8*COS(B618) + $B$7*COS($F$6*B618))</x:f>
      </x:c>
      <x:c r="D618" s="14">
        <x:f>IF(B618="","",$F$8*SIN(B618) - $B$7*SIN($F$6*B618))</x:f>
      </x:c>
      <x:c r="E618" s="14">
        <x:f>IF(B618="","", C618 + $F$12*$F$9*(-H618)/IF(SQRT(G618^2+H618^2)=0,1,SQRT(G618^2+H618^2)))</x:f>
      </x:c>
      <x:c r="F618" s="14">
        <x:f>IF(B618="","", D618 + $F$12*$F$9*(G618)/IF(SQRT(G618^2+H618^2)=0,1,SQRT(G618^2+H618^2)))</x:f>
      </x:c>
      <x:c r="G618" s="14">
        <x:f>IF(B618="","", -$F$8*SIN(B618) - $B$7*$F$6*SIN($F$6*B618))</x:f>
      </x:c>
      <x:c r="H618" s="14">
        <x:f>IF(B618="","", $F$8*COS(B618) - $B$7*$F$6*COS($F$6*B618))</x:f>
      </x:c>
    </x:row>
    <x:row r="619">
      <x:c r="A619" s="13" t="n">
        <x:v>600</x:v>
      </x:c>
      <x:c r="B619" s="14">
        <x:f>IF($B$12&lt;600,"",$B$13+(600-1)*($B$14-$B$13)/($B$12-1))</x:f>
      </x:c>
      <x:c r="C619" s="14">
        <x:f>IF(B619="","",$F$8*COS(B619) + $B$7*COS($F$6*B619))</x:f>
      </x:c>
      <x:c r="D619" s="14">
        <x:f>IF(B619="","",$F$8*SIN(B619) - $B$7*SIN($F$6*B619))</x:f>
      </x:c>
      <x:c r="E619" s="14">
        <x:f>IF(B619="","", C619 + $F$12*$F$9*(-H619)/IF(SQRT(G619^2+H619^2)=0,1,SQRT(G619^2+H619^2)))</x:f>
      </x:c>
      <x:c r="F619" s="14">
        <x:f>IF(B619="","", D619 + $F$12*$F$9*(G619)/IF(SQRT(G619^2+H619^2)=0,1,SQRT(G619^2+H619^2)))</x:f>
      </x:c>
      <x:c r="G619" s="14">
        <x:f>IF(B619="","", -$F$8*SIN(B619) - $B$7*$F$6*SIN($F$6*B619))</x:f>
      </x:c>
      <x:c r="H619" s="14">
        <x:f>IF(B619="","", $F$8*COS(B619) - $B$7*$F$6*COS($F$6*B619))</x:f>
      </x:c>
    </x:row>
    <x:row r="620">
      <x:c r="A620" s="13" t="n">
        <x:v>601</x:v>
      </x:c>
      <x:c r="B620" s="14">
        <x:f>IF($B$12&lt;601,"",$B$13+(601-1)*($B$14-$B$13)/($B$12-1))</x:f>
      </x:c>
      <x:c r="C620" s="14">
        <x:f>IF(B620="","",$F$8*COS(B620) + $B$7*COS($F$6*B620))</x:f>
      </x:c>
      <x:c r="D620" s="14">
        <x:f>IF(B620="","",$F$8*SIN(B620) - $B$7*SIN($F$6*B620))</x:f>
      </x:c>
      <x:c r="E620" s="14">
        <x:f>IF(B620="","", C620 + $F$12*$F$9*(-H620)/IF(SQRT(G620^2+H620^2)=0,1,SQRT(G620^2+H620^2)))</x:f>
      </x:c>
      <x:c r="F620" s="14">
        <x:f>IF(B620="","", D620 + $F$12*$F$9*(G620)/IF(SQRT(G620^2+H620^2)=0,1,SQRT(G620^2+H620^2)))</x:f>
      </x:c>
      <x:c r="G620" s="14">
        <x:f>IF(B620="","", -$F$8*SIN(B620) - $B$7*$F$6*SIN($F$6*B620))</x:f>
      </x:c>
      <x:c r="H620" s="14">
        <x:f>IF(B620="","", $F$8*COS(B620) - $B$7*$F$6*COS($F$6*B620))</x:f>
      </x:c>
    </x:row>
    <x:row r="621">
      <x:c r="A621" s="13" t="n">
        <x:v>602</x:v>
      </x:c>
      <x:c r="B621" s="14">
        <x:f>IF($B$12&lt;602,"",$B$13+(602-1)*($B$14-$B$13)/($B$12-1))</x:f>
      </x:c>
      <x:c r="C621" s="14">
        <x:f>IF(B621="","",$F$8*COS(B621) + $B$7*COS($F$6*B621))</x:f>
      </x:c>
      <x:c r="D621" s="14">
        <x:f>IF(B621="","",$F$8*SIN(B621) - $B$7*SIN($F$6*B621))</x:f>
      </x:c>
      <x:c r="E621" s="14">
        <x:f>IF(B621="","", C621 + $F$12*$F$9*(-H621)/IF(SQRT(G621^2+H621^2)=0,1,SQRT(G621^2+H621^2)))</x:f>
      </x:c>
      <x:c r="F621" s="14">
        <x:f>IF(B621="","", D621 + $F$12*$F$9*(G621)/IF(SQRT(G621^2+H621^2)=0,1,SQRT(G621^2+H621^2)))</x:f>
      </x:c>
      <x:c r="G621" s="14">
        <x:f>IF(B621="","", -$F$8*SIN(B621) - $B$7*$F$6*SIN($F$6*B621))</x:f>
      </x:c>
      <x:c r="H621" s="14">
        <x:f>IF(B621="","", $F$8*COS(B621) - $B$7*$F$6*COS($F$6*B621))</x:f>
      </x:c>
    </x:row>
    <x:row r="622">
      <x:c r="A622" s="13" t="n">
        <x:v>603</x:v>
      </x:c>
      <x:c r="B622" s="14">
        <x:f>IF($B$12&lt;603,"",$B$13+(603-1)*($B$14-$B$13)/($B$12-1))</x:f>
      </x:c>
      <x:c r="C622" s="14">
        <x:f>IF(B622="","",$F$8*COS(B622) + $B$7*COS($F$6*B622))</x:f>
      </x:c>
      <x:c r="D622" s="14">
        <x:f>IF(B622="","",$F$8*SIN(B622) - $B$7*SIN($F$6*B622))</x:f>
      </x:c>
      <x:c r="E622" s="14">
        <x:f>IF(B622="","", C622 + $F$12*$F$9*(-H622)/IF(SQRT(G622^2+H622^2)=0,1,SQRT(G622^2+H622^2)))</x:f>
      </x:c>
      <x:c r="F622" s="14">
        <x:f>IF(B622="","", D622 + $F$12*$F$9*(G622)/IF(SQRT(G622^2+H622^2)=0,1,SQRT(G622^2+H622^2)))</x:f>
      </x:c>
      <x:c r="G622" s="14">
        <x:f>IF(B622="","", -$F$8*SIN(B622) - $B$7*$F$6*SIN($F$6*B622))</x:f>
      </x:c>
      <x:c r="H622" s="14">
        <x:f>IF(B622="","", $F$8*COS(B622) - $B$7*$F$6*COS($F$6*B622))</x:f>
      </x:c>
    </x:row>
    <x:row r="623">
      <x:c r="A623" s="13" t="n">
        <x:v>604</x:v>
      </x:c>
      <x:c r="B623" s="14">
        <x:f>IF($B$12&lt;604,"",$B$13+(604-1)*($B$14-$B$13)/($B$12-1))</x:f>
      </x:c>
      <x:c r="C623" s="14">
        <x:f>IF(B623="","",$F$8*COS(B623) + $B$7*COS($F$6*B623))</x:f>
      </x:c>
      <x:c r="D623" s="14">
        <x:f>IF(B623="","",$F$8*SIN(B623) - $B$7*SIN($F$6*B623))</x:f>
      </x:c>
      <x:c r="E623" s="14">
        <x:f>IF(B623="","", C623 + $F$12*$F$9*(-H623)/IF(SQRT(G623^2+H623^2)=0,1,SQRT(G623^2+H623^2)))</x:f>
      </x:c>
      <x:c r="F623" s="14">
        <x:f>IF(B623="","", D623 + $F$12*$F$9*(G623)/IF(SQRT(G623^2+H623^2)=0,1,SQRT(G623^2+H623^2)))</x:f>
      </x:c>
      <x:c r="G623" s="14">
        <x:f>IF(B623="","", -$F$8*SIN(B623) - $B$7*$F$6*SIN($F$6*B623))</x:f>
      </x:c>
      <x:c r="H623" s="14">
        <x:f>IF(B623="","", $F$8*COS(B623) - $B$7*$F$6*COS($F$6*B623))</x:f>
      </x:c>
    </x:row>
    <x:row r="624">
      <x:c r="A624" s="13" t="n">
        <x:v>605</x:v>
      </x:c>
      <x:c r="B624" s="14">
        <x:f>IF($B$12&lt;605,"",$B$13+(605-1)*($B$14-$B$13)/($B$12-1))</x:f>
      </x:c>
      <x:c r="C624" s="14">
        <x:f>IF(B624="","",$F$8*COS(B624) + $B$7*COS($F$6*B624))</x:f>
      </x:c>
      <x:c r="D624" s="14">
        <x:f>IF(B624="","",$F$8*SIN(B624) - $B$7*SIN($F$6*B624))</x:f>
      </x:c>
      <x:c r="E624" s="14">
        <x:f>IF(B624="","", C624 + $F$12*$F$9*(-H624)/IF(SQRT(G624^2+H624^2)=0,1,SQRT(G624^2+H624^2)))</x:f>
      </x:c>
      <x:c r="F624" s="14">
        <x:f>IF(B624="","", D624 + $F$12*$F$9*(G624)/IF(SQRT(G624^2+H624^2)=0,1,SQRT(G624^2+H624^2)))</x:f>
      </x:c>
      <x:c r="G624" s="14">
        <x:f>IF(B624="","", -$F$8*SIN(B624) - $B$7*$F$6*SIN($F$6*B624))</x:f>
      </x:c>
      <x:c r="H624" s="14">
        <x:f>IF(B624="","", $F$8*COS(B624) - $B$7*$F$6*COS($F$6*B624))</x:f>
      </x:c>
    </x:row>
    <x:row r="625">
      <x:c r="A625" s="13" t="n">
        <x:v>606</x:v>
      </x:c>
      <x:c r="B625" s="14">
        <x:f>IF($B$12&lt;606,"",$B$13+(606-1)*($B$14-$B$13)/($B$12-1))</x:f>
      </x:c>
      <x:c r="C625" s="14">
        <x:f>IF(B625="","",$F$8*COS(B625) + $B$7*COS($F$6*B625))</x:f>
      </x:c>
      <x:c r="D625" s="14">
        <x:f>IF(B625="","",$F$8*SIN(B625) - $B$7*SIN($F$6*B625))</x:f>
      </x:c>
      <x:c r="E625" s="14">
        <x:f>IF(B625="","", C625 + $F$12*$F$9*(-H625)/IF(SQRT(G625^2+H625^2)=0,1,SQRT(G625^2+H625^2)))</x:f>
      </x:c>
      <x:c r="F625" s="14">
        <x:f>IF(B625="","", D625 + $F$12*$F$9*(G625)/IF(SQRT(G625^2+H625^2)=0,1,SQRT(G625^2+H625^2)))</x:f>
      </x:c>
      <x:c r="G625" s="14">
        <x:f>IF(B625="","", -$F$8*SIN(B625) - $B$7*$F$6*SIN($F$6*B625))</x:f>
      </x:c>
      <x:c r="H625" s="14">
        <x:f>IF(B625="","", $F$8*COS(B625) - $B$7*$F$6*COS($F$6*B625))</x:f>
      </x:c>
    </x:row>
    <x:row r="626">
      <x:c r="A626" s="13" t="n">
        <x:v>607</x:v>
      </x:c>
      <x:c r="B626" s="14">
        <x:f>IF($B$12&lt;607,"",$B$13+(607-1)*($B$14-$B$13)/($B$12-1))</x:f>
      </x:c>
      <x:c r="C626" s="14">
        <x:f>IF(B626="","",$F$8*COS(B626) + $B$7*COS($F$6*B626))</x:f>
      </x:c>
      <x:c r="D626" s="14">
        <x:f>IF(B626="","",$F$8*SIN(B626) - $B$7*SIN($F$6*B626))</x:f>
      </x:c>
      <x:c r="E626" s="14">
        <x:f>IF(B626="","", C626 + $F$12*$F$9*(-H626)/IF(SQRT(G626^2+H626^2)=0,1,SQRT(G626^2+H626^2)))</x:f>
      </x:c>
      <x:c r="F626" s="14">
        <x:f>IF(B626="","", D626 + $F$12*$F$9*(G626)/IF(SQRT(G626^2+H626^2)=0,1,SQRT(G626^2+H626^2)))</x:f>
      </x:c>
      <x:c r="G626" s="14">
        <x:f>IF(B626="","", -$F$8*SIN(B626) - $B$7*$F$6*SIN($F$6*B626))</x:f>
      </x:c>
      <x:c r="H626" s="14">
        <x:f>IF(B626="","", $F$8*COS(B626) - $B$7*$F$6*COS($F$6*B626))</x:f>
      </x:c>
    </x:row>
    <x:row r="627">
      <x:c r="A627" s="13" t="n">
        <x:v>608</x:v>
      </x:c>
      <x:c r="B627" s="14">
        <x:f>IF($B$12&lt;608,"",$B$13+(608-1)*($B$14-$B$13)/($B$12-1))</x:f>
      </x:c>
      <x:c r="C627" s="14">
        <x:f>IF(B627="","",$F$8*COS(B627) + $B$7*COS($F$6*B627))</x:f>
      </x:c>
      <x:c r="D627" s="14">
        <x:f>IF(B627="","",$F$8*SIN(B627) - $B$7*SIN($F$6*B627))</x:f>
      </x:c>
      <x:c r="E627" s="14">
        <x:f>IF(B627="","", C627 + $F$12*$F$9*(-H627)/IF(SQRT(G627^2+H627^2)=0,1,SQRT(G627^2+H627^2)))</x:f>
      </x:c>
      <x:c r="F627" s="14">
        <x:f>IF(B627="","", D627 + $F$12*$F$9*(G627)/IF(SQRT(G627^2+H627^2)=0,1,SQRT(G627^2+H627^2)))</x:f>
      </x:c>
      <x:c r="G627" s="14">
        <x:f>IF(B627="","", -$F$8*SIN(B627) - $B$7*$F$6*SIN($F$6*B627))</x:f>
      </x:c>
      <x:c r="H627" s="14">
        <x:f>IF(B627="","", $F$8*COS(B627) - $B$7*$F$6*COS($F$6*B627))</x:f>
      </x:c>
    </x:row>
    <x:row r="628">
      <x:c r="A628" s="13" t="n">
        <x:v>609</x:v>
      </x:c>
      <x:c r="B628" s="14">
        <x:f>IF($B$12&lt;609,"",$B$13+(609-1)*($B$14-$B$13)/($B$12-1))</x:f>
      </x:c>
      <x:c r="C628" s="14">
        <x:f>IF(B628="","",$F$8*COS(B628) + $B$7*COS($F$6*B628))</x:f>
      </x:c>
      <x:c r="D628" s="14">
        <x:f>IF(B628="","",$F$8*SIN(B628) - $B$7*SIN($F$6*B628))</x:f>
      </x:c>
      <x:c r="E628" s="14">
        <x:f>IF(B628="","", C628 + $F$12*$F$9*(-H628)/IF(SQRT(G628^2+H628^2)=0,1,SQRT(G628^2+H628^2)))</x:f>
      </x:c>
      <x:c r="F628" s="14">
        <x:f>IF(B628="","", D628 + $F$12*$F$9*(G628)/IF(SQRT(G628^2+H628^2)=0,1,SQRT(G628^2+H628^2)))</x:f>
      </x:c>
      <x:c r="G628" s="14">
        <x:f>IF(B628="","", -$F$8*SIN(B628) - $B$7*$F$6*SIN($F$6*B628))</x:f>
      </x:c>
      <x:c r="H628" s="14">
        <x:f>IF(B628="","", $F$8*COS(B628) - $B$7*$F$6*COS($F$6*B628))</x:f>
      </x:c>
    </x:row>
    <x:row r="629">
      <x:c r="A629" s="13" t="n">
        <x:v>610</x:v>
      </x:c>
      <x:c r="B629" s="14">
        <x:f>IF($B$12&lt;610,"",$B$13+(610-1)*($B$14-$B$13)/($B$12-1))</x:f>
      </x:c>
      <x:c r="C629" s="14">
        <x:f>IF(B629="","",$F$8*COS(B629) + $B$7*COS($F$6*B629))</x:f>
      </x:c>
      <x:c r="D629" s="14">
        <x:f>IF(B629="","",$F$8*SIN(B629) - $B$7*SIN($F$6*B629))</x:f>
      </x:c>
      <x:c r="E629" s="14">
        <x:f>IF(B629="","", C629 + $F$12*$F$9*(-H629)/IF(SQRT(G629^2+H629^2)=0,1,SQRT(G629^2+H629^2)))</x:f>
      </x:c>
      <x:c r="F629" s="14">
        <x:f>IF(B629="","", D629 + $F$12*$F$9*(G629)/IF(SQRT(G629^2+H629^2)=0,1,SQRT(G629^2+H629^2)))</x:f>
      </x:c>
      <x:c r="G629" s="14">
        <x:f>IF(B629="","", -$F$8*SIN(B629) - $B$7*$F$6*SIN($F$6*B629))</x:f>
      </x:c>
      <x:c r="H629" s="14">
        <x:f>IF(B629="","", $F$8*COS(B629) - $B$7*$F$6*COS($F$6*B629))</x:f>
      </x:c>
    </x:row>
    <x:row r="630">
      <x:c r="A630" s="13" t="n">
        <x:v>611</x:v>
      </x:c>
      <x:c r="B630" s="14">
        <x:f>IF($B$12&lt;611,"",$B$13+(611-1)*($B$14-$B$13)/($B$12-1))</x:f>
      </x:c>
      <x:c r="C630" s="14">
        <x:f>IF(B630="","",$F$8*COS(B630) + $B$7*COS($F$6*B630))</x:f>
      </x:c>
      <x:c r="D630" s="14">
        <x:f>IF(B630="","",$F$8*SIN(B630) - $B$7*SIN($F$6*B630))</x:f>
      </x:c>
      <x:c r="E630" s="14">
        <x:f>IF(B630="","", C630 + $F$12*$F$9*(-H630)/IF(SQRT(G630^2+H630^2)=0,1,SQRT(G630^2+H630^2)))</x:f>
      </x:c>
      <x:c r="F630" s="14">
        <x:f>IF(B630="","", D630 + $F$12*$F$9*(G630)/IF(SQRT(G630^2+H630^2)=0,1,SQRT(G630^2+H630^2)))</x:f>
      </x:c>
      <x:c r="G630" s="14">
        <x:f>IF(B630="","", -$F$8*SIN(B630) - $B$7*$F$6*SIN($F$6*B630))</x:f>
      </x:c>
      <x:c r="H630" s="14">
        <x:f>IF(B630="","", $F$8*COS(B630) - $B$7*$F$6*COS($F$6*B630))</x:f>
      </x:c>
    </x:row>
    <x:row r="631">
      <x:c r="A631" s="13" t="n">
        <x:v>612</x:v>
      </x:c>
      <x:c r="B631" s="14">
        <x:f>IF($B$12&lt;612,"",$B$13+(612-1)*($B$14-$B$13)/($B$12-1))</x:f>
      </x:c>
      <x:c r="C631" s="14">
        <x:f>IF(B631="","",$F$8*COS(B631) + $B$7*COS($F$6*B631))</x:f>
      </x:c>
      <x:c r="D631" s="14">
        <x:f>IF(B631="","",$F$8*SIN(B631) - $B$7*SIN($F$6*B631))</x:f>
      </x:c>
      <x:c r="E631" s="14">
        <x:f>IF(B631="","", C631 + $F$12*$F$9*(-H631)/IF(SQRT(G631^2+H631^2)=0,1,SQRT(G631^2+H631^2)))</x:f>
      </x:c>
      <x:c r="F631" s="14">
        <x:f>IF(B631="","", D631 + $F$12*$F$9*(G631)/IF(SQRT(G631^2+H631^2)=0,1,SQRT(G631^2+H631^2)))</x:f>
      </x:c>
      <x:c r="G631" s="14">
        <x:f>IF(B631="","", -$F$8*SIN(B631) - $B$7*$F$6*SIN($F$6*B631))</x:f>
      </x:c>
      <x:c r="H631" s="14">
        <x:f>IF(B631="","", $F$8*COS(B631) - $B$7*$F$6*COS($F$6*B631))</x:f>
      </x:c>
    </x:row>
    <x:row r="632">
      <x:c r="A632" s="13" t="n">
        <x:v>613</x:v>
      </x:c>
      <x:c r="B632" s="14">
        <x:f>IF($B$12&lt;613,"",$B$13+(613-1)*($B$14-$B$13)/($B$12-1))</x:f>
      </x:c>
      <x:c r="C632" s="14">
        <x:f>IF(B632="","",$F$8*COS(B632) + $B$7*COS($F$6*B632))</x:f>
      </x:c>
      <x:c r="D632" s="14">
        <x:f>IF(B632="","",$F$8*SIN(B632) - $B$7*SIN($F$6*B632))</x:f>
      </x:c>
      <x:c r="E632" s="14">
        <x:f>IF(B632="","", C632 + $F$12*$F$9*(-H632)/IF(SQRT(G632^2+H632^2)=0,1,SQRT(G632^2+H632^2)))</x:f>
      </x:c>
      <x:c r="F632" s="14">
        <x:f>IF(B632="","", D632 + $F$12*$F$9*(G632)/IF(SQRT(G632^2+H632^2)=0,1,SQRT(G632^2+H632^2)))</x:f>
      </x:c>
      <x:c r="G632" s="14">
        <x:f>IF(B632="","", -$F$8*SIN(B632) - $B$7*$F$6*SIN($F$6*B632))</x:f>
      </x:c>
      <x:c r="H632" s="14">
        <x:f>IF(B632="","", $F$8*COS(B632) - $B$7*$F$6*COS($F$6*B632))</x:f>
      </x:c>
    </x:row>
    <x:row r="633">
      <x:c r="A633" s="13" t="n">
        <x:v>614</x:v>
      </x:c>
      <x:c r="B633" s="14">
        <x:f>IF($B$12&lt;614,"",$B$13+(614-1)*($B$14-$B$13)/($B$12-1))</x:f>
      </x:c>
      <x:c r="C633" s="14">
        <x:f>IF(B633="","",$F$8*COS(B633) + $B$7*COS($F$6*B633))</x:f>
      </x:c>
      <x:c r="D633" s="14">
        <x:f>IF(B633="","",$F$8*SIN(B633) - $B$7*SIN($F$6*B633))</x:f>
      </x:c>
      <x:c r="E633" s="14">
        <x:f>IF(B633="","", C633 + $F$12*$F$9*(-H633)/IF(SQRT(G633^2+H633^2)=0,1,SQRT(G633^2+H633^2)))</x:f>
      </x:c>
      <x:c r="F633" s="14">
        <x:f>IF(B633="","", D633 + $F$12*$F$9*(G633)/IF(SQRT(G633^2+H633^2)=0,1,SQRT(G633^2+H633^2)))</x:f>
      </x:c>
      <x:c r="G633" s="14">
        <x:f>IF(B633="","", -$F$8*SIN(B633) - $B$7*$F$6*SIN($F$6*B633))</x:f>
      </x:c>
      <x:c r="H633" s="14">
        <x:f>IF(B633="","", $F$8*COS(B633) - $B$7*$F$6*COS($F$6*B633))</x:f>
      </x:c>
    </x:row>
    <x:row r="634">
      <x:c r="A634" s="13" t="n">
        <x:v>615</x:v>
      </x:c>
      <x:c r="B634" s="14">
        <x:f>IF($B$12&lt;615,"",$B$13+(615-1)*($B$14-$B$13)/($B$12-1))</x:f>
      </x:c>
      <x:c r="C634" s="14">
        <x:f>IF(B634="","",$F$8*COS(B634) + $B$7*COS($F$6*B634))</x:f>
      </x:c>
      <x:c r="D634" s="14">
        <x:f>IF(B634="","",$F$8*SIN(B634) - $B$7*SIN($F$6*B634))</x:f>
      </x:c>
      <x:c r="E634" s="14">
        <x:f>IF(B634="","", C634 + $F$12*$F$9*(-H634)/IF(SQRT(G634^2+H634^2)=0,1,SQRT(G634^2+H634^2)))</x:f>
      </x:c>
      <x:c r="F634" s="14">
        <x:f>IF(B634="","", D634 + $F$12*$F$9*(G634)/IF(SQRT(G634^2+H634^2)=0,1,SQRT(G634^2+H634^2)))</x:f>
      </x:c>
      <x:c r="G634" s="14">
        <x:f>IF(B634="","", -$F$8*SIN(B634) - $B$7*$F$6*SIN($F$6*B634))</x:f>
      </x:c>
      <x:c r="H634" s="14">
        <x:f>IF(B634="","", $F$8*COS(B634) - $B$7*$F$6*COS($F$6*B634))</x:f>
      </x:c>
    </x:row>
    <x:row r="635">
      <x:c r="A635" s="13" t="n">
        <x:v>616</x:v>
      </x:c>
      <x:c r="B635" s="14">
        <x:f>IF($B$12&lt;616,"",$B$13+(616-1)*($B$14-$B$13)/($B$12-1))</x:f>
      </x:c>
      <x:c r="C635" s="14">
        <x:f>IF(B635="","",$F$8*COS(B635) + $B$7*COS($F$6*B635))</x:f>
      </x:c>
      <x:c r="D635" s="14">
        <x:f>IF(B635="","",$F$8*SIN(B635) - $B$7*SIN($F$6*B635))</x:f>
      </x:c>
      <x:c r="E635" s="14">
        <x:f>IF(B635="","", C635 + $F$12*$F$9*(-H635)/IF(SQRT(G635^2+H635^2)=0,1,SQRT(G635^2+H635^2)))</x:f>
      </x:c>
      <x:c r="F635" s="14">
        <x:f>IF(B635="","", D635 + $F$12*$F$9*(G635)/IF(SQRT(G635^2+H635^2)=0,1,SQRT(G635^2+H635^2)))</x:f>
      </x:c>
      <x:c r="G635" s="14">
        <x:f>IF(B635="","", -$F$8*SIN(B635) - $B$7*$F$6*SIN($F$6*B635))</x:f>
      </x:c>
      <x:c r="H635" s="14">
        <x:f>IF(B635="","", $F$8*COS(B635) - $B$7*$F$6*COS($F$6*B635))</x:f>
      </x:c>
    </x:row>
    <x:row r="636">
      <x:c r="A636" s="13" t="n">
        <x:v>617</x:v>
      </x:c>
      <x:c r="B636" s="14">
        <x:f>IF($B$12&lt;617,"",$B$13+(617-1)*($B$14-$B$13)/($B$12-1))</x:f>
      </x:c>
      <x:c r="C636" s="14">
        <x:f>IF(B636="","",$F$8*COS(B636) + $B$7*COS($F$6*B636))</x:f>
      </x:c>
      <x:c r="D636" s="14">
        <x:f>IF(B636="","",$F$8*SIN(B636) - $B$7*SIN($F$6*B636))</x:f>
      </x:c>
      <x:c r="E636" s="14">
        <x:f>IF(B636="","", C636 + $F$12*$F$9*(-H636)/IF(SQRT(G636^2+H636^2)=0,1,SQRT(G636^2+H636^2)))</x:f>
      </x:c>
      <x:c r="F636" s="14">
        <x:f>IF(B636="","", D636 + $F$12*$F$9*(G636)/IF(SQRT(G636^2+H636^2)=0,1,SQRT(G636^2+H636^2)))</x:f>
      </x:c>
      <x:c r="G636" s="14">
        <x:f>IF(B636="","", -$F$8*SIN(B636) - $B$7*$F$6*SIN($F$6*B636))</x:f>
      </x:c>
      <x:c r="H636" s="14">
        <x:f>IF(B636="","", $F$8*COS(B636) - $B$7*$F$6*COS($F$6*B636))</x:f>
      </x:c>
    </x:row>
    <x:row r="637">
      <x:c r="A637" s="13" t="n">
        <x:v>618</x:v>
      </x:c>
      <x:c r="B637" s="14">
        <x:f>IF($B$12&lt;618,"",$B$13+(618-1)*($B$14-$B$13)/($B$12-1))</x:f>
      </x:c>
      <x:c r="C637" s="14">
        <x:f>IF(B637="","",$F$8*COS(B637) + $B$7*COS($F$6*B637))</x:f>
      </x:c>
      <x:c r="D637" s="14">
        <x:f>IF(B637="","",$F$8*SIN(B637) - $B$7*SIN($F$6*B637))</x:f>
      </x:c>
      <x:c r="E637" s="14">
        <x:f>IF(B637="","", C637 + $F$12*$F$9*(-H637)/IF(SQRT(G637^2+H637^2)=0,1,SQRT(G637^2+H637^2)))</x:f>
      </x:c>
      <x:c r="F637" s="14">
        <x:f>IF(B637="","", D637 + $F$12*$F$9*(G637)/IF(SQRT(G637^2+H637^2)=0,1,SQRT(G637^2+H637^2)))</x:f>
      </x:c>
      <x:c r="G637" s="14">
        <x:f>IF(B637="","", -$F$8*SIN(B637) - $B$7*$F$6*SIN($F$6*B637))</x:f>
      </x:c>
      <x:c r="H637" s="14">
        <x:f>IF(B637="","", $F$8*COS(B637) - $B$7*$F$6*COS($F$6*B637))</x:f>
      </x:c>
    </x:row>
    <x:row r="638">
      <x:c r="A638" s="13" t="n">
        <x:v>619</x:v>
      </x:c>
      <x:c r="B638" s="14">
        <x:f>IF($B$12&lt;619,"",$B$13+(619-1)*($B$14-$B$13)/($B$12-1))</x:f>
      </x:c>
      <x:c r="C638" s="14">
        <x:f>IF(B638="","",$F$8*COS(B638) + $B$7*COS($F$6*B638))</x:f>
      </x:c>
      <x:c r="D638" s="14">
        <x:f>IF(B638="","",$F$8*SIN(B638) - $B$7*SIN($F$6*B638))</x:f>
      </x:c>
      <x:c r="E638" s="14">
        <x:f>IF(B638="","", C638 + $F$12*$F$9*(-H638)/IF(SQRT(G638^2+H638^2)=0,1,SQRT(G638^2+H638^2)))</x:f>
      </x:c>
      <x:c r="F638" s="14">
        <x:f>IF(B638="","", D638 + $F$12*$F$9*(G638)/IF(SQRT(G638^2+H638^2)=0,1,SQRT(G638^2+H638^2)))</x:f>
      </x:c>
      <x:c r="G638" s="14">
        <x:f>IF(B638="","", -$F$8*SIN(B638) - $B$7*$F$6*SIN($F$6*B638))</x:f>
      </x:c>
      <x:c r="H638" s="14">
        <x:f>IF(B638="","", $F$8*COS(B638) - $B$7*$F$6*COS($F$6*B638))</x:f>
      </x:c>
    </x:row>
    <x:row r="639">
      <x:c r="A639" s="13" t="n">
        <x:v>620</x:v>
      </x:c>
      <x:c r="B639" s="14">
        <x:f>IF($B$12&lt;620,"",$B$13+(620-1)*($B$14-$B$13)/($B$12-1))</x:f>
      </x:c>
      <x:c r="C639" s="14">
        <x:f>IF(B639="","",$F$8*COS(B639) + $B$7*COS($F$6*B639))</x:f>
      </x:c>
      <x:c r="D639" s="14">
        <x:f>IF(B639="","",$F$8*SIN(B639) - $B$7*SIN($F$6*B639))</x:f>
      </x:c>
      <x:c r="E639" s="14">
        <x:f>IF(B639="","", C639 + $F$12*$F$9*(-H639)/IF(SQRT(G639^2+H639^2)=0,1,SQRT(G639^2+H639^2)))</x:f>
      </x:c>
      <x:c r="F639" s="14">
        <x:f>IF(B639="","", D639 + $F$12*$F$9*(G639)/IF(SQRT(G639^2+H639^2)=0,1,SQRT(G639^2+H639^2)))</x:f>
      </x:c>
      <x:c r="G639" s="14">
        <x:f>IF(B639="","", -$F$8*SIN(B639) - $B$7*$F$6*SIN($F$6*B639))</x:f>
      </x:c>
      <x:c r="H639" s="14">
        <x:f>IF(B639="","", $F$8*COS(B639) - $B$7*$F$6*COS($F$6*B639))</x:f>
      </x:c>
    </x:row>
    <x:row r="640">
      <x:c r="A640" s="13" t="n">
        <x:v>621</x:v>
      </x:c>
      <x:c r="B640" s="14">
        <x:f>IF($B$12&lt;621,"",$B$13+(621-1)*($B$14-$B$13)/($B$12-1))</x:f>
      </x:c>
      <x:c r="C640" s="14">
        <x:f>IF(B640="","",$F$8*COS(B640) + $B$7*COS($F$6*B640))</x:f>
      </x:c>
      <x:c r="D640" s="14">
        <x:f>IF(B640="","",$F$8*SIN(B640) - $B$7*SIN($F$6*B640))</x:f>
      </x:c>
      <x:c r="E640" s="14">
        <x:f>IF(B640="","", C640 + $F$12*$F$9*(-H640)/IF(SQRT(G640^2+H640^2)=0,1,SQRT(G640^2+H640^2)))</x:f>
      </x:c>
      <x:c r="F640" s="14">
        <x:f>IF(B640="","", D640 + $F$12*$F$9*(G640)/IF(SQRT(G640^2+H640^2)=0,1,SQRT(G640^2+H640^2)))</x:f>
      </x:c>
      <x:c r="G640" s="14">
        <x:f>IF(B640="","", -$F$8*SIN(B640) - $B$7*$F$6*SIN($F$6*B640))</x:f>
      </x:c>
      <x:c r="H640" s="14">
        <x:f>IF(B640="","", $F$8*COS(B640) - $B$7*$F$6*COS($F$6*B640))</x:f>
      </x:c>
    </x:row>
    <x:row r="641">
      <x:c r="A641" s="13" t="n">
        <x:v>622</x:v>
      </x:c>
      <x:c r="B641" s="14">
        <x:f>IF($B$12&lt;622,"",$B$13+(622-1)*($B$14-$B$13)/($B$12-1))</x:f>
      </x:c>
      <x:c r="C641" s="14">
        <x:f>IF(B641="","",$F$8*COS(B641) + $B$7*COS($F$6*B641))</x:f>
      </x:c>
      <x:c r="D641" s="14">
        <x:f>IF(B641="","",$F$8*SIN(B641) - $B$7*SIN($F$6*B641))</x:f>
      </x:c>
      <x:c r="E641" s="14">
        <x:f>IF(B641="","", C641 + $F$12*$F$9*(-H641)/IF(SQRT(G641^2+H641^2)=0,1,SQRT(G641^2+H641^2)))</x:f>
      </x:c>
      <x:c r="F641" s="14">
        <x:f>IF(B641="","", D641 + $F$12*$F$9*(G641)/IF(SQRT(G641^2+H641^2)=0,1,SQRT(G641^2+H641^2)))</x:f>
      </x:c>
      <x:c r="G641" s="14">
        <x:f>IF(B641="","", -$F$8*SIN(B641) - $B$7*$F$6*SIN($F$6*B641))</x:f>
      </x:c>
      <x:c r="H641" s="14">
        <x:f>IF(B641="","", $F$8*COS(B641) - $B$7*$F$6*COS($F$6*B641))</x:f>
      </x:c>
    </x:row>
    <x:row r="642">
      <x:c r="A642" s="13" t="n">
        <x:v>623</x:v>
      </x:c>
      <x:c r="B642" s="14">
        <x:f>IF($B$12&lt;623,"",$B$13+(623-1)*($B$14-$B$13)/($B$12-1))</x:f>
      </x:c>
      <x:c r="C642" s="14">
        <x:f>IF(B642="","",$F$8*COS(B642) + $B$7*COS($F$6*B642))</x:f>
      </x:c>
      <x:c r="D642" s="14">
        <x:f>IF(B642="","",$F$8*SIN(B642) - $B$7*SIN($F$6*B642))</x:f>
      </x:c>
      <x:c r="E642" s="14">
        <x:f>IF(B642="","", C642 + $F$12*$F$9*(-H642)/IF(SQRT(G642^2+H642^2)=0,1,SQRT(G642^2+H642^2)))</x:f>
      </x:c>
      <x:c r="F642" s="14">
        <x:f>IF(B642="","", D642 + $F$12*$F$9*(G642)/IF(SQRT(G642^2+H642^2)=0,1,SQRT(G642^2+H642^2)))</x:f>
      </x:c>
      <x:c r="G642" s="14">
        <x:f>IF(B642="","", -$F$8*SIN(B642) - $B$7*$F$6*SIN($F$6*B642))</x:f>
      </x:c>
      <x:c r="H642" s="14">
        <x:f>IF(B642="","", $F$8*COS(B642) - $B$7*$F$6*COS($F$6*B642))</x:f>
      </x:c>
    </x:row>
    <x:row r="643">
      <x:c r="A643" s="13" t="n">
        <x:v>624</x:v>
      </x:c>
      <x:c r="B643" s="14">
        <x:f>IF($B$12&lt;624,"",$B$13+(624-1)*($B$14-$B$13)/($B$12-1))</x:f>
      </x:c>
      <x:c r="C643" s="14">
        <x:f>IF(B643="","",$F$8*COS(B643) + $B$7*COS($F$6*B643))</x:f>
      </x:c>
      <x:c r="D643" s="14">
        <x:f>IF(B643="","",$F$8*SIN(B643) - $B$7*SIN($F$6*B643))</x:f>
      </x:c>
      <x:c r="E643" s="14">
        <x:f>IF(B643="","", C643 + $F$12*$F$9*(-H643)/IF(SQRT(G643^2+H643^2)=0,1,SQRT(G643^2+H643^2)))</x:f>
      </x:c>
      <x:c r="F643" s="14">
        <x:f>IF(B643="","", D643 + $F$12*$F$9*(G643)/IF(SQRT(G643^2+H643^2)=0,1,SQRT(G643^2+H643^2)))</x:f>
      </x:c>
      <x:c r="G643" s="14">
        <x:f>IF(B643="","", -$F$8*SIN(B643) - $B$7*$F$6*SIN($F$6*B643))</x:f>
      </x:c>
      <x:c r="H643" s="14">
        <x:f>IF(B643="","", $F$8*COS(B643) - $B$7*$F$6*COS($F$6*B643))</x:f>
      </x:c>
    </x:row>
    <x:row r="644">
      <x:c r="A644" s="13" t="n">
        <x:v>625</x:v>
      </x:c>
      <x:c r="B644" s="14">
        <x:f>IF($B$12&lt;625,"",$B$13+(625-1)*($B$14-$B$13)/($B$12-1))</x:f>
      </x:c>
      <x:c r="C644" s="14">
        <x:f>IF(B644="","",$F$8*COS(B644) + $B$7*COS($F$6*B644))</x:f>
      </x:c>
      <x:c r="D644" s="14">
        <x:f>IF(B644="","",$F$8*SIN(B644) - $B$7*SIN($F$6*B644))</x:f>
      </x:c>
      <x:c r="E644" s="14">
        <x:f>IF(B644="","", C644 + $F$12*$F$9*(-H644)/IF(SQRT(G644^2+H644^2)=0,1,SQRT(G644^2+H644^2)))</x:f>
      </x:c>
      <x:c r="F644" s="14">
        <x:f>IF(B644="","", D644 + $F$12*$F$9*(G644)/IF(SQRT(G644^2+H644^2)=0,1,SQRT(G644^2+H644^2)))</x:f>
      </x:c>
      <x:c r="G644" s="14">
        <x:f>IF(B644="","", -$F$8*SIN(B644) - $B$7*$F$6*SIN($F$6*B644))</x:f>
      </x:c>
      <x:c r="H644" s="14">
        <x:f>IF(B644="","", $F$8*COS(B644) - $B$7*$F$6*COS($F$6*B644))</x:f>
      </x:c>
    </x:row>
    <x:row r="645">
      <x:c r="A645" s="13" t="n">
        <x:v>626</x:v>
      </x:c>
      <x:c r="B645" s="14">
        <x:f>IF($B$12&lt;626,"",$B$13+(626-1)*($B$14-$B$13)/($B$12-1))</x:f>
      </x:c>
      <x:c r="C645" s="14">
        <x:f>IF(B645="","",$F$8*COS(B645) + $B$7*COS($F$6*B645))</x:f>
      </x:c>
      <x:c r="D645" s="14">
        <x:f>IF(B645="","",$F$8*SIN(B645) - $B$7*SIN($F$6*B645))</x:f>
      </x:c>
      <x:c r="E645" s="14">
        <x:f>IF(B645="","", C645 + $F$12*$F$9*(-H645)/IF(SQRT(G645^2+H645^2)=0,1,SQRT(G645^2+H645^2)))</x:f>
      </x:c>
      <x:c r="F645" s="14">
        <x:f>IF(B645="","", D645 + $F$12*$F$9*(G645)/IF(SQRT(G645^2+H645^2)=0,1,SQRT(G645^2+H645^2)))</x:f>
      </x:c>
      <x:c r="G645" s="14">
        <x:f>IF(B645="","", -$F$8*SIN(B645) - $B$7*$F$6*SIN($F$6*B645))</x:f>
      </x:c>
      <x:c r="H645" s="14">
        <x:f>IF(B645="","", $F$8*COS(B645) - $B$7*$F$6*COS($F$6*B645))</x:f>
      </x:c>
    </x:row>
    <x:row r="646">
      <x:c r="A646" s="13" t="n">
        <x:v>627</x:v>
      </x:c>
      <x:c r="B646" s="14">
        <x:f>IF($B$12&lt;627,"",$B$13+(627-1)*($B$14-$B$13)/($B$12-1))</x:f>
      </x:c>
      <x:c r="C646" s="14">
        <x:f>IF(B646="","",$F$8*COS(B646) + $B$7*COS($F$6*B646))</x:f>
      </x:c>
      <x:c r="D646" s="14">
        <x:f>IF(B646="","",$F$8*SIN(B646) - $B$7*SIN($F$6*B646))</x:f>
      </x:c>
      <x:c r="E646" s="14">
        <x:f>IF(B646="","", C646 + $F$12*$F$9*(-H646)/IF(SQRT(G646^2+H646^2)=0,1,SQRT(G646^2+H646^2)))</x:f>
      </x:c>
      <x:c r="F646" s="14">
        <x:f>IF(B646="","", D646 + $F$12*$F$9*(G646)/IF(SQRT(G646^2+H646^2)=0,1,SQRT(G646^2+H646^2)))</x:f>
      </x:c>
      <x:c r="G646" s="14">
        <x:f>IF(B646="","", -$F$8*SIN(B646) - $B$7*$F$6*SIN($F$6*B646))</x:f>
      </x:c>
      <x:c r="H646" s="14">
        <x:f>IF(B646="","", $F$8*COS(B646) - $B$7*$F$6*COS($F$6*B646))</x:f>
      </x:c>
    </x:row>
    <x:row r="647">
      <x:c r="A647" s="13" t="n">
        <x:v>628</x:v>
      </x:c>
      <x:c r="B647" s="14">
        <x:f>IF($B$12&lt;628,"",$B$13+(628-1)*($B$14-$B$13)/($B$12-1))</x:f>
      </x:c>
      <x:c r="C647" s="14">
        <x:f>IF(B647="","",$F$8*COS(B647) + $B$7*COS($F$6*B647))</x:f>
      </x:c>
      <x:c r="D647" s="14">
        <x:f>IF(B647="","",$F$8*SIN(B647) - $B$7*SIN($F$6*B647))</x:f>
      </x:c>
      <x:c r="E647" s="14">
        <x:f>IF(B647="","", C647 + $F$12*$F$9*(-H647)/IF(SQRT(G647^2+H647^2)=0,1,SQRT(G647^2+H647^2)))</x:f>
      </x:c>
      <x:c r="F647" s="14">
        <x:f>IF(B647="","", D647 + $F$12*$F$9*(G647)/IF(SQRT(G647^2+H647^2)=0,1,SQRT(G647^2+H647^2)))</x:f>
      </x:c>
      <x:c r="G647" s="14">
        <x:f>IF(B647="","", -$F$8*SIN(B647) - $B$7*$F$6*SIN($F$6*B647))</x:f>
      </x:c>
      <x:c r="H647" s="14">
        <x:f>IF(B647="","", $F$8*COS(B647) - $B$7*$F$6*COS($F$6*B647))</x:f>
      </x:c>
    </x:row>
    <x:row r="648">
      <x:c r="A648" s="13" t="n">
        <x:v>629</x:v>
      </x:c>
      <x:c r="B648" s="14">
        <x:f>IF($B$12&lt;629,"",$B$13+(629-1)*($B$14-$B$13)/($B$12-1))</x:f>
      </x:c>
      <x:c r="C648" s="14">
        <x:f>IF(B648="","",$F$8*COS(B648) + $B$7*COS($F$6*B648))</x:f>
      </x:c>
      <x:c r="D648" s="14">
        <x:f>IF(B648="","",$F$8*SIN(B648) - $B$7*SIN($F$6*B648))</x:f>
      </x:c>
      <x:c r="E648" s="14">
        <x:f>IF(B648="","", C648 + $F$12*$F$9*(-H648)/IF(SQRT(G648^2+H648^2)=0,1,SQRT(G648^2+H648^2)))</x:f>
      </x:c>
      <x:c r="F648" s="14">
        <x:f>IF(B648="","", D648 + $F$12*$F$9*(G648)/IF(SQRT(G648^2+H648^2)=0,1,SQRT(G648^2+H648^2)))</x:f>
      </x:c>
      <x:c r="G648" s="14">
        <x:f>IF(B648="","", -$F$8*SIN(B648) - $B$7*$F$6*SIN($F$6*B648))</x:f>
      </x:c>
      <x:c r="H648" s="14">
        <x:f>IF(B648="","", $F$8*COS(B648) - $B$7*$F$6*COS($F$6*B648))</x:f>
      </x:c>
    </x:row>
    <x:row r="649">
      <x:c r="A649" s="13" t="n">
        <x:v>630</x:v>
      </x:c>
      <x:c r="B649" s="14">
        <x:f>IF($B$12&lt;630,"",$B$13+(630-1)*($B$14-$B$13)/($B$12-1))</x:f>
      </x:c>
      <x:c r="C649" s="14">
        <x:f>IF(B649="","",$F$8*COS(B649) + $B$7*COS($F$6*B649))</x:f>
      </x:c>
      <x:c r="D649" s="14">
        <x:f>IF(B649="","",$F$8*SIN(B649) - $B$7*SIN($F$6*B649))</x:f>
      </x:c>
      <x:c r="E649" s="14">
        <x:f>IF(B649="","", C649 + $F$12*$F$9*(-H649)/IF(SQRT(G649^2+H649^2)=0,1,SQRT(G649^2+H649^2)))</x:f>
      </x:c>
      <x:c r="F649" s="14">
        <x:f>IF(B649="","", D649 + $F$12*$F$9*(G649)/IF(SQRT(G649^2+H649^2)=0,1,SQRT(G649^2+H649^2)))</x:f>
      </x:c>
      <x:c r="G649" s="14">
        <x:f>IF(B649="","", -$F$8*SIN(B649) - $B$7*$F$6*SIN($F$6*B649))</x:f>
      </x:c>
      <x:c r="H649" s="14">
        <x:f>IF(B649="","", $F$8*COS(B649) - $B$7*$F$6*COS($F$6*B649))</x:f>
      </x:c>
    </x:row>
    <x:row r="650">
      <x:c r="A650" s="13" t="n">
        <x:v>631</x:v>
      </x:c>
      <x:c r="B650" s="14">
        <x:f>IF($B$12&lt;631,"",$B$13+(631-1)*($B$14-$B$13)/($B$12-1))</x:f>
      </x:c>
      <x:c r="C650" s="14">
        <x:f>IF(B650="","",$F$8*COS(B650) + $B$7*COS($F$6*B650))</x:f>
      </x:c>
      <x:c r="D650" s="14">
        <x:f>IF(B650="","",$F$8*SIN(B650) - $B$7*SIN($F$6*B650))</x:f>
      </x:c>
      <x:c r="E650" s="14">
        <x:f>IF(B650="","", C650 + $F$12*$F$9*(-H650)/IF(SQRT(G650^2+H650^2)=0,1,SQRT(G650^2+H650^2)))</x:f>
      </x:c>
      <x:c r="F650" s="14">
        <x:f>IF(B650="","", D650 + $F$12*$F$9*(G650)/IF(SQRT(G650^2+H650^2)=0,1,SQRT(G650^2+H650^2)))</x:f>
      </x:c>
      <x:c r="G650" s="14">
        <x:f>IF(B650="","", -$F$8*SIN(B650) - $B$7*$F$6*SIN($F$6*B650))</x:f>
      </x:c>
      <x:c r="H650" s="14">
        <x:f>IF(B650="","", $F$8*COS(B650) - $B$7*$F$6*COS($F$6*B650))</x:f>
      </x:c>
    </x:row>
    <x:row r="651">
      <x:c r="A651" s="13" t="n">
        <x:v>632</x:v>
      </x:c>
      <x:c r="B651" s="14">
        <x:f>IF($B$12&lt;632,"",$B$13+(632-1)*($B$14-$B$13)/($B$12-1))</x:f>
      </x:c>
      <x:c r="C651" s="14">
        <x:f>IF(B651="","",$F$8*COS(B651) + $B$7*COS($F$6*B651))</x:f>
      </x:c>
      <x:c r="D651" s="14">
        <x:f>IF(B651="","",$F$8*SIN(B651) - $B$7*SIN($F$6*B651))</x:f>
      </x:c>
      <x:c r="E651" s="14">
        <x:f>IF(B651="","", C651 + $F$12*$F$9*(-H651)/IF(SQRT(G651^2+H651^2)=0,1,SQRT(G651^2+H651^2)))</x:f>
      </x:c>
      <x:c r="F651" s="14">
        <x:f>IF(B651="","", D651 + $F$12*$F$9*(G651)/IF(SQRT(G651^2+H651^2)=0,1,SQRT(G651^2+H651^2)))</x:f>
      </x:c>
      <x:c r="G651" s="14">
        <x:f>IF(B651="","", -$F$8*SIN(B651) - $B$7*$F$6*SIN($F$6*B651))</x:f>
      </x:c>
      <x:c r="H651" s="14">
        <x:f>IF(B651="","", $F$8*COS(B651) - $B$7*$F$6*COS($F$6*B651))</x:f>
      </x:c>
    </x:row>
    <x:row r="652">
      <x:c r="A652" s="13" t="n">
        <x:v>633</x:v>
      </x:c>
      <x:c r="B652" s="14">
        <x:f>IF($B$12&lt;633,"",$B$13+(633-1)*($B$14-$B$13)/($B$12-1))</x:f>
      </x:c>
      <x:c r="C652" s="14">
        <x:f>IF(B652="","",$F$8*COS(B652) + $B$7*COS($F$6*B652))</x:f>
      </x:c>
      <x:c r="D652" s="14">
        <x:f>IF(B652="","",$F$8*SIN(B652) - $B$7*SIN($F$6*B652))</x:f>
      </x:c>
      <x:c r="E652" s="14">
        <x:f>IF(B652="","", C652 + $F$12*$F$9*(-H652)/IF(SQRT(G652^2+H652^2)=0,1,SQRT(G652^2+H652^2)))</x:f>
      </x:c>
      <x:c r="F652" s="14">
        <x:f>IF(B652="","", D652 + $F$12*$F$9*(G652)/IF(SQRT(G652^2+H652^2)=0,1,SQRT(G652^2+H652^2)))</x:f>
      </x:c>
      <x:c r="G652" s="14">
        <x:f>IF(B652="","", -$F$8*SIN(B652) - $B$7*$F$6*SIN($F$6*B652))</x:f>
      </x:c>
      <x:c r="H652" s="14">
        <x:f>IF(B652="","", $F$8*COS(B652) - $B$7*$F$6*COS($F$6*B652))</x:f>
      </x:c>
    </x:row>
    <x:row r="653">
      <x:c r="A653" s="13" t="n">
        <x:v>634</x:v>
      </x:c>
      <x:c r="B653" s="14">
        <x:f>IF($B$12&lt;634,"",$B$13+(634-1)*($B$14-$B$13)/($B$12-1))</x:f>
      </x:c>
      <x:c r="C653" s="14">
        <x:f>IF(B653="","",$F$8*COS(B653) + $B$7*COS($F$6*B653))</x:f>
      </x:c>
      <x:c r="D653" s="14">
        <x:f>IF(B653="","",$F$8*SIN(B653) - $B$7*SIN($F$6*B653))</x:f>
      </x:c>
      <x:c r="E653" s="14">
        <x:f>IF(B653="","", C653 + $F$12*$F$9*(-H653)/IF(SQRT(G653^2+H653^2)=0,1,SQRT(G653^2+H653^2)))</x:f>
      </x:c>
      <x:c r="F653" s="14">
        <x:f>IF(B653="","", D653 + $F$12*$F$9*(G653)/IF(SQRT(G653^2+H653^2)=0,1,SQRT(G653^2+H653^2)))</x:f>
      </x:c>
      <x:c r="G653" s="14">
        <x:f>IF(B653="","", -$F$8*SIN(B653) - $B$7*$F$6*SIN($F$6*B653))</x:f>
      </x:c>
      <x:c r="H653" s="14">
        <x:f>IF(B653="","", $F$8*COS(B653) - $B$7*$F$6*COS($F$6*B653))</x:f>
      </x:c>
    </x:row>
    <x:row r="654">
      <x:c r="A654" s="13" t="n">
        <x:v>635</x:v>
      </x:c>
      <x:c r="B654" s="14">
        <x:f>IF($B$12&lt;635,"",$B$13+(635-1)*($B$14-$B$13)/($B$12-1))</x:f>
      </x:c>
      <x:c r="C654" s="14">
        <x:f>IF(B654="","",$F$8*COS(B654) + $B$7*COS($F$6*B654))</x:f>
      </x:c>
      <x:c r="D654" s="14">
        <x:f>IF(B654="","",$F$8*SIN(B654) - $B$7*SIN($F$6*B654))</x:f>
      </x:c>
      <x:c r="E654" s="14">
        <x:f>IF(B654="","", C654 + $F$12*$F$9*(-H654)/IF(SQRT(G654^2+H654^2)=0,1,SQRT(G654^2+H654^2)))</x:f>
      </x:c>
      <x:c r="F654" s="14">
        <x:f>IF(B654="","", D654 + $F$12*$F$9*(G654)/IF(SQRT(G654^2+H654^2)=0,1,SQRT(G654^2+H654^2)))</x:f>
      </x:c>
      <x:c r="G654" s="14">
        <x:f>IF(B654="","", -$F$8*SIN(B654) - $B$7*$F$6*SIN($F$6*B654))</x:f>
      </x:c>
      <x:c r="H654" s="14">
        <x:f>IF(B654="","", $F$8*COS(B654) - $B$7*$F$6*COS($F$6*B654))</x:f>
      </x:c>
    </x:row>
    <x:row r="655">
      <x:c r="A655" s="13" t="n">
        <x:v>636</x:v>
      </x:c>
      <x:c r="B655" s="14">
        <x:f>IF($B$12&lt;636,"",$B$13+(636-1)*($B$14-$B$13)/($B$12-1))</x:f>
      </x:c>
      <x:c r="C655" s="14">
        <x:f>IF(B655="","",$F$8*COS(B655) + $B$7*COS($F$6*B655))</x:f>
      </x:c>
      <x:c r="D655" s="14">
        <x:f>IF(B655="","",$F$8*SIN(B655) - $B$7*SIN($F$6*B655))</x:f>
      </x:c>
      <x:c r="E655" s="14">
        <x:f>IF(B655="","", C655 + $F$12*$F$9*(-H655)/IF(SQRT(G655^2+H655^2)=0,1,SQRT(G655^2+H655^2)))</x:f>
      </x:c>
      <x:c r="F655" s="14">
        <x:f>IF(B655="","", D655 + $F$12*$F$9*(G655)/IF(SQRT(G655^2+H655^2)=0,1,SQRT(G655^2+H655^2)))</x:f>
      </x:c>
      <x:c r="G655" s="14">
        <x:f>IF(B655="","", -$F$8*SIN(B655) - $B$7*$F$6*SIN($F$6*B655))</x:f>
      </x:c>
      <x:c r="H655" s="14">
        <x:f>IF(B655="","", $F$8*COS(B655) - $B$7*$F$6*COS($F$6*B655))</x:f>
      </x:c>
    </x:row>
    <x:row r="656">
      <x:c r="A656" s="13" t="n">
        <x:v>637</x:v>
      </x:c>
      <x:c r="B656" s="14">
        <x:f>IF($B$12&lt;637,"",$B$13+(637-1)*($B$14-$B$13)/($B$12-1))</x:f>
      </x:c>
      <x:c r="C656" s="14">
        <x:f>IF(B656="","",$F$8*COS(B656) + $B$7*COS($F$6*B656))</x:f>
      </x:c>
      <x:c r="D656" s="14">
        <x:f>IF(B656="","",$F$8*SIN(B656) - $B$7*SIN($F$6*B656))</x:f>
      </x:c>
      <x:c r="E656" s="14">
        <x:f>IF(B656="","", C656 + $F$12*$F$9*(-H656)/IF(SQRT(G656^2+H656^2)=0,1,SQRT(G656^2+H656^2)))</x:f>
      </x:c>
      <x:c r="F656" s="14">
        <x:f>IF(B656="","", D656 + $F$12*$F$9*(G656)/IF(SQRT(G656^2+H656^2)=0,1,SQRT(G656^2+H656^2)))</x:f>
      </x:c>
      <x:c r="G656" s="14">
        <x:f>IF(B656="","", -$F$8*SIN(B656) - $B$7*$F$6*SIN($F$6*B656))</x:f>
      </x:c>
      <x:c r="H656" s="14">
        <x:f>IF(B656="","", $F$8*COS(B656) - $B$7*$F$6*COS($F$6*B656))</x:f>
      </x:c>
    </x:row>
    <x:row r="657">
      <x:c r="A657" s="13" t="n">
        <x:v>638</x:v>
      </x:c>
      <x:c r="B657" s="14">
        <x:f>IF($B$12&lt;638,"",$B$13+(638-1)*($B$14-$B$13)/($B$12-1))</x:f>
      </x:c>
      <x:c r="C657" s="14">
        <x:f>IF(B657="","",$F$8*COS(B657) + $B$7*COS($F$6*B657))</x:f>
      </x:c>
      <x:c r="D657" s="14">
        <x:f>IF(B657="","",$F$8*SIN(B657) - $B$7*SIN($F$6*B657))</x:f>
      </x:c>
      <x:c r="E657" s="14">
        <x:f>IF(B657="","", C657 + $F$12*$F$9*(-H657)/IF(SQRT(G657^2+H657^2)=0,1,SQRT(G657^2+H657^2)))</x:f>
      </x:c>
      <x:c r="F657" s="14">
        <x:f>IF(B657="","", D657 + $F$12*$F$9*(G657)/IF(SQRT(G657^2+H657^2)=0,1,SQRT(G657^2+H657^2)))</x:f>
      </x:c>
      <x:c r="G657" s="14">
        <x:f>IF(B657="","", -$F$8*SIN(B657) - $B$7*$F$6*SIN($F$6*B657))</x:f>
      </x:c>
      <x:c r="H657" s="14">
        <x:f>IF(B657="","", $F$8*COS(B657) - $B$7*$F$6*COS($F$6*B657))</x:f>
      </x:c>
    </x:row>
    <x:row r="658">
      <x:c r="A658" s="13" t="n">
        <x:v>639</x:v>
      </x:c>
      <x:c r="B658" s="14">
        <x:f>IF($B$12&lt;639,"",$B$13+(639-1)*($B$14-$B$13)/($B$12-1))</x:f>
      </x:c>
      <x:c r="C658" s="14">
        <x:f>IF(B658="","",$F$8*COS(B658) + $B$7*COS($F$6*B658))</x:f>
      </x:c>
      <x:c r="D658" s="14">
        <x:f>IF(B658="","",$F$8*SIN(B658) - $B$7*SIN($F$6*B658))</x:f>
      </x:c>
      <x:c r="E658" s="14">
        <x:f>IF(B658="","", C658 + $F$12*$F$9*(-H658)/IF(SQRT(G658^2+H658^2)=0,1,SQRT(G658^2+H658^2)))</x:f>
      </x:c>
      <x:c r="F658" s="14">
        <x:f>IF(B658="","", D658 + $F$12*$F$9*(G658)/IF(SQRT(G658^2+H658^2)=0,1,SQRT(G658^2+H658^2)))</x:f>
      </x:c>
      <x:c r="G658" s="14">
        <x:f>IF(B658="","", -$F$8*SIN(B658) - $B$7*$F$6*SIN($F$6*B658))</x:f>
      </x:c>
      <x:c r="H658" s="14">
        <x:f>IF(B658="","", $F$8*COS(B658) - $B$7*$F$6*COS($F$6*B658))</x:f>
      </x:c>
    </x:row>
    <x:row r="659">
      <x:c r="A659" s="13" t="n">
        <x:v>640</x:v>
      </x:c>
      <x:c r="B659" s="14">
        <x:f>IF($B$12&lt;640,"",$B$13+(640-1)*($B$14-$B$13)/($B$12-1))</x:f>
      </x:c>
      <x:c r="C659" s="14">
        <x:f>IF(B659="","",$F$8*COS(B659) + $B$7*COS($F$6*B659))</x:f>
      </x:c>
      <x:c r="D659" s="14">
        <x:f>IF(B659="","",$F$8*SIN(B659) - $B$7*SIN($F$6*B659))</x:f>
      </x:c>
      <x:c r="E659" s="14">
        <x:f>IF(B659="","", C659 + $F$12*$F$9*(-H659)/IF(SQRT(G659^2+H659^2)=0,1,SQRT(G659^2+H659^2)))</x:f>
      </x:c>
      <x:c r="F659" s="14">
        <x:f>IF(B659="","", D659 + $F$12*$F$9*(G659)/IF(SQRT(G659^2+H659^2)=0,1,SQRT(G659^2+H659^2)))</x:f>
      </x:c>
      <x:c r="G659" s="14">
        <x:f>IF(B659="","", -$F$8*SIN(B659) - $B$7*$F$6*SIN($F$6*B659))</x:f>
      </x:c>
      <x:c r="H659" s="14">
        <x:f>IF(B659="","", $F$8*COS(B659) - $B$7*$F$6*COS($F$6*B659))</x:f>
      </x:c>
    </x:row>
    <x:row r="660">
      <x:c r="A660" s="13" t="n">
        <x:v>641</x:v>
      </x:c>
      <x:c r="B660" s="14">
        <x:f>IF($B$12&lt;641,"",$B$13+(641-1)*($B$14-$B$13)/($B$12-1))</x:f>
      </x:c>
      <x:c r="C660" s="14">
        <x:f>IF(B660="","",$F$8*COS(B660) + $B$7*COS($F$6*B660))</x:f>
      </x:c>
      <x:c r="D660" s="14">
        <x:f>IF(B660="","",$F$8*SIN(B660) - $B$7*SIN($F$6*B660))</x:f>
      </x:c>
      <x:c r="E660" s="14">
        <x:f>IF(B660="","", C660 + $F$12*$F$9*(-H660)/IF(SQRT(G660^2+H660^2)=0,1,SQRT(G660^2+H660^2)))</x:f>
      </x:c>
      <x:c r="F660" s="14">
        <x:f>IF(B660="","", D660 + $F$12*$F$9*(G660)/IF(SQRT(G660^2+H660^2)=0,1,SQRT(G660^2+H660^2)))</x:f>
      </x:c>
      <x:c r="G660" s="14">
        <x:f>IF(B660="","", -$F$8*SIN(B660) - $B$7*$F$6*SIN($F$6*B660))</x:f>
      </x:c>
      <x:c r="H660" s="14">
        <x:f>IF(B660="","", $F$8*COS(B660) - $B$7*$F$6*COS($F$6*B660))</x:f>
      </x:c>
    </x:row>
    <x:row r="661">
      <x:c r="A661" s="13" t="n">
        <x:v>642</x:v>
      </x:c>
      <x:c r="B661" s="14">
        <x:f>IF($B$12&lt;642,"",$B$13+(642-1)*($B$14-$B$13)/($B$12-1))</x:f>
      </x:c>
      <x:c r="C661" s="14">
        <x:f>IF(B661="","",$F$8*COS(B661) + $B$7*COS($F$6*B661))</x:f>
      </x:c>
      <x:c r="D661" s="14">
        <x:f>IF(B661="","",$F$8*SIN(B661) - $B$7*SIN($F$6*B661))</x:f>
      </x:c>
      <x:c r="E661" s="14">
        <x:f>IF(B661="","", C661 + $F$12*$F$9*(-H661)/IF(SQRT(G661^2+H661^2)=0,1,SQRT(G661^2+H661^2)))</x:f>
      </x:c>
      <x:c r="F661" s="14">
        <x:f>IF(B661="","", D661 + $F$12*$F$9*(G661)/IF(SQRT(G661^2+H661^2)=0,1,SQRT(G661^2+H661^2)))</x:f>
      </x:c>
      <x:c r="G661" s="14">
        <x:f>IF(B661="","", -$F$8*SIN(B661) - $B$7*$F$6*SIN($F$6*B661))</x:f>
      </x:c>
      <x:c r="H661" s="14">
        <x:f>IF(B661="","", $F$8*COS(B661) - $B$7*$F$6*COS($F$6*B661))</x:f>
      </x:c>
    </x:row>
    <x:row r="662">
      <x:c r="A662" s="13" t="n">
        <x:v>643</x:v>
      </x:c>
      <x:c r="B662" s="14">
        <x:f>IF($B$12&lt;643,"",$B$13+(643-1)*($B$14-$B$13)/($B$12-1))</x:f>
      </x:c>
      <x:c r="C662" s="14">
        <x:f>IF(B662="","",$F$8*COS(B662) + $B$7*COS($F$6*B662))</x:f>
      </x:c>
      <x:c r="D662" s="14">
        <x:f>IF(B662="","",$F$8*SIN(B662) - $B$7*SIN($F$6*B662))</x:f>
      </x:c>
      <x:c r="E662" s="14">
        <x:f>IF(B662="","", C662 + $F$12*$F$9*(-H662)/IF(SQRT(G662^2+H662^2)=0,1,SQRT(G662^2+H662^2)))</x:f>
      </x:c>
      <x:c r="F662" s="14">
        <x:f>IF(B662="","", D662 + $F$12*$F$9*(G662)/IF(SQRT(G662^2+H662^2)=0,1,SQRT(G662^2+H662^2)))</x:f>
      </x:c>
      <x:c r="G662" s="14">
        <x:f>IF(B662="","", -$F$8*SIN(B662) - $B$7*$F$6*SIN($F$6*B662))</x:f>
      </x:c>
      <x:c r="H662" s="14">
        <x:f>IF(B662="","", $F$8*COS(B662) - $B$7*$F$6*COS($F$6*B662))</x:f>
      </x:c>
    </x:row>
    <x:row r="663">
      <x:c r="A663" s="13" t="n">
        <x:v>644</x:v>
      </x:c>
      <x:c r="B663" s="14">
        <x:f>IF($B$12&lt;644,"",$B$13+(644-1)*($B$14-$B$13)/($B$12-1))</x:f>
      </x:c>
      <x:c r="C663" s="14">
        <x:f>IF(B663="","",$F$8*COS(B663) + $B$7*COS($F$6*B663))</x:f>
      </x:c>
      <x:c r="D663" s="14">
        <x:f>IF(B663="","",$F$8*SIN(B663) - $B$7*SIN($F$6*B663))</x:f>
      </x:c>
      <x:c r="E663" s="14">
        <x:f>IF(B663="","", C663 + $F$12*$F$9*(-H663)/IF(SQRT(G663^2+H663^2)=0,1,SQRT(G663^2+H663^2)))</x:f>
      </x:c>
      <x:c r="F663" s="14">
        <x:f>IF(B663="","", D663 + $F$12*$F$9*(G663)/IF(SQRT(G663^2+H663^2)=0,1,SQRT(G663^2+H663^2)))</x:f>
      </x:c>
      <x:c r="G663" s="14">
        <x:f>IF(B663="","", -$F$8*SIN(B663) - $B$7*$F$6*SIN($F$6*B663))</x:f>
      </x:c>
      <x:c r="H663" s="14">
        <x:f>IF(B663="","", $F$8*COS(B663) - $B$7*$F$6*COS($F$6*B663))</x:f>
      </x:c>
    </x:row>
    <x:row r="664">
      <x:c r="A664" s="13" t="n">
        <x:v>645</x:v>
      </x:c>
      <x:c r="B664" s="14">
        <x:f>IF($B$12&lt;645,"",$B$13+(645-1)*($B$14-$B$13)/($B$12-1))</x:f>
      </x:c>
      <x:c r="C664" s="14">
        <x:f>IF(B664="","",$F$8*COS(B664) + $B$7*COS($F$6*B664))</x:f>
      </x:c>
      <x:c r="D664" s="14">
        <x:f>IF(B664="","",$F$8*SIN(B664) - $B$7*SIN($F$6*B664))</x:f>
      </x:c>
      <x:c r="E664" s="14">
        <x:f>IF(B664="","", C664 + $F$12*$F$9*(-H664)/IF(SQRT(G664^2+H664^2)=0,1,SQRT(G664^2+H664^2)))</x:f>
      </x:c>
      <x:c r="F664" s="14">
        <x:f>IF(B664="","", D664 + $F$12*$F$9*(G664)/IF(SQRT(G664^2+H664^2)=0,1,SQRT(G664^2+H664^2)))</x:f>
      </x:c>
      <x:c r="G664" s="14">
        <x:f>IF(B664="","", -$F$8*SIN(B664) - $B$7*$F$6*SIN($F$6*B664))</x:f>
      </x:c>
      <x:c r="H664" s="14">
        <x:f>IF(B664="","", $F$8*COS(B664) - $B$7*$F$6*COS($F$6*B664))</x:f>
      </x:c>
    </x:row>
    <x:row r="665">
      <x:c r="A665" s="13" t="n">
        <x:v>646</x:v>
      </x:c>
      <x:c r="B665" s="14">
        <x:f>IF($B$12&lt;646,"",$B$13+(646-1)*($B$14-$B$13)/($B$12-1))</x:f>
      </x:c>
      <x:c r="C665" s="14">
        <x:f>IF(B665="","",$F$8*COS(B665) + $B$7*COS($F$6*B665))</x:f>
      </x:c>
      <x:c r="D665" s="14">
        <x:f>IF(B665="","",$F$8*SIN(B665) - $B$7*SIN($F$6*B665))</x:f>
      </x:c>
      <x:c r="E665" s="14">
        <x:f>IF(B665="","", C665 + $F$12*$F$9*(-H665)/IF(SQRT(G665^2+H665^2)=0,1,SQRT(G665^2+H665^2)))</x:f>
      </x:c>
      <x:c r="F665" s="14">
        <x:f>IF(B665="","", D665 + $F$12*$F$9*(G665)/IF(SQRT(G665^2+H665^2)=0,1,SQRT(G665^2+H665^2)))</x:f>
      </x:c>
      <x:c r="G665" s="14">
        <x:f>IF(B665="","", -$F$8*SIN(B665) - $B$7*$F$6*SIN($F$6*B665))</x:f>
      </x:c>
      <x:c r="H665" s="14">
        <x:f>IF(B665="","", $F$8*COS(B665) - $B$7*$F$6*COS($F$6*B665))</x:f>
      </x:c>
    </x:row>
    <x:row r="666">
      <x:c r="A666" s="13" t="n">
        <x:v>647</x:v>
      </x:c>
      <x:c r="B666" s="14">
        <x:f>IF($B$12&lt;647,"",$B$13+(647-1)*($B$14-$B$13)/($B$12-1))</x:f>
      </x:c>
      <x:c r="C666" s="14">
        <x:f>IF(B666="","",$F$8*COS(B666) + $B$7*COS($F$6*B666))</x:f>
      </x:c>
      <x:c r="D666" s="14">
        <x:f>IF(B666="","",$F$8*SIN(B666) - $B$7*SIN($F$6*B666))</x:f>
      </x:c>
      <x:c r="E666" s="14">
        <x:f>IF(B666="","", C666 + $F$12*$F$9*(-H666)/IF(SQRT(G666^2+H666^2)=0,1,SQRT(G666^2+H666^2)))</x:f>
      </x:c>
      <x:c r="F666" s="14">
        <x:f>IF(B666="","", D666 + $F$12*$F$9*(G666)/IF(SQRT(G666^2+H666^2)=0,1,SQRT(G666^2+H666^2)))</x:f>
      </x:c>
      <x:c r="G666" s="14">
        <x:f>IF(B666="","", -$F$8*SIN(B666) - $B$7*$F$6*SIN($F$6*B666))</x:f>
      </x:c>
      <x:c r="H666" s="14">
        <x:f>IF(B666="","", $F$8*COS(B666) - $B$7*$F$6*COS($F$6*B666))</x:f>
      </x:c>
    </x:row>
    <x:row r="667">
      <x:c r="A667" s="13" t="n">
        <x:v>648</x:v>
      </x:c>
      <x:c r="B667" s="14">
        <x:f>IF($B$12&lt;648,"",$B$13+(648-1)*($B$14-$B$13)/($B$12-1))</x:f>
      </x:c>
      <x:c r="C667" s="14">
        <x:f>IF(B667="","",$F$8*COS(B667) + $B$7*COS($F$6*B667))</x:f>
      </x:c>
      <x:c r="D667" s="14">
        <x:f>IF(B667="","",$F$8*SIN(B667) - $B$7*SIN($F$6*B667))</x:f>
      </x:c>
      <x:c r="E667" s="14">
        <x:f>IF(B667="","", C667 + $F$12*$F$9*(-H667)/IF(SQRT(G667^2+H667^2)=0,1,SQRT(G667^2+H667^2)))</x:f>
      </x:c>
      <x:c r="F667" s="14">
        <x:f>IF(B667="","", D667 + $F$12*$F$9*(G667)/IF(SQRT(G667^2+H667^2)=0,1,SQRT(G667^2+H667^2)))</x:f>
      </x:c>
      <x:c r="G667" s="14">
        <x:f>IF(B667="","", -$F$8*SIN(B667) - $B$7*$F$6*SIN($F$6*B667))</x:f>
      </x:c>
      <x:c r="H667" s="14">
        <x:f>IF(B667="","", $F$8*COS(B667) - $B$7*$F$6*COS($F$6*B667))</x:f>
      </x:c>
    </x:row>
    <x:row r="668">
      <x:c r="A668" s="13" t="n">
        <x:v>649</x:v>
      </x:c>
      <x:c r="B668" s="14">
        <x:f>IF($B$12&lt;649,"",$B$13+(649-1)*($B$14-$B$13)/($B$12-1))</x:f>
      </x:c>
      <x:c r="C668" s="14">
        <x:f>IF(B668="","",$F$8*COS(B668) + $B$7*COS($F$6*B668))</x:f>
      </x:c>
      <x:c r="D668" s="14">
        <x:f>IF(B668="","",$F$8*SIN(B668) - $B$7*SIN($F$6*B668))</x:f>
      </x:c>
      <x:c r="E668" s="14">
        <x:f>IF(B668="","", C668 + $F$12*$F$9*(-H668)/IF(SQRT(G668^2+H668^2)=0,1,SQRT(G668^2+H668^2)))</x:f>
      </x:c>
      <x:c r="F668" s="14">
        <x:f>IF(B668="","", D668 + $F$12*$F$9*(G668)/IF(SQRT(G668^2+H668^2)=0,1,SQRT(G668^2+H668^2)))</x:f>
      </x:c>
      <x:c r="G668" s="14">
        <x:f>IF(B668="","", -$F$8*SIN(B668) - $B$7*$F$6*SIN($F$6*B668))</x:f>
      </x:c>
      <x:c r="H668" s="14">
        <x:f>IF(B668="","", $F$8*COS(B668) - $B$7*$F$6*COS($F$6*B668))</x:f>
      </x:c>
    </x:row>
    <x:row r="669">
      <x:c r="A669" s="13" t="n">
        <x:v>650</x:v>
      </x:c>
      <x:c r="B669" s="14">
        <x:f>IF($B$12&lt;650,"",$B$13+(650-1)*($B$14-$B$13)/($B$12-1))</x:f>
      </x:c>
      <x:c r="C669" s="14">
        <x:f>IF(B669="","",$F$8*COS(B669) + $B$7*COS($F$6*B669))</x:f>
      </x:c>
      <x:c r="D669" s="14">
        <x:f>IF(B669="","",$F$8*SIN(B669) - $B$7*SIN($F$6*B669))</x:f>
      </x:c>
      <x:c r="E669" s="14">
        <x:f>IF(B669="","", C669 + $F$12*$F$9*(-H669)/IF(SQRT(G669^2+H669^2)=0,1,SQRT(G669^2+H669^2)))</x:f>
      </x:c>
      <x:c r="F669" s="14">
        <x:f>IF(B669="","", D669 + $F$12*$F$9*(G669)/IF(SQRT(G669^2+H669^2)=0,1,SQRT(G669^2+H669^2)))</x:f>
      </x:c>
      <x:c r="G669" s="14">
        <x:f>IF(B669="","", -$F$8*SIN(B669) - $B$7*$F$6*SIN($F$6*B669))</x:f>
      </x:c>
      <x:c r="H669" s="14">
        <x:f>IF(B669="","", $F$8*COS(B669) - $B$7*$F$6*COS($F$6*B669))</x:f>
      </x:c>
    </x:row>
    <x:row r="670">
      <x:c r="A670" s="13" t="n">
        <x:v>651</x:v>
      </x:c>
      <x:c r="B670" s="14">
        <x:f>IF($B$12&lt;651,"",$B$13+(651-1)*($B$14-$B$13)/($B$12-1))</x:f>
      </x:c>
      <x:c r="C670" s="14">
        <x:f>IF(B670="","",$F$8*COS(B670) + $B$7*COS($F$6*B670))</x:f>
      </x:c>
      <x:c r="D670" s="14">
        <x:f>IF(B670="","",$F$8*SIN(B670) - $B$7*SIN($F$6*B670))</x:f>
      </x:c>
      <x:c r="E670" s="14">
        <x:f>IF(B670="","", C670 + $F$12*$F$9*(-H670)/IF(SQRT(G670^2+H670^2)=0,1,SQRT(G670^2+H670^2)))</x:f>
      </x:c>
      <x:c r="F670" s="14">
        <x:f>IF(B670="","", D670 + $F$12*$F$9*(G670)/IF(SQRT(G670^2+H670^2)=0,1,SQRT(G670^2+H670^2)))</x:f>
      </x:c>
      <x:c r="G670" s="14">
        <x:f>IF(B670="","", -$F$8*SIN(B670) - $B$7*$F$6*SIN($F$6*B670))</x:f>
      </x:c>
      <x:c r="H670" s="14">
        <x:f>IF(B670="","", $F$8*COS(B670) - $B$7*$F$6*COS($F$6*B670))</x:f>
      </x:c>
    </x:row>
    <x:row r="671">
      <x:c r="A671" s="13" t="n">
        <x:v>652</x:v>
      </x:c>
      <x:c r="B671" s="14">
        <x:f>IF($B$12&lt;652,"",$B$13+(652-1)*($B$14-$B$13)/($B$12-1))</x:f>
      </x:c>
      <x:c r="C671" s="14">
        <x:f>IF(B671="","",$F$8*COS(B671) + $B$7*COS($F$6*B671))</x:f>
      </x:c>
      <x:c r="D671" s="14">
        <x:f>IF(B671="","",$F$8*SIN(B671) - $B$7*SIN($F$6*B671))</x:f>
      </x:c>
      <x:c r="E671" s="14">
        <x:f>IF(B671="","", C671 + $F$12*$F$9*(-H671)/IF(SQRT(G671^2+H671^2)=0,1,SQRT(G671^2+H671^2)))</x:f>
      </x:c>
      <x:c r="F671" s="14">
        <x:f>IF(B671="","", D671 + $F$12*$F$9*(G671)/IF(SQRT(G671^2+H671^2)=0,1,SQRT(G671^2+H671^2)))</x:f>
      </x:c>
      <x:c r="G671" s="14">
        <x:f>IF(B671="","", -$F$8*SIN(B671) - $B$7*$F$6*SIN($F$6*B671))</x:f>
      </x:c>
      <x:c r="H671" s="14">
        <x:f>IF(B671="","", $F$8*COS(B671) - $B$7*$F$6*COS($F$6*B671))</x:f>
      </x:c>
    </x:row>
    <x:row r="672">
      <x:c r="A672" s="13" t="n">
        <x:v>653</x:v>
      </x:c>
      <x:c r="B672" s="14">
        <x:f>IF($B$12&lt;653,"",$B$13+(653-1)*($B$14-$B$13)/($B$12-1))</x:f>
      </x:c>
      <x:c r="C672" s="14">
        <x:f>IF(B672="","",$F$8*COS(B672) + $B$7*COS($F$6*B672))</x:f>
      </x:c>
      <x:c r="D672" s="14">
        <x:f>IF(B672="","",$F$8*SIN(B672) - $B$7*SIN($F$6*B672))</x:f>
      </x:c>
      <x:c r="E672" s="14">
        <x:f>IF(B672="","", C672 + $F$12*$F$9*(-H672)/IF(SQRT(G672^2+H672^2)=0,1,SQRT(G672^2+H672^2)))</x:f>
      </x:c>
      <x:c r="F672" s="14">
        <x:f>IF(B672="","", D672 + $F$12*$F$9*(G672)/IF(SQRT(G672^2+H672^2)=0,1,SQRT(G672^2+H672^2)))</x:f>
      </x:c>
      <x:c r="G672" s="14">
        <x:f>IF(B672="","", -$F$8*SIN(B672) - $B$7*$F$6*SIN($F$6*B672))</x:f>
      </x:c>
      <x:c r="H672" s="14">
        <x:f>IF(B672="","", $F$8*COS(B672) - $B$7*$F$6*COS($F$6*B672))</x:f>
      </x:c>
    </x:row>
    <x:row r="673">
      <x:c r="A673" s="13" t="n">
        <x:v>654</x:v>
      </x:c>
      <x:c r="B673" s="14">
        <x:f>IF($B$12&lt;654,"",$B$13+(654-1)*($B$14-$B$13)/($B$12-1))</x:f>
      </x:c>
      <x:c r="C673" s="14">
        <x:f>IF(B673="","",$F$8*COS(B673) + $B$7*COS($F$6*B673))</x:f>
      </x:c>
      <x:c r="D673" s="14">
        <x:f>IF(B673="","",$F$8*SIN(B673) - $B$7*SIN($F$6*B673))</x:f>
      </x:c>
      <x:c r="E673" s="14">
        <x:f>IF(B673="","", C673 + $F$12*$F$9*(-H673)/IF(SQRT(G673^2+H673^2)=0,1,SQRT(G673^2+H673^2)))</x:f>
      </x:c>
      <x:c r="F673" s="14">
        <x:f>IF(B673="","", D673 + $F$12*$F$9*(G673)/IF(SQRT(G673^2+H673^2)=0,1,SQRT(G673^2+H673^2)))</x:f>
      </x:c>
      <x:c r="G673" s="14">
        <x:f>IF(B673="","", -$F$8*SIN(B673) - $B$7*$F$6*SIN($F$6*B673))</x:f>
      </x:c>
      <x:c r="H673" s="14">
        <x:f>IF(B673="","", $F$8*COS(B673) - $B$7*$F$6*COS($F$6*B673))</x:f>
      </x:c>
    </x:row>
    <x:row r="674">
      <x:c r="A674" s="13" t="n">
        <x:v>655</x:v>
      </x:c>
      <x:c r="B674" s="14">
        <x:f>IF($B$12&lt;655,"",$B$13+(655-1)*($B$14-$B$13)/($B$12-1))</x:f>
      </x:c>
      <x:c r="C674" s="14">
        <x:f>IF(B674="","",$F$8*COS(B674) + $B$7*COS($F$6*B674))</x:f>
      </x:c>
      <x:c r="D674" s="14">
        <x:f>IF(B674="","",$F$8*SIN(B674) - $B$7*SIN($F$6*B674))</x:f>
      </x:c>
      <x:c r="E674" s="14">
        <x:f>IF(B674="","", C674 + $F$12*$F$9*(-H674)/IF(SQRT(G674^2+H674^2)=0,1,SQRT(G674^2+H674^2)))</x:f>
      </x:c>
      <x:c r="F674" s="14">
        <x:f>IF(B674="","", D674 + $F$12*$F$9*(G674)/IF(SQRT(G674^2+H674^2)=0,1,SQRT(G674^2+H674^2)))</x:f>
      </x:c>
      <x:c r="G674" s="14">
        <x:f>IF(B674="","", -$F$8*SIN(B674) - $B$7*$F$6*SIN($F$6*B674))</x:f>
      </x:c>
      <x:c r="H674" s="14">
        <x:f>IF(B674="","", $F$8*COS(B674) - $B$7*$F$6*COS($F$6*B674))</x:f>
      </x:c>
    </x:row>
    <x:row r="675">
      <x:c r="A675" s="13" t="n">
        <x:v>656</x:v>
      </x:c>
      <x:c r="B675" s="14">
        <x:f>IF($B$12&lt;656,"",$B$13+(656-1)*($B$14-$B$13)/($B$12-1))</x:f>
      </x:c>
      <x:c r="C675" s="14">
        <x:f>IF(B675="","",$F$8*COS(B675) + $B$7*COS($F$6*B675))</x:f>
      </x:c>
      <x:c r="D675" s="14">
        <x:f>IF(B675="","",$F$8*SIN(B675) - $B$7*SIN($F$6*B675))</x:f>
      </x:c>
      <x:c r="E675" s="14">
        <x:f>IF(B675="","", C675 + $F$12*$F$9*(-H675)/IF(SQRT(G675^2+H675^2)=0,1,SQRT(G675^2+H675^2)))</x:f>
      </x:c>
      <x:c r="F675" s="14">
        <x:f>IF(B675="","", D675 + $F$12*$F$9*(G675)/IF(SQRT(G675^2+H675^2)=0,1,SQRT(G675^2+H675^2)))</x:f>
      </x:c>
      <x:c r="G675" s="14">
        <x:f>IF(B675="","", -$F$8*SIN(B675) - $B$7*$F$6*SIN($F$6*B675))</x:f>
      </x:c>
      <x:c r="H675" s="14">
        <x:f>IF(B675="","", $F$8*COS(B675) - $B$7*$F$6*COS($F$6*B675))</x:f>
      </x:c>
    </x:row>
    <x:row r="676">
      <x:c r="A676" s="13" t="n">
        <x:v>657</x:v>
      </x:c>
      <x:c r="B676" s="14">
        <x:f>IF($B$12&lt;657,"",$B$13+(657-1)*($B$14-$B$13)/($B$12-1))</x:f>
      </x:c>
      <x:c r="C676" s="14">
        <x:f>IF(B676="","",$F$8*COS(B676) + $B$7*COS($F$6*B676))</x:f>
      </x:c>
      <x:c r="D676" s="14">
        <x:f>IF(B676="","",$F$8*SIN(B676) - $B$7*SIN($F$6*B676))</x:f>
      </x:c>
      <x:c r="E676" s="14">
        <x:f>IF(B676="","", C676 + $F$12*$F$9*(-H676)/IF(SQRT(G676^2+H676^2)=0,1,SQRT(G676^2+H676^2)))</x:f>
      </x:c>
      <x:c r="F676" s="14">
        <x:f>IF(B676="","", D676 + $F$12*$F$9*(G676)/IF(SQRT(G676^2+H676^2)=0,1,SQRT(G676^2+H676^2)))</x:f>
      </x:c>
      <x:c r="G676" s="14">
        <x:f>IF(B676="","", -$F$8*SIN(B676) - $B$7*$F$6*SIN($F$6*B676))</x:f>
      </x:c>
      <x:c r="H676" s="14">
        <x:f>IF(B676="","", $F$8*COS(B676) - $B$7*$F$6*COS($F$6*B676))</x:f>
      </x:c>
    </x:row>
    <x:row r="677">
      <x:c r="A677" s="13" t="n">
        <x:v>658</x:v>
      </x:c>
      <x:c r="B677" s="14">
        <x:f>IF($B$12&lt;658,"",$B$13+(658-1)*($B$14-$B$13)/($B$12-1))</x:f>
      </x:c>
      <x:c r="C677" s="14">
        <x:f>IF(B677="","",$F$8*COS(B677) + $B$7*COS($F$6*B677))</x:f>
      </x:c>
      <x:c r="D677" s="14">
        <x:f>IF(B677="","",$F$8*SIN(B677) - $B$7*SIN($F$6*B677))</x:f>
      </x:c>
      <x:c r="E677" s="14">
        <x:f>IF(B677="","", C677 + $F$12*$F$9*(-H677)/IF(SQRT(G677^2+H677^2)=0,1,SQRT(G677^2+H677^2)))</x:f>
      </x:c>
      <x:c r="F677" s="14">
        <x:f>IF(B677="","", D677 + $F$12*$F$9*(G677)/IF(SQRT(G677^2+H677^2)=0,1,SQRT(G677^2+H677^2)))</x:f>
      </x:c>
      <x:c r="G677" s="14">
        <x:f>IF(B677="","", -$F$8*SIN(B677) - $B$7*$F$6*SIN($F$6*B677))</x:f>
      </x:c>
      <x:c r="H677" s="14">
        <x:f>IF(B677="","", $F$8*COS(B677) - $B$7*$F$6*COS($F$6*B677))</x:f>
      </x:c>
    </x:row>
    <x:row r="678">
      <x:c r="A678" s="13" t="n">
        <x:v>659</x:v>
      </x:c>
      <x:c r="B678" s="14">
        <x:f>IF($B$12&lt;659,"",$B$13+(659-1)*($B$14-$B$13)/($B$12-1))</x:f>
      </x:c>
      <x:c r="C678" s="14">
        <x:f>IF(B678="","",$F$8*COS(B678) + $B$7*COS($F$6*B678))</x:f>
      </x:c>
      <x:c r="D678" s="14">
        <x:f>IF(B678="","",$F$8*SIN(B678) - $B$7*SIN($F$6*B678))</x:f>
      </x:c>
      <x:c r="E678" s="14">
        <x:f>IF(B678="","", C678 + $F$12*$F$9*(-H678)/IF(SQRT(G678^2+H678^2)=0,1,SQRT(G678^2+H678^2)))</x:f>
      </x:c>
      <x:c r="F678" s="14">
        <x:f>IF(B678="","", D678 + $F$12*$F$9*(G678)/IF(SQRT(G678^2+H678^2)=0,1,SQRT(G678^2+H678^2)))</x:f>
      </x:c>
      <x:c r="G678" s="14">
        <x:f>IF(B678="","", -$F$8*SIN(B678) - $B$7*$F$6*SIN($F$6*B678))</x:f>
      </x:c>
      <x:c r="H678" s="14">
        <x:f>IF(B678="","", $F$8*COS(B678) - $B$7*$F$6*COS($F$6*B678))</x:f>
      </x:c>
    </x:row>
    <x:row r="679">
      <x:c r="A679" s="13" t="n">
        <x:v>660</x:v>
      </x:c>
      <x:c r="B679" s="14">
        <x:f>IF($B$12&lt;660,"",$B$13+(660-1)*($B$14-$B$13)/($B$12-1))</x:f>
      </x:c>
      <x:c r="C679" s="14">
        <x:f>IF(B679="","",$F$8*COS(B679) + $B$7*COS($F$6*B679))</x:f>
      </x:c>
      <x:c r="D679" s="14">
        <x:f>IF(B679="","",$F$8*SIN(B679) - $B$7*SIN($F$6*B679))</x:f>
      </x:c>
      <x:c r="E679" s="14">
        <x:f>IF(B679="","", C679 + $F$12*$F$9*(-H679)/IF(SQRT(G679^2+H679^2)=0,1,SQRT(G679^2+H679^2)))</x:f>
      </x:c>
      <x:c r="F679" s="14">
        <x:f>IF(B679="","", D679 + $F$12*$F$9*(G679)/IF(SQRT(G679^2+H679^2)=0,1,SQRT(G679^2+H679^2)))</x:f>
      </x:c>
      <x:c r="G679" s="14">
        <x:f>IF(B679="","", -$F$8*SIN(B679) - $B$7*$F$6*SIN($F$6*B679))</x:f>
      </x:c>
      <x:c r="H679" s="14">
        <x:f>IF(B679="","", $F$8*COS(B679) - $B$7*$F$6*COS($F$6*B679))</x:f>
      </x:c>
    </x:row>
    <x:row r="680">
      <x:c r="A680" s="13" t="n">
        <x:v>661</x:v>
      </x:c>
      <x:c r="B680" s="14">
        <x:f>IF($B$12&lt;661,"",$B$13+(661-1)*($B$14-$B$13)/($B$12-1))</x:f>
      </x:c>
      <x:c r="C680" s="14">
        <x:f>IF(B680="","",$F$8*COS(B680) + $B$7*COS($F$6*B680))</x:f>
      </x:c>
      <x:c r="D680" s="14">
        <x:f>IF(B680="","",$F$8*SIN(B680) - $B$7*SIN($F$6*B680))</x:f>
      </x:c>
      <x:c r="E680" s="14">
        <x:f>IF(B680="","", C680 + $F$12*$F$9*(-H680)/IF(SQRT(G680^2+H680^2)=0,1,SQRT(G680^2+H680^2)))</x:f>
      </x:c>
      <x:c r="F680" s="14">
        <x:f>IF(B680="","", D680 + $F$12*$F$9*(G680)/IF(SQRT(G680^2+H680^2)=0,1,SQRT(G680^2+H680^2)))</x:f>
      </x:c>
      <x:c r="G680" s="14">
        <x:f>IF(B680="","", -$F$8*SIN(B680) - $B$7*$F$6*SIN($F$6*B680))</x:f>
      </x:c>
      <x:c r="H680" s="14">
        <x:f>IF(B680="","", $F$8*COS(B680) - $B$7*$F$6*COS($F$6*B680))</x:f>
      </x:c>
    </x:row>
    <x:row r="681">
      <x:c r="A681" s="13" t="n">
        <x:v>662</x:v>
      </x:c>
      <x:c r="B681" s="14">
        <x:f>IF($B$12&lt;662,"",$B$13+(662-1)*($B$14-$B$13)/($B$12-1))</x:f>
      </x:c>
      <x:c r="C681" s="14">
        <x:f>IF(B681="","",$F$8*COS(B681) + $B$7*COS($F$6*B681))</x:f>
      </x:c>
      <x:c r="D681" s="14">
        <x:f>IF(B681="","",$F$8*SIN(B681) - $B$7*SIN($F$6*B681))</x:f>
      </x:c>
      <x:c r="E681" s="14">
        <x:f>IF(B681="","", C681 + $F$12*$F$9*(-H681)/IF(SQRT(G681^2+H681^2)=0,1,SQRT(G681^2+H681^2)))</x:f>
      </x:c>
      <x:c r="F681" s="14">
        <x:f>IF(B681="","", D681 + $F$12*$F$9*(G681)/IF(SQRT(G681^2+H681^2)=0,1,SQRT(G681^2+H681^2)))</x:f>
      </x:c>
      <x:c r="G681" s="14">
        <x:f>IF(B681="","", -$F$8*SIN(B681) - $B$7*$F$6*SIN($F$6*B681))</x:f>
      </x:c>
      <x:c r="H681" s="14">
        <x:f>IF(B681="","", $F$8*COS(B681) - $B$7*$F$6*COS($F$6*B681))</x:f>
      </x:c>
    </x:row>
    <x:row r="682">
      <x:c r="A682" s="13" t="n">
        <x:v>663</x:v>
      </x:c>
      <x:c r="B682" s="14">
        <x:f>IF($B$12&lt;663,"",$B$13+(663-1)*($B$14-$B$13)/($B$12-1))</x:f>
      </x:c>
      <x:c r="C682" s="14">
        <x:f>IF(B682="","",$F$8*COS(B682) + $B$7*COS($F$6*B682))</x:f>
      </x:c>
      <x:c r="D682" s="14">
        <x:f>IF(B682="","",$F$8*SIN(B682) - $B$7*SIN($F$6*B682))</x:f>
      </x:c>
      <x:c r="E682" s="14">
        <x:f>IF(B682="","", C682 + $F$12*$F$9*(-H682)/IF(SQRT(G682^2+H682^2)=0,1,SQRT(G682^2+H682^2)))</x:f>
      </x:c>
      <x:c r="F682" s="14">
        <x:f>IF(B682="","", D682 + $F$12*$F$9*(G682)/IF(SQRT(G682^2+H682^2)=0,1,SQRT(G682^2+H682^2)))</x:f>
      </x:c>
      <x:c r="G682" s="14">
        <x:f>IF(B682="","", -$F$8*SIN(B682) - $B$7*$F$6*SIN($F$6*B682))</x:f>
      </x:c>
      <x:c r="H682" s="14">
        <x:f>IF(B682="","", $F$8*COS(B682) - $B$7*$F$6*COS($F$6*B682))</x:f>
      </x:c>
    </x:row>
    <x:row r="683">
      <x:c r="A683" s="13" t="n">
        <x:v>664</x:v>
      </x:c>
      <x:c r="B683" s="14">
        <x:f>IF($B$12&lt;664,"",$B$13+(664-1)*($B$14-$B$13)/($B$12-1))</x:f>
      </x:c>
      <x:c r="C683" s="14">
        <x:f>IF(B683="","",$F$8*COS(B683) + $B$7*COS($F$6*B683))</x:f>
      </x:c>
      <x:c r="D683" s="14">
        <x:f>IF(B683="","",$F$8*SIN(B683) - $B$7*SIN($F$6*B683))</x:f>
      </x:c>
      <x:c r="E683" s="14">
        <x:f>IF(B683="","", C683 + $F$12*$F$9*(-H683)/IF(SQRT(G683^2+H683^2)=0,1,SQRT(G683^2+H683^2)))</x:f>
      </x:c>
      <x:c r="F683" s="14">
        <x:f>IF(B683="","", D683 + $F$12*$F$9*(G683)/IF(SQRT(G683^2+H683^2)=0,1,SQRT(G683^2+H683^2)))</x:f>
      </x:c>
      <x:c r="G683" s="14">
        <x:f>IF(B683="","", -$F$8*SIN(B683) - $B$7*$F$6*SIN($F$6*B683))</x:f>
      </x:c>
      <x:c r="H683" s="14">
        <x:f>IF(B683="","", $F$8*COS(B683) - $B$7*$F$6*COS($F$6*B683))</x:f>
      </x:c>
    </x:row>
    <x:row r="684">
      <x:c r="A684" s="13" t="n">
        <x:v>665</x:v>
      </x:c>
      <x:c r="B684" s="14">
        <x:f>IF($B$12&lt;665,"",$B$13+(665-1)*($B$14-$B$13)/($B$12-1))</x:f>
      </x:c>
      <x:c r="C684" s="14">
        <x:f>IF(B684="","",$F$8*COS(B684) + $B$7*COS($F$6*B684))</x:f>
      </x:c>
      <x:c r="D684" s="14">
        <x:f>IF(B684="","",$F$8*SIN(B684) - $B$7*SIN($F$6*B684))</x:f>
      </x:c>
      <x:c r="E684" s="14">
        <x:f>IF(B684="","", C684 + $F$12*$F$9*(-H684)/IF(SQRT(G684^2+H684^2)=0,1,SQRT(G684^2+H684^2)))</x:f>
      </x:c>
      <x:c r="F684" s="14">
        <x:f>IF(B684="","", D684 + $F$12*$F$9*(G684)/IF(SQRT(G684^2+H684^2)=0,1,SQRT(G684^2+H684^2)))</x:f>
      </x:c>
      <x:c r="G684" s="14">
        <x:f>IF(B684="","", -$F$8*SIN(B684) - $B$7*$F$6*SIN($F$6*B684))</x:f>
      </x:c>
      <x:c r="H684" s="14">
        <x:f>IF(B684="","", $F$8*COS(B684) - $B$7*$F$6*COS($F$6*B684))</x:f>
      </x:c>
    </x:row>
    <x:row r="685">
      <x:c r="A685" s="13" t="n">
        <x:v>666</x:v>
      </x:c>
      <x:c r="B685" s="14">
        <x:f>IF($B$12&lt;666,"",$B$13+(666-1)*($B$14-$B$13)/($B$12-1))</x:f>
      </x:c>
      <x:c r="C685" s="14">
        <x:f>IF(B685="","",$F$8*COS(B685) + $B$7*COS($F$6*B685))</x:f>
      </x:c>
      <x:c r="D685" s="14">
        <x:f>IF(B685="","",$F$8*SIN(B685) - $B$7*SIN($F$6*B685))</x:f>
      </x:c>
      <x:c r="E685" s="14">
        <x:f>IF(B685="","", C685 + $F$12*$F$9*(-H685)/IF(SQRT(G685^2+H685^2)=0,1,SQRT(G685^2+H685^2)))</x:f>
      </x:c>
      <x:c r="F685" s="14">
        <x:f>IF(B685="","", D685 + $F$12*$F$9*(G685)/IF(SQRT(G685^2+H685^2)=0,1,SQRT(G685^2+H685^2)))</x:f>
      </x:c>
      <x:c r="G685" s="14">
        <x:f>IF(B685="","", -$F$8*SIN(B685) - $B$7*$F$6*SIN($F$6*B685))</x:f>
      </x:c>
      <x:c r="H685" s="14">
        <x:f>IF(B685="","", $F$8*COS(B685) - $B$7*$F$6*COS($F$6*B685))</x:f>
      </x:c>
    </x:row>
    <x:row r="686">
      <x:c r="A686" s="13" t="n">
        <x:v>667</x:v>
      </x:c>
      <x:c r="B686" s="14">
        <x:f>IF($B$12&lt;667,"",$B$13+(667-1)*($B$14-$B$13)/($B$12-1))</x:f>
      </x:c>
      <x:c r="C686" s="14">
        <x:f>IF(B686="","",$F$8*COS(B686) + $B$7*COS($F$6*B686))</x:f>
      </x:c>
      <x:c r="D686" s="14">
        <x:f>IF(B686="","",$F$8*SIN(B686) - $B$7*SIN($F$6*B686))</x:f>
      </x:c>
      <x:c r="E686" s="14">
        <x:f>IF(B686="","", C686 + $F$12*$F$9*(-H686)/IF(SQRT(G686^2+H686^2)=0,1,SQRT(G686^2+H686^2)))</x:f>
      </x:c>
      <x:c r="F686" s="14">
        <x:f>IF(B686="","", D686 + $F$12*$F$9*(G686)/IF(SQRT(G686^2+H686^2)=0,1,SQRT(G686^2+H686^2)))</x:f>
      </x:c>
      <x:c r="G686" s="14">
        <x:f>IF(B686="","", -$F$8*SIN(B686) - $B$7*$F$6*SIN($F$6*B686))</x:f>
      </x:c>
      <x:c r="H686" s="14">
        <x:f>IF(B686="","", $F$8*COS(B686) - $B$7*$F$6*COS($F$6*B686))</x:f>
      </x:c>
    </x:row>
    <x:row r="687">
      <x:c r="A687" s="13" t="n">
        <x:v>668</x:v>
      </x:c>
      <x:c r="B687" s="14">
        <x:f>IF($B$12&lt;668,"",$B$13+(668-1)*($B$14-$B$13)/($B$12-1))</x:f>
      </x:c>
      <x:c r="C687" s="14">
        <x:f>IF(B687="","",$F$8*COS(B687) + $B$7*COS($F$6*B687))</x:f>
      </x:c>
      <x:c r="D687" s="14">
        <x:f>IF(B687="","",$F$8*SIN(B687) - $B$7*SIN($F$6*B687))</x:f>
      </x:c>
      <x:c r="E687" s="14">
        <x:f>IF(B687="","", C687 + $F$12*$F$9*(-H687)/IF(SQRT(G687^2+H687^2)=0,1,SQRT(G687^2+H687^2)))</x:f>
      </x:c>
      <x:c r="F687" s="14">
        <x:f>IF(B687="","", D687 + $F$12*$F$9*(G687)/IF(SQRT(G687^2+H687^2)=0,1,SQRT(G687^2+H687^2)))</x:f>
      </x:c>
      <x:c r="G687" s="14">
        <x:f>IF(B687="","", -$F$8*SIN(B687) - $B$7*$F$6*SIN($F$6*B687))</x:f>
      </x:c>
      <x:c r="H687" s="14">
        <x:f>IF(B687="","", $F$8*COS(B687) - $B$7*$F$6*COS($F$6*B687))</x:f>
      </x:c>
    </x:row>
    <x:row r="688">
      <x:c r="A688" s="13" t="n">
        <x:v>669</x:v>
      </x:c>
      <x:c r="B688" s="14">
        <x:f>IF($B$12&lt;669,"",$B$13+(669-1)*($B$14-$B$13)/($B$12-1))</x:f>
      </x:c>
      <x:c r="C688" s="14">
        <x:f>IF(B688="","",$F$8*COS(B688) + $B$7*COS($F$6*B688))</x:f>
      </x:c>
      <x:c r="D688" s="14">
        <x:f>IF(B688="","",$F$8*SIN(B688) - $B$7*SIN($F$6*B688))</x:f>
      </x:c>
      <x:c r="E688" s="14">
        <x:f>IF(B688="","", C688 + $F$12*$F$9*(-H688)/IF(SQRT(G688^2+H688^2)=0,1,SQRT(G688^2+H688^2)))</x:f>
      </x:c>
      <x:c r="F688" s="14">
        <x:f>IF(B688="","", D688 + $F$12*$F$9*(G688)/IF(SQRT(G688^2+H688^2)=0,1,SQRT(G688^2+H688^2)))</x:f>
      </x:c>
      <x:c r="G688" s="14">
        <x:f>IF(B688="","", -$F$8*SIN(B688) - $B$7*$F$6*SIN($F$6*B688))</x:f>
      </x:c>
      <x:c r="H688" s="14">
        <x:f>IF(B688="","", $F$8*COS(B688) - $B$7*$F$6*COS($F$6*B688))</x:f>
      </x:c>
    </x:row>
    <x:row r="689">
      <x:c r="A689" s="13" t="n">
        <x:v>670</x:v>
      </x:c>
      <x:c r="B689" s="14">
        <x:f>IF($B$12&lt;670,"",$B$13+(670-1)*($B$14-$B$13)/($B$12-1))</x:f>
      </x:c>
      <x:c r="C689" s="14">
        <x:f>IF(B689="","",$F$8*COS(B689) + $B$7*COS($F$6*B689))</x:f>
      </x:c>
      <x:c r="D689" s="14">
        <x:f>IF(B689="","",$F$8*SIN(B689) - $B$7*SIN($F$6*B689))</x:f>
      </x:c>
      <x:c r="E689" s="14">
        <x:f>IF(B689="","", C689 + $F$12*$F$9*(-H689)/IF(SQRT(G689^2+H689^2)=0,1,SQRT(G689^2+H689^2)))</x:f>
      </x:c>
      <x:c r="F689" s="14">
        <x:f>IF(B689="","", D689 + $F$12*$F$9*(G689)/IF(SQRT(G689^2+H689^2)=0,1,SQRT(G689^2+H689^2)))</x:f>
      </x:c>
      <x:c r="G689" s="14">
        <x:f>IF(B689="","", -$F$8*SIN(B689) - $B$7*$F$6*SIN($F$6*B689))</x:f>
      </x:c>
      <x:c r="H689" s="14">
        <x:f>IF(B689="","", $F$8*COS(B689) - $B$7*$F$6*COS($F$6*B689))</x:f>
      </x:c>
    </x:row>
    <x:row r="690">
      <x:c r="A690" s="13" t="n">
        <x:v>671</x:v>
      </x:c>
      <x:c r="B690" s="14">
        <x:f>IF($B$12&lt;671,"",$B$13+(671-1)*($B$14-$B$13)/($B$12-1))</x:f>
      </x:c>
      <x:c r="C690" s="14">
        <x:f>IF(B690="","",$F$8*COS(B690) + $B$7*COS($F$6*B690))</x:f>
      </x:c>
      <x:c r="D690" s="14">
        <x:f>IF(B690="","",$F$8*SIN(B690) - $B$7*SIN($F$6*B690))</x:f>
      </x:c>
      <x:c r="E690" s="14">
        <x:f>IF(B690="","", C690 + $F$12*$F$9*(-H690)/IF(SQRT(G690^2+H690^2)=0,1,SQRT(G690^2+H690^2)))</x:f>
      </x:c>
      <x:c r="F690" s="14">
        <x:f>IF(B690="","", D690 + $F$12*$F$9*(G690)/IF(SQRT(G690^2+H690^2)=0,1,SQRT(G690^2+H690^2)))</x:f>
      </x:c>
      <x:c r="G690" s="14">
        <x:f>IF(B690="","", -$F$8*SIN(B690) - $B$7*$F$6*SIN($F$6*B690))</x:f>
      </x:c>
      <x:c r="H690" s="14">
        <x:f>IF(B690="","", $F$8*COS(B690) - $B$7*$F$6*COS($F$6*B690))</x:f>
      </x:c>
    </x:row>
    <x:row r="691">
      <x:c r="A691" s="13" t="n">
        <x:v>672</x:v>
      </x:c>
      <x:c r="B691" s="14">
        <x:f>IF($B$12&lt;672,"",$B$13+(672-1)*($B$14-$B$13)/($B$12-1))</x:f>
      </x:c>
      <x:c r="C691" s="14">
        <x:f>IF(B691="","",$F$8*COS(B691) + $B$7*COS($F$6*B691))</x:f>
      </x:c>
      <x:c r="D691" s="14">
        <x:f>IF(B691="","",$F$8*SIN(B691) - $B$7*SIN($F$6*B691))</x:f>
      </x:c>
      <x:c r="E691" s="14">
        <x:f>IF(B691="","", C691 + $F$12*$F$9*(-H691)/IF(SQRT(G691^2+H691^2)=0,1,SQRT(G691^2+H691^2)))</x:f>
      </x:c>
      <x:c r="F691" s="14">
        <x:f>IF(B691="","", D691 + $F$12*$F$9*(G691)/IF(SQRT(G691^2+H691^2)=0,1,SQRT(G691^2+H691^2)))</x:f>
      </x:c>
      <x:c r="G691" s="14">
        <x:f>IF(B691="","", -$F$8*SIN(B691) - $B$7*$F$6*SIN($F$6*B691))</x:f>
      </x:c>
      <x:c r="H691" s="14">
        <x:f>IF(B691="","", $F$8*COS(B691) - $B$7*$F$6*COS($F$6*B691))</x:f>
      </x:c>
    </x:row>
    <x:row r="692">
      <x:c r="A692" s="13" t="n">
        <x:v>673</x:v>
      </x:c>
      <x:c r="B692" s="14">
        <x:f>IF($B$12&lt;673,"",$B$13+(673-1)*($B$14-$B$13)/($B$12-1))</x:f>
      </x:c>
      <x:c r="C692" s="14">
        <x:f>IF(B692="","",$F$8*COS(B692) + $B$7*COS($F$6*B692))</x:f>
      </x:c>
      <x:c r="D692" s="14">
        <x:f>IF(B692="","",$F$8*SIN(B692) - $B$7*SIN($F$6*B692))</x:f>
      </x:c>
      <x:c r="E692" s="14">
        <x:f>IF(B692="","", C692 + $F$12*$F$9*(-H692)/IF(SQRT(G692^2+H692^2)=0,1,SQRT(G692^2+H692^2)))</x:f>
      </x:c>
      <x:c r="F692" s="14">
        <x:f>IF(B692="","", D692 + $F$12*$F$9*(G692)/IF(SQRT(G692^2+H692^2)=0,1,SQRT(G692^2+H692^2)))</x:f>
      </x:c>
      <x:c r="G692" s="14">
        <x:f>IF(B692="","", -$F$8*SIN(B692) - $B$7*$F$6*SIN($F$6*B692))</x:f>
      </x:c>
      <x:c r="H692" s="14">
        <x:f>IF(B692="","", $F$8*COS(B692) - $B$7*$F$6*COS($F$6*B692))</x:f>
      </x:c>
    </x:row>
    <x:row r="693">
      <x:c r="A693" s="13" t="n">
        <x:v>674</x:v>
      </x:c>
      <x:c r="B693" s="14">
        <x:f>IF($B$12&lt;674,"",$B$13+(674-1)*($B$14-$B$13)/($B$12-1))</x:f>
      </x:c>
      <x:c r="C693" s="14">
        <x:f>IF(B693="","",$F$8*COS(B693) + $B$7*COS($F$6*B693))</x:f>
      </x:c>
      <x:c r="D693" s="14">
        <x:f>IF(B693="","",$F$8*SIN(B693) - $B$7*SIN($F$6*B693))</x:f>
      </x:c>
      <x:c r="E693" s="14">
        <x:f>IF(B693="","", C693 + $F$12*$F$9*(-H693)/IF(SQRT(G693^2+H693^2)=0,1,SQRT(G693^2+H693^2)))</x:f>
      </x:c>
      <x:c r="F693" s="14">
        <x:f>IF(B693="","", D693 + $F$12*$F$9*(G693)/IF(SQRT(G693^2+H693^2)=0,1,SQRT(G693^2+H693^2)))</x:f>
      </x:c>
      <x:c r="G693" s="14">
        <x:f>IF(B693="","", -$F$8*SIN(B693) - $B$7*$F$6*SIN($F$6*B693))</x:f>
      </x:c>
      <x:c r="H693" s="14">
        <x:f>IF(B693="","", $F$8*COS(B693) - $B$7*$F$6*COS($F$6*B693))</x:f>
      </x:c>
    </x:row>
    <x:row r="694">
      <x:c r="A694" s="13" t="n">
        <x:v>675</x:v>
      </x:c>
      <x:c r="B694" s="14">
        <x:f>IF($B$12&lt;675,"",$B$13+(675-1)*($B$14-$B$13)/($B$12-1))</x:f>
      </x:c>
      <x:c r="C694" s="14">
        <x:f>IF(B694="","",$F$8*COS(B694) + $B$7*COS($F$6*B694))</x:f>
      </x:c>
      <x:c r="D694" s="14">
        <x:f>IF(B694="","",$F$8*SIN(B694) - $B$7*SIN($F$6*B694))</x:f>
      </x:c>
      <x:c r="E694" s="14">
        <x:f>IF(B694="","", C694 + $F$12*$F$9*(-H694)/IF(SQRT(G694^2+H694^2)=0,1,SQRT(G694^2+H694^2)))</x:f>
      </x:c>
      <x:c r="F694" s="14">
        <x:f>IF(B694="","", D694 + $F$12*$F$9*(G694)/IF(SQRT(G694^2+H694^2)=0,1,SQRT(G694^2+H694^2)))</x:f>
      </x:c>
      <x:c r="G694" s="14">
        <x:f>IF(B694="","", -$F$8*SIN(B694) - $B$7*$F$6*SIN($F$6*B694))</x:f>
      </x:c>
      <x:c r="H694" s="14">
        <x:f>IF(B694="","", $F$8*COS(B694) - $B$7*$F$6*COS($F$6*B694))</x:f>
      </x:c>
    </x:row>
    <x:row r="695">
      <x:c r="A695" s="13" t="n">
        <x:v>676</x:v>
      </x:c>
      <x:c r="B695" s="14">
        <x:f>IF($B$12&lt;676,"",$B$13+(676-1)*($B$14-$B$13)/($B$12-1))</x:f>
      </x:c>
      <x:c r="C695" s="14">
        <x:f>IF(B695="","",$F$8*COS(B695) + $B$7*COS($F$6*B695))</x:f>
      </x:c>
      <x:c r="D695" s="14">
        <x:f>IF(B695="","",$F$8*SIN(B695) - $B$7*SIN($F$6*B695))</x:f>
      </x:c>
      <x:c r="E695" s="14">
        <x:f>IF(B695="","", C695 + $F$12*$F$9*(-H695)/IF(SQRT(G695^2+H695^2)=0,1,SQRT(G695^2+H695^2)))</x:f>
      </x:c>
      <x:c r="F695" s="14">
        <x:f>IF(B695="","", D695 + $F$12*$F$9*(G695)/IF(SQRT(G695^2+H695^2)=0,1,SQRT(G695^2+H695^2)))</x:f>
      </x:c>
      <x:c r="G695" s="14">
        <x:f>IF(B695="","", -$F$8*SIN(B695) - $B$7*$F$6*SIN($F$6*B695))</x:f>
      </x:c>
      <x:c r="H695" s="14">
        <x:f>IF(B695="","", $F$8*COS(B695) - $B$7*$F$6*COS($F$6*B695))</x:f>
      </x:c>
    </x:row>
    <x:row r="696">
      <x:c r="A696" s="13" t="n">
        <x:v>677</x:v>
      </x:c>
      <x:c r="B696" s="14">
        <x:f>IF($B$12&lt;677,"",$B$13+(677-1)*($B$14-$B$13)/($B$12-1))</x:f>
      </x:c>
      <x:c r="C696" s="14">
        <x:f>IF(B696="","",$F$8*COS(B696) + $B$7*COS($F$6*B696))</x:f>
      </x:c>
      <x:c r="D696" s="14">
        <x:f>IF(B696="","",$F$8*SIN(B696) - $B$7*SIN($F$6*B696))</x:f>
      </x:c>
      <x:c r="E696" s="14">
        <x:f>IF(B696="","", C696 + $F$12*$F$9*(-H696)/IF(SQRT(G696^2+H696^2)=0,1,SQRT(G696^2+H696^2)))</x:f>
      </x:c>
      <x:c r="F696" s="14">
        <x:f>IF(B696="","", D696 + $F$12*$F$9*(G696)/IF(SQRT(G696^2+H696^2)=0,1,SQRT(G696^2+H696^2)))</x:f>
      </x:c>
      <x:c r="G696" s="14">
        <x:f>IF(B696="","", -$F$8*SIN(B696) - $B$7*$F$6*SIN($F$6*B696))</x:f>
      </x:c>
      <x:c r="H696" s="14">
        <x:f>IF(B696="","", $F$8*COS(B696) - $B$7*$F$6*COS($F$6*B696))</x:f>
      </x:c>
    </x:row>
    <x:row r="697">
      <x:c r="A697" s="13" t="n">
        <x:v>678</x:v>
      </x:c>
      <x:c r="B697" s="14">
        <x:f>IF($B$12&lt;678,"",$B$13+(678-1)*($B$14-$B$13)/($B$12-1))</x:f>
      </x:c>
      <x:c r="C697" s="14">
        <x:f>IF(B697="","",$F$8*COS(B697) + $B$7*COS($F$6*B697))</x:f>
      </x:c>
      <x:c r="D697" s="14">
        <x:f>IF(B697="","",$F$8*SIN(B697) - $B$7*SIN($F$6*B697))</x:f>
      </x:c>
      <x:c r="E697" s="14">
        <x:f>IF(B697="","", C697 + $F$12*$F$9*(-H697)/IF(SQRT(G697^2+H697^2)=0,1,SQRT(G697^2+H697^2)))</x:f>
      </x:c>
      <x:c r="F697" s="14">
        <x:f>IF(B697="","", D697 + $F$12*$F$9*(G697)/IF(SQRT(G697^2+H697^2)=0,1,SQRT(G697^2+H697^2)))</x:f>
      </x:c>
      <x:c r="G697" s="14">
        <x:f>IF(B697="","", -$F$8*SIN(B697) - $B$7*$F$6*SIN($F$6*B697))</x:f>
      </x:c>
      <x:c r="H697" s="14">
        <x:f>IF(B697="","", $F$8*COS(B697) - $B$7*$F$6*COS($F$6*B697))</x:f>
      </x:c>
    </x:row>
    <x:row r="698">
      <x:c r="A698" s="13" t="n">
        <x:v>679</x:v>
      </x:c>
      <x:c r="B698" s="14">
        <x:f>IF($B$12&lt;679,"",$B$13+(679-1)*($B$14-$B$13)/($B$12-1))</x:f>
      </x:c>
      <x:c r="C698" s="14">
        <x:f>IF(B698="","",$F$8*COS(B698) + $B$7*COS($F$6*B698))</x:f>
      </x:c>
      <x:c r="D698" s="14">
        <x:f>IF(B698="","",$F$8*SIN(B698) - $B$7*SIN($F$6*B698))</x:f>
      </x:c>
      <x:c r="E698" s="14">
        <x:f>IF(B698="","", C698 + $F$12*$F$9*(-H698)/IF(SQRT(G698^2+H698^2)=0,1,SQRT(G698^2+H698^2)))</x:f>
      </x:c>
      <x:c r="F698" s="14">
        <x:f>IF(B698="","", D698 + $F$12*$F$9*(G698)/IF(SQRT(G698^2+H698^2)=0,1,SQRT(G698^2+H698^2)))</x:f>
      </x:c>
      <x:c r="G698" s="14">
        <x:f>IF(B698="","", -$F$8*SIN(B698) - $B$7*$F$6*SIN($F$6*B698))</x:f>
      </x:c>
      <x:c r="H698" s="14">
        <x:f>IF(B698="","", $F$8*COS(B698) - $B$7*$F$6*COS($F$6*B698))</x:f>
      </x:c>
    </x:row>
    <x:row r="699">
      <x:c r="A699" s="13" t="n">
        <x:v>680</x:v>
      </x:c>
      <x:c r="B699" s="14">
        <x:f>IF($B$12&lt;680,"",$B$13+(680-1)*($B$14-$B$13)/($B$12-1))</x:f>
      </x:c>
      <x:c r="C699" s="14">
        <x:f>IF(B699="","",$F$8*COS(B699) + $B$7*COS($F$6*B699))</x:f>
      </x:c>
      <x:c r="D699" s="14">
        <x:f>IF(B699="","",$F$8*SIN(B699) - $B$7*SIN($F$6*B699))</x:f>
      </x:c>
      <x:c r="E699" s="14">
        <x:f>IF(B699="","", C699 + $F$12*$F$9*(-H699)/IF(SQRT(G699^2+H699^2)=0,1,SQRT(G699^2+H699^2)))</x:f>
      </x:c>
      <x:c r="F699" s="14">
        <x:f>IF(B699="","", D699 + $F$12*$F$9*(G699)/IF(SQRT(G699^2+H699^2)=0,1,SQRT(G699^2+H699^2)))</x:f>
      </x:c>
      <x:c r="G699" s="14">
        <x:f>IF(B699="","", -$F$8*SIN(B699) - $B$7*$F$6*SIN($F$6*B699))</x:f>
      </x:c>
      <x:c r="H699" s="14">
        <x:f>IF(B699="","", $F$8*COS(B699) - $B$7*$F$6*COS($F$6*B699))</x:f>
      </x:c>
    </x:row>
    <x:row r="700">
      <x:c r="A700" s="13" t="n">
        <x:v>681</x:v>
      </x:c>
      <x:c r="B700" s="14">
        <x:f>IF($B$12&lt;681,"",$B$13+(681-1)*($B$14-$B$13)/($B$12-1))</x:f>
      </x:c>
      <x:c r="C700" s="14">
        <x:f>IF(B700="","",$F$8*COS(B700) + $B$7*COS($F$6*B700))</x:f>
      </x:c>
      <x:c r="D700" s="14">
        <x:f>IF(B700="","",$F$8*SIN(B700) - $B$7*SIN($F$6*B700))</x:f>
      </x:c>
      <x:c r="E700" s="14">
        <x:f>IF(B700="","", C700 + $F$12*$F$9*(-H700)/IF(SQRT(G700^2+H700^2)=0,1,SQRT(G700^2+H700^2)))</x:f>
      </x:c>
      <x:c r="F700" s="14">
        <x:f>IF(B700="","", D700 + $F$12*$F$9*(G700)/IF(SQRT(G700^2+H700^2)=0,1,SQRT(G700^2+H700^2)))</x:f>
      </x:c>
      <x:c r="G700" s="14">
        <x:f>IF(B700="","", -$F$8*SIN(B700) - $B$7*$F$6*SIN($F$6*B700))</x:f>
      </x:c>
      <x:c r="H700" s="14">
        <x:f>IF(B700="","", $F$8*COS(B700) - $B$7*$F$6*COS($F$6*B700))</x:f>
      </x:c>
    </x:row>
    <x:row r="701">
      <x:c r="A701" s="13" t="n">
        <x:v>682</x:v>
      </x:c>
      <x:c r="B701" s="14">
        <x:f>IF($B$12&lt;682,"",$B$13+(682-1)*($B$14-$B$13)/($B$12-1))</x:f>
      </x:c>
      <x:c r="C701" s="14">
        <x:f>IF(B701="","",$F$8*COS(B701) + $B$7*COS($F$6*B701))</x:f>
      </x:c>
      <x:c r="D701" s="14">
        <x:f>IF(B701="","",$F$8*SIN(B701) - $B$7*SIN($F$6*B701))</x:f>
      </x:c>
      <x:c r="E701" s="14">
        <x:f>IF(B701="","", C701 + $F$12*$F$9*(-H701)/IF(SQRT(G701^2+H701^2)=0,1,SQRT(G701^2+H701^2)))</x:f>
      </x:c>
      <x:c r="F701" s="14">
        <x:f>IF(B701="","", D701 + $F$12*$F$9*(G701)/IF(SQRT(G701^2+H701^2)=0,1,SQRT(G701^2+H701^2)))</x:f>
      </x:c>
      <x:c r="G701" s="14">
        <x:f>IF(B701="","", -$F$8*SIN(B701) - $B$7*$F$6*SIN($F$6*B701))</x:f>
      </x:c>
      <x:c r="H701" s="14">
        <x:f>IF(B701="","", $F$8*COS(B701) - $B$7*$F$6*COS($F$6*B701))</x:f>
      </x:c>
    </x:row>
    <x:row r="702">
      <x:c r="A702" s="13" t="n">
        <x:v>683</x:v>
      </x:c>
      <x:c r="B702" s="14">
        <x:f>IF($B$12&lt;683,"",$B$13+(683-1)*($B$14-$B$13)/($B$12-1))</x:f>
      </x:c>
      <x:c r="C702" s="14">
        <x:f>IF(B702="","",$F$8*COS(B702) + $B$7*COS($F$6*B702))</x:f>
      </x:c>
      <x:c r="D702" s="14">
        <x:f>IF(B702="","",$F$8*SIN(B702) - $B$7*SIN($F$6*B702))</x:f>
      </x:c>
      <x:c r="E702" s="14">
        <x:f>IF(B702="","", C702 + $F$12*$F$9*(-H702)/IF(SQRT(G702^2+H702^2)=0,1,SQRT(G702^2+H702^2)))</x:f>
      </x:c>
      <x:c r="F702" s="14">
        <x:f>IF(B702="","", D702 + $F$12*$F$9*(G702)/IF(SQRT(G702^2+H702^2)=0,1,SQRT(G702^2+H702^2)))</x:f>
      </x:c>
      <x:c r="G702" s="14">
        <x:f>IF(B702="","", -$F$8*SIN(B702) - $B$7*$F$6*SIN($F$6*B702))</x:f>
      </x:c>
      <x:c r="H702" s="14">
        <x:f>IF(B702="","", $F$8*COS(B702) - $B$7*$F$6*COS($F$6*B702))</x:f>
      </x:c>
    </x:row>
    <x:row r="703">
      <x:c r="A703" s="13" t="n">
        <x:v>684</x:v>
      </x:c>
      <x:c r="B703" s="14">
        <x:f>IF($B$12&lt;684,"",$B$13+(684-1)*($B$14-$B$13)/($B$12-1))</x:f>
      </x:c>
      <x:c r="C703" s="14">
        <x:f>IF(B703="","",$F$8*COS(B703) + $B$7*COS($F$6*B703))</x:f>
      </x:c>
      <x:c r="D703" s="14">
        <x:f>IF(B703="","",$F$8*SIN(B703) - $B$7*SIN($F$6*B703))</x:f>
      </x:c>
      <x:c r="E703" s="14">
        <x:f>IF(B703="","", C703 + $F$12*$F$9*(-H703)/IF(SQRT(G703^2+H703^2)=0,1,SQRT(G703^2+H703^2)))</x:f>
      </x:c>
      <x:c r="F703" s="14">
        <x:f>IF(B703="","", D703 + $F$12*$F$9*(G703)/IF(SQRT(G703^2+H703^2)=0,1,SQRT(G703^2+H703^2)))</x:f>
      </x:c>
      <x:c r="G703" s="14">
        <x:f>IF(B703="","", -$F$8*SIN(B703) - $B$7*$F$6*SIN($F$6*B703))</x:f>
      </x:c>
      <x:c r="H703" s="14">
        <x:f>IF(B703="","", $F$8*COS(B703) - $B$7*$F$6*COS($F$6*B703))</x:f>
      </x:c>
    </x:row>
    <x:row r="704">
      <x:c r="A704" s="13" t="n">
        <x:v>685</x:v>
      </x:c>
      <x:c r="B704" s="14">
        <x:f>IF($B$12&lt;685,"",$B$13+(685-1)*($B$14-$B$13)/($B$12-1))</x:f>
      </x:c>
      <x:c r="C704" s="14">
        <x:f>IF(B704="","",$F$8*COS(B704) + $B$7*COS($F$6*B704))</x:f>
      </x:c>
      <x:c r="D704" s="14">
        <x:f>IF(B704="","",$F$8*SIN(B704) - $B$7*SIN($F$6*B704))</x:f>
      </x:c>
      <x:c r="E704" s="14">
        <x:f>IF(B704="","", C704 + $F$12*$F$9*(-H704)/IF(SQRT(G704^2+H704^2)=0,1,SQRT(G704^2+H704^2)))</x:f>
      </x:c>
      <x:c r="F704" s="14">
        <x:f>IF(B704="","", D704 + $F$12*$F$9*(G704)/IF(SQRT(G704^2+H704^2)=0,1,SQRT(G704^2+H704^2)))</x:f>
      </x:c>
      <x:c r="G704" s="14">
        <x:f>IF(B704="","", -$F$8*SIN(B704) - $B$7*$F$6*SIN($F$6*B704))</x:f>
      </x:c>
      <x:c r="H704" s="14">
        <x:f>IF(B704="","", $F$8*COS(B704) - $B$7*$F$6*COS($F$6*B704))</x:f>
      </x:c>
    </x:row>
    <x:row r="705">
      <x:c r="A705" s="13" t="n">
        <x:v>686</x:v>
      </x:c>
      <x:c r="B705" s="14">
        <x:f>IF($B$12&lt;686,"",$B$13+(686-1)*($B$14-$B$13)/($B$12-1))</x:f>
      </x:c>
      <x:c r="C705" s="14">
        <x:f>IF(B705="","",$F$8*COS(B705) + $B$7*COS($F$6*B705))</x:f>
      </x:c>
      <x:c r="D705" s="14">
        <x:f>IF(B705="","",$F$8*SIN(B705) - $B$7*SIN($F$6*B705))</x:f>
      </x:c>
      <x:c r="E705" s="14">
        <x:f>IF(B705="","", C705 + $F$12*$F$9*(-H705)/IF(SQRT(G705^2+H705^2)=0,1,SQRT(G705^2+H705^2)))</x:f>
      </x:c>
      <x:c r="F705" s="14">
        <x:f>IF(B705="","", D705 + $F$12*$F$9*(G705)/IF(SQRT(G705^2+H705^2)=0,1,SQRT(G705^2+H705^2)))</x:f>
      </x:c>
      <x:c r="G705" s="14">
        <x:f>IF(B705="","", -$F$8*SIN(B705) - $B$7*$F$6*SIN($F$6*B705))</x:f>
      </x:c>
      <x:c r="H705" s="14">
        <x:f>IF(B705="","", $F$8*COS(B705) - $B$7*$F$6*COS($F$6*B705))</x:f>
      </x:c>
    </x:row>
    <x:row r="706">
      <x:c r="A706" s="13" t="n">
        <x:v>687</x:v>
      </x:c>
      <x:c r="B706" s="14">
        <x:f>IF($B$12&lt;687,"",$B$13+(687-1)*($B$14-$B$13)/($B$12-1))</x:f>
      </x:c>
      <x:c r="C706" s="14">
        <x:f>IF(B706="","",$F$8*COS(B706) + $B$7*COS($F$6*B706))</x:f>
      </x:c>
      <x:c r="D706" s="14">
        <x:f>IF(B706="","",$F$8*SIN(B706) - $B$7*SIN($F$6*B706))</x:f>
      </x:c>
      <x:c r="E706" s="14">
        <x:f>IF(B706="","", C706 + $F$12*$F$9*(-H706)/IF(SQRT(G706^2+H706^2)=0,1,SQRT(G706^2+H706^2)))</x:f>
      </x:c>
      <x:c r="F706" s="14">
        <x:f>IF(B706="","", D706 + $F$12*$F$9*(G706)/IF(SQRT(G706^2+H706^2)=0,1,SQRT(G706^2+H706^2)))</x:f>
      </x:c>
      <x:c r="G706" s="14">
        <x:f>IF(B706="","", -$F$8*SIN(B706) - $B$7*$F$6*SIN($F$6*B706))</x:f>
      </x:c>
      <x:c r="H706" s="14">
        <x:f>IF(B706="","", $F$8*COS(B706) - $B$7*$F$6*COS($F$6*B706))</x:f>
      </x:c>
    </x:row>
    <x:row r="707">
      <x:c r="A707" s="13" t="n">
        <x:v>688</x:v>
      </x:c>
      <x:c r="B707" s="14">
        <x:f>IF($B$12&lt;688,"",$B$13+(688-1)*($B$14-$B$13)/($B$12-1))</x:f>
      </x:c>
      <x:c r="C707" s="14">
        <x:f>IF(B707="","",$F$8*COS(B707) + $B$7*COS($F$6*B707))</x:f>
      </x:c>
      <x:c r="D707" s="14">
        <x:f>IF(B707="","",$F$8*SIN(B707) - $B$7*SIN($F$6*B707))</x:f>
      </x:c>
      <x:c r="E707" s="14">
        <x:f>IF(B707="","", C707 + $F$12*$F$9*(-H707)/IF(SQRT(G707^2+H707^2)=0,1,SQRT(G707^2+H707^2)))</x:f>
      </x:c>
      <x:c r="F707" s="14">
        <x:f>IF(B707="","", D707 + $F$12*$F$9*(G707)/IF(SQRT(G707^2+H707^2)=0,1,SQRT(G707^2+H707^2)))</x:f>
      </x:c>
      <x:c r="G707" s="14">
        <x:f>IF(B707="","", -$F$8*SIN(B707) - $B$7*$F$6*SIN($F$6*B707))</x:f>
      </x:c>
      <x:c r="H707" s="14">
        <x:f>IF(B707="","", $F$8*COS(B707) - $B$7*$F$6*COS($F$6*B707))</x:f>
      </x:c>
    </x:row>
    <x:row r="708">
      <x:c r="A708" s="13" t="n">
        <x:v>689</x:v>
      </x:c>
      <x:c r="B708" s="14">
        <x:f>IF($B$12&lt;689,"",$B$13+(689-1)*($B$14-$B$13)/($B$12-1))</x:f>
      </x:c>
      <x:c r="C708" s="14">
        <x:f>IF(B708="","",$F$8*COS(B708) + $B$7*COS($F$6*B708))</x:f>
      </x:c>
      <x:c r="D708" s="14">
        <x:f>IF(B708="","",$F$8*SIN(B708) - $B$7*SIN($F$6*B708))</x:f>
      </x:c>
      <x:c r="E708" s="14">
        <x:f>IF(B708="","", C708 + $F$12*$F$9*(-H708)/IF(SQRT(G708^2+H708^2)=0,1,SQRT(G708^2+H708^2)))</x:f>
      </x:c>
      <x:c r="F708" s="14">
        <x:f>IF(B708="","", D708 + $F$12*$F$9*(G708)/IF(SQRT(G708^2+H708^2)=0,1,SQRT(G708^2+H708^2)))</x:f>
      </x:c>
      <x:c r="G708" s="14">
        <x:f>IF(B708="","", -$F$8*SIN(B708) - $B$7*$F$6*SIN($F$6*B708))</x:f>
      </x:c>
      <x:c r="H708" s="14">
        <x:f>IF(B708="","", $F$8*COS(B708) - $B$7*$F$6*COS($F$6*B708))</x:f>
      </x:c>
    </x:row>
    <x:row r="709">
      <x:c r="A709" s="13" t="n">
        <x:v>690</x:v>
      </x:c>
      <x:c r="B709" s="14">
        <x:f>IF($B$12&lt;690,"",$B$13+(690-1)*($B$14-$B$13)/($B$12-1))</x:f>
      </x:c>
      <x:c r="C709" s="14">
        <x:f>IF(B709="","",$F$8*COS(B709) + $B$7*COS($F$6*B709))</x:f>
      </x:c>
      <x:c r="D709" s="14">
        <x:f>IF(B709="","",$F$8*SIN(B709) - $B$7*SIN($F$6*B709))</x:f>
      </x:c>
      <x:c r="E709" s="14">
        <x:f>IF(B709="","", C709 + $F$12*$F$9*(-H709)/IF(SQRT(G709^2+H709^2)=0,1,SQRT(G709^2+H709^2)))</x:f>
      </x:c>
      <x:c r="F709" s="14">
        <x:f>IF(B709="","", D709 + $F$12*$F$9*(G709)/IF(SQRT(G709^2+H709^2)=0,1,SQRT(G709^2+H709^2)))</x:f>
      </x:c>
      <x:c r="G709" s="14">
        <x:f>IF(B709="","", -$F$8*SIN(B709) - $B$7*$F$6*SIN($F$6*B709))</x:f>
      </x:c>
      <x:c r="H709" s="14">
        <x:f>IF(B709="","", $F$8*COS(B709) - $B$7*$F$6*COS($F$6*B709))</x:f>
      </x:c>
    </x:row>
    <x:row r="710">
      <x:c r="A710" s="13" t="n">
        <x:v>691</x:v>
      </x:c>
      <x:c r="B710" s="14">
        <x:f>IF($B$12&lt;691,"",$B$13+(691-1)*($B$14-$B$13)/($B$12-1))</x:f>
      </x:c>
      <x:c r="C710" s="14">
        <x:f>IF(B710="","",$F$8*COS(B710) + $B$7*COS($F$6*B710))</x:f>
      </x:c>
      <x:c r="D710" s="14">
        <x:f>IF(B710="","",$F$8*SIN(B710) - $B$7*SIN($F$6*B710))</x:f>
      </x:c>
      <x:c r="E710" s="14">
        <x:f>IF(B710="","", C710 + $F$12*$F$9*(-H710)/IF(SQRT(G710^2+H710^2)=0,1,SQRT(G710^2+H710^2)))</x:f>
      </x:c>
      <x:c r="F710" s="14">
        <x:f>IF(B710="","", D710 + $F$12*$F$9*(G710)/IF(SQRT(G710^2+H710^2)=0,1,SQRT(G710^2+H710^2)))</x:f>
      </x:c>
      <x:c r="G710" s="14">
        <x:f>IF(B710="","", -$F$8*SIN(B710) - $B$7*$F$6*SIN($F$6*B710))</x:f>
      </x:c>
      <x:c r="H710" s="14">
        <x:f>IF(B710="","", $F$8*COS(B710) - $B$7*$F$6*COS($F$6*B710))</x:f>
      </x:c>
    </x:row>
    <x:row r="711">
      <x:c r="A711" s="13" t="n">
        <x:v>692</x:v>
      </x:c>
      <x:c r="B711" s="14">
        <x:f>IF($B$12&lt;692,"",$B$13+(692-1)*($B$14-$B$13)/($B$12-1))</x:f>
      </x:c>
      <x:c r="C711" s="14">
        <x:f>IF(B711="","",$F$8*COS(B711) + $B$7*COS($F$6*B711))</x:f>
      </x:c>
      <x:c r="D711" s="14">
        <x:f>IF(B711="","",$F$8*SIN(B711) - $B$7*SIN($F$6*B711))</x:f>
      </x:c>
      <x:c r="E711" s="14">
        <x:f>IF(B711="","", C711 + $F$12*$F$9*(-H711)/IF(SQRT(G711^2+H711^2)=0,1,SQRT(G711^2+H711^2)))</x:f>
      </x:c>
      <x:c r="F711" s="14">
        <x:f>IF(B711="","", D711 + $F$12*$F$9*(G711)/IF(SQRT(G711^2+H711^2)=0,1,SQRT(G711^2+H711^2)))</x:f>
      </x:c>
      <x:c r="G711" s="14">
        <x:f>IF(B711="","", -$F$8*SIN(B711) - $B$7*$F$6*SIN($F$6*B711))</x:f>
      </x:c>
      <x:c r="H711" s="14">
        <x:f>IF(B711="","", $F$8*COS(B711) - $B$7*$F$6*COS($F$6*B711))</x:f>
      </x:c>
    </x:row>
    <x:row r="712">
      <x:c r="A712" s="13" t="n">
        <x:v>693</x:v>
      </x:c>
      <x:c r="B712" s="14">
        <x:f>IF($B$12&lt;693,"",$B$13+(693-1)*($B$14-$B$13)/($B$12-1))</x:f>
      </x:c>
      <x:c r="C712" s="14">
        <x:f>IF(B712="","",$F$8*COS(B712) + $B$7*COS($F$6*B712))</x:f>
      </x:c>
      <x:c r="D712" s="14">
        <x:f>IF(B712="","",$F$8*SIN(B712) - $B$7*SIN($F$6*B712))</x:f>
      </x:c>
      <x:c r="E712" s="14">
        <x:f>IF(B712="","", C712 + $F$12*$F$9*(-H712)/IF(SQRT(G712^2+H712^2)=0,1,SQRT(G712^2+H712^2)))</x:f>
      </x:c>
      <x:c r="F712" s="14">
        <x:f>IF(B712="","", D712 + $F$12*$F$9*(G712)/IF(SQRT(G712^2+H712^2)=0,1,SQRT(G712^2+H712^2)))</x:f>
      </x:c>
      <x:c r="G712" s="14">
        <x:f>IF(B712="","", -$F$8*SIN(B712) - $B$7*$F$6*SIN($F$6*B712))</x:f>
      </x:c>
      <x:c r="H712" s="14">
        <x:f>IF(B712="","", $F$8*COS(B712) - $B$7*$F$6*COS($F$6*B712))</x:f>
      </x:c>
    </x:row>
    <x:row r="713">
      <x:c r="A713" s="13" t="n">
        <x:v>694</x:v>
      </x:c>
      <x:c r="B713" s="14">
        <x:f>IF($B$12&lt;694,"",$B$13+(694-1)*($B$14-$B$13)/($B$12-1))</x:f>
      </x:c>
      <x:c r="C713" s="14">
        <x:f>IF(B713="","",$F$8*COS(B713) + $B$7*COS($F$6*B713))</x:f>
      </x:c>
      <x:c r="D713" s="14">
        <x:f>IF(B713="","",$F$8*SIN(B713) - $B$7*SIN($F$6*B713))</x:f>
      </x:c>
      <x:c r="E713" s="14">
        <x:f>IF(B713="","", C713 + $F$12*$F$9*(-H713)/IF(SQRT(G713^2+H713^2)=0,1,SQRT(G713^2+H713^2)))</x:f>
      </x:c>
      <x:c r="F713" s="14">
        <x:f>IF(B713="","", D713 + $F$12*$F$9*(G713)/IF(SQRT(G713^2+H713^2)=0,1,SQRT(G713^2+H713^2)))</x:f>
      </x:c>
      <x:c r="G713" s="14">
        <x:f>IF(B713="","", -$F$8*SIN(B713) - $B$7*$F$6*SIN($F$6*B713))</x:f>
      </x:c>
      <x:c r="H713" s="14">
        <x:f>IF(B713="","", $F$8*COS(B713) - $B$7*$F$6*COS($F$6*B713))</x:f>
      </x:c>
    </x:row>
    <x:row r="714">
      <x:c r="A714" s="13" t="n">
        <x:v>695</x:v>
      </x:c>
      <x:c r="B714" s="14">
        <x:f>IF($B$12&lt;695,"",$B$13+(695-1)*($B$14-$B$13)/($B$12-1))</x:f>
      </x:c>
      <x:c r="C714" s="14">
        <x:f>IF(B714="","",$F$8*COS(B714) + $B$7*COS($F$6*B714))</x:f>
      </x:c>
      <x:c r="D714" s="14">
        <x:f>IF(B714="","",$F$8*SIN(B714) - $B$7*SIN($F$6*B714))</x:f>
      </x:c>
      <x:c r="E714" s="14">
        <x:f>IF(B714="","", C714 + $F$12*$F$9*(-H714)/IF(SQRT(G714^2+H714^2)=0,1,SQRT(G714^2+H714^2)))</x:f>
      </x:c>
      <x:c r="F714" s="14">
        <x:f>IF(B714="","", D714 + $F$12*$F$9*(G714)/IF(SQRT(G714^2+H714^2)=0,1,SQRT(G714^2+H714^2)))</x:f>
      </x:c>
      <x:c r="G714" s="14">
        <x:f>IF(B714="","", -$F$8*SIN(B714) - $B$7*$F$6*SIN($F$6*B714))</x:f>
      </x:c>
      <x:c r="H714" s="14">
        <x:f>IF(B714="","", $F$8*COS(B714) - $B$7*$F$6*COS($F$6*B714))</x:f>
      </x:c>
    </x:row>
    <x:row r="715">
      <x:c r="A715" s="13" t="n">
        <x:v>696</x:v>
      </x:c>
      <x:c r="B715" s="14">
        <x:f>IF($B$12&lt;696,"",$B$13+(696-1)*($B$14-$B$13)/($B$12-1))</x:f>
      </x:c>
      <x:c r="C715" s="14">
        <x:f>IF(B715="","",$F$8*COS(B715) + $B$7*COS($F$6*B715))</x:f>
      </x:c>
      <x:c r="D715" s="14">
        <x:f>IF(B715="","",$F$8*SIN(B715) - $B$7*SIN($F$6*B715))</x:f>
      </x:c>
      <x:c r="E715" s="14">
        <x:f>IF(B715="","", C715 + $F$12*$F$9*(-H715)/IF(SQRT(G715^2+H715^2)=0,1,SQRT(G715^2+H715^2)))</x:f>
      </x:c>
      <x:c r="F715" s="14">
        <x:f>IF(B715="","", D715 + $F$12*$F$9*(G715)/IF(SQRT(G715^2+H715^2)=0,1,SQRT(G715^2+H715^2)))</x:f>
      </x:c>
      <x:c r="G715" s="14">
        <x:f>IF(B715="","", -$F$8*SIN(B715) - $B$7*$F$6*SIN($F$6*B715))</x:f>
      </x:c>
      <x:c r="H715" s="14">
        <x:f>IF(B715="","", $F$8*COS(B715) - $B$7*$F$6*COS($F$6*B715))</x:f>
      </x:c>
    </x:row>
    <x:row r="716">
      <x:c r="A716" s="13" t="n">
        <x:v>697</x:v>
      </x:c>
      <x:c r="B716" s="14">
        <x:f>IF($B$12&lt;697,"",$B$13+(697-1)*($B$14-$B$13)/($B$12-1))</x:f>
      </x:c>
      <x:c r="C716" s="14">
        <x:f>IF(B716="","",$F$8*COS(B716) + $B$7*COS($F$6*B716))</x:f>
      </x:c>
      <x:c r="D716" s="14">
        <x:f>IF(B716="","",$F$8*SIN(B716) - $B$7*SIN($F$6*B716))</x:f>
      </x:c>
      <x:c r="E716" s="14">
        <x:f>IF(B716="","", C716 + $F$12*$F$9*(-H716)/IF(SQRT(G716^2+H716^2)=0,1,SQRT(G716^2+H716^2)))</x:f>
      </x:c>
      <x:c r="F716" s="14">
        <x:f>IF(B716="","", D716 + $F$12*$F$9*(G716)/IF(SQRT(G716^2+H716^2)=0,1,SQRT(G716^2+H716^2)))</x:f>
      </x:c>
      <x:c r="G716" s="14">
        <x:f>IF(B716="","", -$F$8*SIN(B716) - $B$7*$F$6*SIN($F$6*B716))</x:f>
      </x:c>
      <x:c r="H716" s="14">
        <x:f>IF(B716="","", $F$8*COS(B716) - $B$7*$F$6*COS($F$6*B716))</x:f>
      </x:c>
    </x:row>
    <x:row r="717">
      <x:c r="A717" s="13" t="n">
        <x:v>698</x:v>
      </x:c>
      <x:c r="B717" s="14">
        <x:f>IF($B$12&lt;698,"",$B$13+(698-1)*($B$14-$B$13)/($B$12-1))</x:f>
      </x:c>
      <x:c r="C717" s="14">
        <x:f>IF(B717="","",$F$8*COS(B717) + $B$7*COS($F$6*B717))</x:f>
      </x:c>
      <x:c r="D717" s="14">
        <x:f>IF(B717="","",$F$8*SIN(B717) - $B$7*SIN($F$6*B717))</x:f>
      </x:c>
      <x:c r="E717" s="14">
        <x:f>IF(B717="","", C717 + $F$12*$F$9*(-H717)/IF(SQRT(G717^2+H717^2)=0,1,SQRT(G717^2+H717^2)))</x:f>
      </x:c>
      <x:c r="F717" s="14">
        <x:f>IF(B717="","", D717 + $F$12*$F$9*(G717)/IF(SQRT(G717^2+H717^2)=0,1,SQRT(G717^2+H717^2)))</x:f>
      </x:c>
      <x:c r="G717" s="14">
        <x:f>IF(B717="","", -$F$8*SIN(B717) - $B$7*$F$6*SIN($F$6*B717))</x:f>
      </x:c>
      <x:c r="H717" s="14">
        <x:f>IF(B717="","", $F$8*COS(B717) - $B$7*$F$6*COS($F$6*B717))</x:f>
      </x:c>
    </x:row>
    <x:row r="718">
      <x:c r="A718" s="13" t="n">
        <x:v>699</x:v>
      </x:c>
      <x:c r="B718" s="14">
        <x:f>IF($B$12&lt;699,"",$B$13+(699-1)*($B$14-$B$13)/($B$12-1))</x:f>
      </x:c>
      <x:c r="C718" s="14">
        <x:f>IF(B718="","",$F$8*COS(B718) + $B$7*COS($F$6*B718))</x:f>
      </x:c>
      <x:c r="D718" s="14">
        <x:f>IF(B718="","",$F$8*SIN(B718) - $B$7*SIN($F$6*B718))</x:f>
      </x:c>
      <x:c r="E718" s="14">
        <x:f>IF(B718="","", C718 + $F$12*$F$9*(-H718)/IF(SQRT(G718^2+H718^2)=0,1,SQRT(G718^2+H718^2)))</x:f>
      </x:c>
      <x:c r="F718" s="14">
        <x:f>IF(B718="","", D718 + $F$12*$F$9*(G718)/IF(SQRT(G718^2+H718^2)=0,1,SQRT(G718^2+H718^2)))</x:f>
      </x:c>
      <x:c r="G718" s="14">
        <x:f>IF(B718="","", -$F$8*SIN(B718) - $B$7*$F$6*SIN($F$6*B718))</x:f>
      </x:c>
      <x:c r="H718" s="14">
        <x:f>IF(B718="","", $F$8*COS(B718) - $B$7*$F$6*COS($F$6*B718))</x:f>
      </x:c>
    </x:row>
    <x:row r="719">
      <x:c r="A719" s="13" t="n">
        <x:v>700</x:v>
      </x:c>
      <x:c r="B719" s="14">
        <x:f>IF($B$12&lt;700,"",$B$13+(700-1)*($B$14-$B$13)/($B$12-1))</x:f>
      </x:c>
      <x:c r="C719" s="14">
        <x:f>IF(B719="","",$F$8*COS(B719) + $B$7*COS($F$6*B719))</x:f>
      </x:c>
      <x:c r="D719" s="14">
        <x:f>IF(B719="","",$F$8*SIN(B719) - $B$7*SIN($F$6*B719))</x:f>
      </x:c>
      <x:c r="E719" s="14">
        <x:f>IF(B719="","", C719 + $F$12*$F$9*(-H719)/IF(SQRT(G719^2+H719^2)=0,1,SQRT(G719^2+H719^2)))</x:f>
      </x:c>
      <x:c r="F719" s="14">
        <x:f>IF(B719="","", D719 + $F$12*$F$9*(G719)/IF(SQRT(G719^2+H719^2)=0,1,SQRT(G719^2+H719^2)))</x:f>
      </x:c>
      <x:c r="G719" s="14">
        <x:f>IF(B719="","", -$F$8*SIN(B719) - $B$7*$F$6*SIN($F$6*B719))</x:f>
      </x:c>
      <x:c r="H719" s="14">
        <x:f>IF(B719="","", $F$8*COS(B719) - $B$7*$F$6*COS($F$6*B719))</x:f>
      </x:c>
    </x:row>
    <x:row r="720">
      <x:c r="A720" s="13" t="n">
        <x:v>701</x:v>
      </x:c>
      <x:c r="B720" s="14">
        <x:f>IF($B$12&lt;701,"",$B$13+(701-1)*($B$14-$B$13)/($B$12-1))</x:f>
      </x:c>
      <x:c r="C720" s="14">
        <x:f>IF(B720="","",$F$8*COS(B720) + $B$7*COS($F$6*B720))</x:f>
      </x:c>
      <x:c r="D720" s="14">
        <x:f>IF(B720="","",$F$8*SIN(B720) - $B$7*SIN($F$6*B720))</x:f>
      </x:c>
      <x:c r="E720" s="14">
        <x:f>IF(B720="","", C720 + $F$12*$F$9*(-H720)/IF(SQRT(G720^2+H720^2)=0,1,SQRT(G720^2+H720^2)))</x:f>
      </x:c>
      <x:c r="F720" s="14">
        <x:f>IF(B720="","", D720 + $F$12*$F$9*(G720)/IF(SQRT(G720^2+H720^2)=0,1,SQRT(G720^2+H720^2)))</x:f>
      </x:c>
      <x:c r="G720" s="14">
        <x:f>IF(B720="","", -$F$8*SIN(B720) - $B$7*$F$6*SIN($F$6*B720))</x:f>
      </x:c>
      <x:c r="H720" s="14">
        <x:f>IF(B720="","", $F$8*COS(B720) - $B$7*$F$6*COS($F$6*B720))</x:f>
      </x:c>
    </x:row>
    <x:row r="721">
      <x:c r="A721" s="13" t="n">
        <x:v>702</x:v>
      </x:c>
      <x:c r="B721" s="14">
        <x:f>IF($B$12&lt;702,"",$B$13+(702-1)*($B$14-$B$13)/($B$12-1))</x:f>
      </x:c>
      <x:c r="C721" s="14">
        <x:f>IF(B721="","",$F$8*COS(B721) + $B$7*COS($F$6*B721))</x:f>
      </x:c>
      <x:c r="D721" s="14">
        <x:f>IF(B721="","",$F$8*SIN(B721) - $B$7*SIN($F$6*B721))</x:f>
      </x:c>
      <x:c r="E721" s="14">
        <x:f>IF(B721="","", C721 + $F$12*$F$9*(-H721)/IF(SQRT(G721^2+H721^2)=0,1,SQRT(G721^2+H721^2)))</x:f>
      </x:c>
      <x:c r="F721" s="14">
        <x:f>IF(B721="","", D721 + $F$12*$F$9*(G721)/IF(SQRT(G721^2+H721^2)=0,1,SQRT(G721^2+H721^2)))</x:f>
      </x:c>
      <x:c r="G721" s="14">
        <x:f>IF(B721="","", -$F$8*SIN(B721) - $B$7*$F$6*SIN($F$6*B721))</x:f>
      </x:c>
      <x:c r="H721" s="14">
        <x:f>IF(B721="","", $F$8*COS(B721) - $B$7*$F$6*COS($F$6*B721))</x:f>
      </x:c>
    </x:row>
    <x:row r="722">
      <x:c r="A722" s="13" t="n">
        <x:v>703</x:v>
      </x:c>
      <x:c r="B722" s="14">
        <x:f>IF($B$12&lt;703,"",$B$13+(703-1)*($B$14-$B$13)/($B$12-1))</x:f>
      </x:c>
      <x:c r="C722" s="14">
        <x:f>IF(B722="","",$F$8*COS(B722) + $B$7*COS($F$6*B722))</x:f>
      </x:c>
      <x:c r="D722" s="14">
        <x:f>IF(B722="","",$F$8*SIN(B722) - $B$7*SIN($F$6*B722))</x:f>
      </x:c>
      <x:c r="E722" s="14">
        <x:f>IF(B722="","", C722 + $F$12*$F$9*(-H722)/IF(SQRT(G722^2+H722^2)=0,1,SQRT(G722^2+H722^2)))</x:f>
      </x:c>
      <x:c r="F722" s="14">
        <x:f>IF(B722="","", D722 + $F$12*$F$9*(G722)/IF(SQRT(G722^2+H722^2)=0,1,SQRT(G722^2+H722^2)))</x:f>
      </x:c>
      <x:c r="G722" s="14">
        <x:f>IF(B722="","", -$F$8*SIN(B722) - $B$7*$F$6*SIN($F$6*B722))</x:f>
      </x:c>
      <x:c r="H722" s="14">
        <x:f>IF(B722="","", $F$8*COS(B722) - $B$7*$F$6*COS($F$6*B722))</x:f>
      </x:c>
    </x:row>
    <x:row r="723">
      <x:c r="A723" s="13" t="n">
        <x:v>704</x:v>
      </x:c>
      <x:c r="B723" s="14">
        <x:f>IF($B$12&lt;704,"",$B$13+(704-1)*($B$14-$B$13)/($B$12-1))</x:f>
      </x:c>
      <x:c r="C723" s="14">
        <x:f>IF(B723="","",$F$8*COS(B723) + $B$7*COS($F$6*B723))</x:f>
      </x:c>
      <x:c r="D723" s="14">
        <x:f>IF(B723="","",$F$8*SIN(B723) - $B$7*SIN($F$6*B723))</x:f>
      </x:c>
      <x:c r="E723" s="14">
        <x:f>IF(B723="","", C723 + $F$12*$F$9*(-H723)/IF(SQRT(G723^2+H723^2)=0,1,SQRT(G723^2+H723^2)))</x:f>
      </x:c>
      <x:c r="F723" s="14">
        <x:f>IF(B723="","", D723 + $F$12*$F$9*(G723)/IF(SQRT(G723^2+H723^2)=0,1,SQRT(G723^2+H723^2)))</x:f>
      </x:c>
      <x:c r="G723" s="14">
        <x:f>IF(B723="","", -$F$8*SIN(B723) - $B$7*$F$6*SIN($F$6*B723))</x:f>
      </x:c>
      <x:c r="H723" s="14">
        <x:f>IF(B723="","", $F$8*COS(B723) - $B$7*$F$6*COS($F$6*B723))</x:f>
      </x:c>
    </x:row>
    <x:row r="724">
      <x:c r="A724" s="13" t="n">
        <x:v>705</x:v>
      </x:c>
      <x:c r="B724" s="14">
        <x:f>IF($B$12&lt;705,"",$B$13+(705-1)*($B$14-$B$13)/($B$12-1))</x:f>
      </x:c>
      <x:c r="C724" s="14">
        <x:f>IF(B724="","",$F$8*COS(B724) + $B$7*COS($F$6*B724))</x:f>
      </x:c>
      <x:c r="D724" s="14">
        <x:f>IF(B724="","",$F$8*SIN(B724) - $B$7*SIN($F$6*B724))</x:f>
      </x:c>
      <x:c r="E724" s="14">
        <x:f>IF(B724="","", C724 + $F$12*$F$9*(-H724)/IF(SQRT(G724^2+H724^2)=0,1,SQRT(G724^2+H724^2)))</x:f>
      </x:c>
      <x:c r="F724" s="14">
        <x:f>IF(B724="","", D724 + $F$12*$F$9*(G724)/IF(SQRT(G724^2+H724^2)=0,1,SQRT(G724^2+H724^2)))</x:f>
      </x:c>
      <x:c r="G724" s="14">
        <x:f>IF(B724="","", -$F$8*SIN(B724) - $B$7*$F$6*SIN($F$6*B724))</x:f>
      </x:c>
      <x:c r="H724" s="14">
        <x:f>IF(B724="","", $F$8*COS(B724) - $B$7*$F$6*COS($F$6*B724))</x:f>
      </x:c>
    </x:row>
    <x:row r="725">
      <x:c r="A725" s="13" t="n">
        <x:v>706</x:v>
      </x:c>
      <x:c r="B725" s="14">
        <x:f>IF($B$12&lt;706,"",$B$13+(706-1)*($B$14-$B$13)/($B$12-1))</x:f>
      </x:c>
      <x:c r="C725" s="14">
        <x:f>IF(B725="","",$F$8*COS(B725) + $B$7*COS($F$6*B725))</x:f>
      </x:c>
      <x:c r="D725" s="14">
        <x:f>IF(B725="","",$F$8*SIN(B725) - $B$7*SIN($F$6*B725))</x:f>
      </x:c>
      <x:c r="E725" s="14">
        <x:f>IF(B725="","", C725 + $F$12*$F$9*(-H725)/IF(SQRT(G725^2+H725^2)=0,1,SQRT(G725^2+H725^2)))</x:f>
      </x:c>
      <x:c r="F725" s="14">
        <x:f>IF(B725="","", D725 + $F$12*$F$9*(G725)/IF(SQRT(G725^2+H725^2)=0,1,SQRT(G725^2+H725^2)))</x:f>
      </x:c>
      <x:c r="G725" s="14">
        <x:f>IF(B725="","", -$F$8*SIN(B725) - $B$7*$F$6*SIN($F$6*B725))</x:f>
      </x:c>
      <x:c r="H725" s="14">
        <x:f>IF(B725="","", $F$8*COS(B725) - $B$7*$F$6*COS($F$6*B725))</x:f>
      </x:c>
    </x:row>
    <x:row r="726">
      <x:c r="A726" s="13" t="n">
        <x:v>707</x:v>
      </x:c>
      <x:c r="B726" s="14">
        <x:f>IF($B$12&lt;707,"",$B$13+(707-1)*($B$14-$B$13)/($B$12-1))</x:f>
      </x:c>
      <x:c r="C726" s="14">
        <x:f>IF(B726="","",$F$8*COS(B726) + $B$7*COS($F$6*B726))</x:f>
      </x:c>
      <x:c r="D726" s="14">
        <x:f>IF(B726="","",$F$8*SIN(B726) - $B$7*SIN($F$6*B726))</x:f>
      </x:c>
      <x:c r="E726" s="14">
        <x:f>IF(B726="","", C726 + $F$12*$F$9*(-H726)/IF(SQRT(G726^2+H726^2)=0,1,SQRT(G726^2+H726^2)))</x:f>
      </x:c>
      <x:c r="F726" s="14">
        <x:f>IF(B726="","", D726 + $F$12*$F$9*(G726)/IF(SQRT(G726^2+H726^2)=0,1,SQRT(G726^2+H726^2)))</x:f>
      </x:c>
      <x:c r="G726" s="14">
        <x:f>IF(B726="","", -$F$8*SIN(B726) - $B$7*$F$6*SIN($F$6*B726))</x:f>
      </x:c>
      <x:c r="H726" s="14">
        <x:f>IF(B726="","", $F$8*COS(B726) - $B$7*$F$6*COS($F$6*B726))</x:f>
      </x:c>
    </x:row>
    <x:row r="727">
      <x:c r="A727" s="13" t="n">
        <x:v>708</x:v>
      </x:c>
      <x:c r="B727" s="14">
        <x:f>IF($B$12&lt;708,"",$B$13+(708-1)*($B$14-$B$13)/($B$12-1))</x:f>
      </x:c>
      <x:c r="C727" s="14">
        <x:f>IF(B727="","",$F$8*COS(B727) + $B$7*COS($F$6*B727))</x:f>
      </x:c>
      <x:c r="D727" s="14">
        <x:f>IF(B727="","",$F$8*SIN(B727) - $B$7*SIN($F$6*B727))</x:f>
      </x:c>
      <x:c r="E727" s="14">
        <x:f>IF(B727="","", C727 + $F$12*$F$9*(-H727)/IF(SQRT(G727^2+H727^2)=0,1,SQRT(G727^2+H727^2)))</x:f>
      </x:c>
      <x:c r="F727" s="14">
        <x:f>IF(B727="","", D727 + $F$12*$F$9*(G727)/IF(SQRT(G727^2+H727^2)=0,1,SQRT(G727^2+H727^2)))</x:f>
      </x:c>
      <x:c r="G727" s="14">
        <x:f>IF(B727="","", -$F$8*SIN(B727) - $B$7*$F$6*SIN($F$6*B727))</x:f>
      </x:c>
      <x:c r="H727" s="14">
        <x:f>IF(B727="","", $F$8*COS(B727) - $B$7*$F$6*COS($F$6*B727))</x:f>
      </x:c>
    </x:row>
    <x:row r="728">
      <x:c r="A728" s="13" t="n">
        <x:v>709</x:v>
      </x:c>
      <x:c r="B728" s="14">
        <x:f>IF($B$12&lt;709,"",$B$13+(709-1)*($B$14-$B$13)/($B$12-1))</x:f>
      </x:c>
      <x:c r="C728" s="14">
        <x:f>IF(B728="","",$F$8*COS(B728) + $B$7*COS($F$6*B728))</x:f>
      </x:c>
      <x:c r="D728" s="14">
        <x:f>IF(B728="","",$F$8*SIN(B728) - $B$7*SIN($F$6*B728))</x:f>
      </x:c>
      <x:c r="E728" s="14">
        <x:f>IF(B728="","", C728 + $F$12*$F$9*(-H728)/IF(SQRT(G728^2+H728^2)=0,1,SQRT(G728^2+H728^2)))</x:f>
      </x:c>
      <x:c r="F728" s="14">
        <x:f>IF(B728="","", D728 + $F$12*$F$9*(G728)/IF(SQRT(G728^2+H728^2)=0,1,SQRT(G728^2+H728^2)))</x:f>
      </x:c>
      <x:c r="G728" s="14">
        <x:f>IF(B728="","", -$F$8*SIN(B728) - $B$7*$F$6*SIN($F$6*B728))</x:f>
      </x:c>
      <x:c r="H728" s="14">
        <x:f>IF(B728="","", $F$8*COS(B728) - $B$7*$F$6*COS($F$6*B728))</x:f>
      </x:c>
    </x:row>
    <x:row r="729">
      <x:c r="A729" s="13" t="n">
        <x:v>710</x:v>
      </x:c>
      <x:c r="B729" s="14">
        <x:f>IF($B$12&lt;710,"",$B$13+(710-1)*($B$14-$B$13)/($B$12-1))</x:f>
      </x:c>
      <x:c r="C729" s="14">
        <x:f>IF(B729="","",$F$8*COS(B729) + $B$7*COS($F$6*B729))</x:f>
      </x:c>
      <x:c r="D729" s="14">
        <x:f>IF(B729="","",$F$8*SIN(B729) - $B$7*SIN($F$6*B729))</x:f>
      </x:c>
      <x:c r="E729" s="14">
        <x:f>IF(B729="","", C729 + $F$12*$F$9*(-H729)/IF(SQRT(G729^2+H729^2)=0,1,SQRT(G729^2+H729^2)))</x:f>
      </x:c>
      <x:c r="F729" s="14">
        <x:f>IF(B729="","", D729 + $F$12*$F$9*(G729)/IF(SQRT(G729^2+H729^2)=0,1,SQRT(G729^2+H729^2)))</x:f>
      </x:c>
      <x:c r="G729" s="14">
        <x:f>IF(B729="","", -$F$8*SIN(B729) - $B$7*$F$6*SIN($F$6*B729))</x:f>
      </x:c>
      <x:c r="H729" s="14">
        <x:f>IF(B729="","", $F$8*COS(B729) - $B$7*$F$6*COS($F$6*B729))</x:f>
      </x:c>
    </x:row>
    <x:row r="730">
      <x:c r="A730" s="13" t="n">
        <x:v>711</x:v>
      </x:c>
      <x:c r="B730" s="14">
        <x:f>IF($B$12&lt;711,"",$B$13+(711-1)*($B$14-$B$13)/($B$12-1))</x:f>
      </x:c>
      <x:c r="C730" s="14">
        <x:f>IF(B730="","",$F$8*COS(B730) + $B$7*COS($F$6*B730))</x:f>
      </x:c>
      <x:c r="D730" s="14">
        <x:f>IF(B730="","",$F$8*SIN(B730) - $B$7*SIN($F$6*B730))</x:f>
      </x:c>
      <x:c r="E730" s="14">
        <x:f>IF(B730="","", C730 + $F$12*$F$9*(-H730)/IF(SQRT(G730^2+H730^2)=0,1,SQRT(G730^2+H730^2)))</x:f>
      </x:c>
      <x:c r="F730" s="14">
        <x:f>IF(B730="","", D730 + $F$12*$F$9*(G730)/IF(SQRT(G730^2+H730^2)=0,1,SQRT(G730^2+H730^2)))</x:f>
      </x:c>
      <x:c r="G730" s="14">
        <x:f>IF(B730="","", -$F$8*SIN(B730) - $B$7*$F$6*SIN($F$6*B730))</x:f>
      </x:c>
      <x:c r="H730" s="14">
        <x:f>IF(B730="","", $F$8*COS(B730) - $B$7*$F$6*COS($F$6*B730))</x:f>
      </x:c>
    </x:row>
    <x:row r="731">
      <x:c r="A731" s="13" t="n">
        <x:v>712</x:v>
      </x:c>
      <x:c r="B731" s="14">
        <x:f>IF($B$12&lt;712,"",$B$13+(712-1)*($B$14-$B$13)/($B$12-1))</x:f>
      </x:c>
      <x:c r="C731" s="14">
        <x:f>IF(B731="","",$F$8*COS(B731) + $B$7*COS($F$6*B731))</x:f>
      </x:c>
      <x:c r="D731" s="14">
        <x:f>IF(B731="","",$F$8*SIN(B731) - $B$7*SIN($F$6*B731))</x:f>
      </x:c>
      <x:c r="E731" s="14">
        <x:f>IF(B731="","", C731 + $F$12*$F$9*(-H731)/IF(SQRT(G731^2+H731^2)=0,1,SQRT(G731^2+H731^2)))</x:f>
      </x:c>
      <x:c r="F731" s="14">
        <x:f>IF(B731="","", D731 + $F$12*$F$9*(G731)/IF(SQRT(G731^2+H731^2)=0,1,SQRT(G731^2+H731^2)))</x:f>
      </x:c>
      <x:c r="G731" s="14">
        <x:f>IF(B731="","", -$F$8*SIN(B731) - $B$7*$F$6*SIN($F$6*B731))</x:f>
      </x:c>
      <x:c r="H731" s="14">
        <x:f>IF(B731="","", $F$8*COS(B731) - $B$7*$F$6*COS($F$6*B731))</x:f>
      </x:c>
    </x:row>
    <x:row r="732">
      <x:c r="A732" s="13" t="n">
        <x:v>713</x:v>
      </x:c>
      <x:c r="B732" s="14">
        <x:f>IF($B$12&lt;713,"",$B$13+(713-1)*($B$14-$B$13)/($B$12-1))</x:f>
      </x:c>
      <x:c r="C732" s="14">
        <x:f>IF(B732="","",$F$8*COS(B732) + $B$7*COS($F$6*B732))</x:f>
      </x:c>
      <x:c r="D732" s="14">
        <x:f>IF(B732="","",$F$8*SIN(B732) - $B$7*SIN($F$6*B732))</x:f>
      </x:c>
      <x:c r="E732" s="14">
        <x:f>IF(B732="","", C732 + $F$12*$F$9*(-H732)/IF(SQRT(G732^2+H732^2)=0,1,SQRT(G732^2+H732^2)))</x:f>
      </x:c>
      <x:c r="F732" s="14">
        <x:f>IF(B732="","", D732 + $F$12*$F$9*(G732)/IF(SQRT(G732^2+H732^2)=0,1,SQRT(G732^2+H732^2)))</x:f>
      </x:c>
      <x:c r="G732" s="14">
        <x:f>IF(B732="","", -$F$8*SIN(B732) - $B$7*$F$6*SIN($F$6*B732))</x:f>
      </x:c>
      <x:c r="H732" s="14">
        <x:f>IF(B732="","", $F$8*COS(B732) - $B$7*$F$6*COS($F$6*B732))</x:f>
      </x:c>
    </x:row>
    <x:row r="733">
      <x:c r="A733" s="13" t="n">
        <x:v>714</x:v>
      </x:c>
      <x:c r="B733" s="14">
        <x:f>IF($B$12&lt;714,"",$B$13+(714-1)*($B$14-$B$13)/($B$12-1))</x:f>
      </x:c>
      <x:c r="C733" s="14">
        <x:f>IF(B733="","",$F$8*COS(B733) + $B$7*COS($F$6*B733))</x:f>
      </x:c>
      <x:c r="D733" s="14">
        <x:f>IF(B733="","",$F$8*SIN(B733) - $B$7*SIN($F$6*B733))</x:f>
      </x:c>
      <x:c r="E733" s="14">
        <x:f>IF(B733="","", C733 + $F$12*$F$9*(-H733)/IF(SQRT(G733^2+H733^2)=0,1,SQRT(G733^2+H733^2)))</x:f>
      </x:c>
      <x:c r="F733" s="14">
        <x:f>IF(B733="","", D733 + $F$12*$F$9*(G733)/IF(SQRT(G733^2+H733^2)=0,1,SQRT(G733^2+H733^2)))</x:f>
      </x:c>
      <x:c r="G733" s="14">
        <x:f>IF(B733="","", -$F$8*SIN(B733) - $B$7*$F$6*SIN($F$6*B733))</x:f>
      </x:c>
      <x:c r="H733" s="14">
        <x:f>IF(B733="","", $F$8*COS(B733) - $B$7*$F$6*COS($F$6*B733))</x:f>
      </x:c>
    </x:row>
    <x:row r="734">
      <x:c r="A734" s="13" t="n">
        <x:v>715</x:v>
      </x:c>
      <x:c r="B734" s="14">
        <x:f>IF($B$12&lt;715,"",$B$13+(715-1)*($B$14-$B$13)/($B$12-1))</x:f>
      </x:c>
      <x:c r="C734" s="14">
        <x:f>IF(B734="","",$F$8*COS(B734) + $B$7*COS($F$6*B734))</x:f>
      </x:c>
      <x:c r="D734" s="14">
        <x:f>IF(B734="","",$F$8*SIN(B734) - $B$7*SIN($F$6*B734))</x:f>
      </x:c>
      <x:c r="E734" s="14">
        <x:f>IF(B734="","", C734 + $F$12*$F$9*(-H734)/IF(SQRT(G734^2+H734^2)=0,1,SQRT(G734^2+H734^2)))</x:f>
      </x:c>
      <x:c r="F734" s="14">
        <x:f>IF(B734="","", D734 + $F$12*$F$9*(G734)/IF(SQRT(G734^2+H734^2)=0,1,SQRT(G734^2+H734^2)))</x:f>
      </x:c>
      <x:c r="G734" s="14">
        <x:f>IF(B734="","", -$F$8*SIN(B734) - $B$7*$F$6*SIN($F$6*B734))</x:f>
      </x:c>
      <x:c r="H734" s="14">
        <x:f>IF(B734="","", $F$8*COS(B734) - $B$7*$F$6*COS($F$6*B734))</x:f>
      </x:c>
    </x:row>
    <x:row r="735">
      <x:c r="A735" s="13" t="n">
        <x:v>716</x:v>
      </x:c>
      <x:c r="B735" s="14">
        <x:f>IF($B$12&lt;716,"",$B$13+(716-1)*($B$14-$B$13)/($B$12-1))</x:f>
      </x:c>
      <x:c r="C735" s="14">
        <x:f>IF(B735="","",$F$8*COS(B735) + $B$7*COS($F$6*B735))</x:f>
      </x:c>
      <x:c r="D735" s="14">
        <x:f>IF(B735="","",$F$8*SIN(B735) - $B$7*SIN($F$6*B735))</x:f>
      </x:c>
      <x:c r="E735" s="14">
        <x:f>IF(B735="","", C735 + $F$12*$F$9*(-H735)/IF(SQRT(G735^2+H735^2)=0,1,SQRT(G735^2+H735^2)))</x:f>
      </x:c>
      <x:c r="F735" s="14">
        <x:f>IF(B735="","", D735 + $F$12*$F$9*(G735)/IF(SQRT(G735^2+H735^2)=0,1,SQRT(G735^2+H735^2)))</x:f>
      </x:c>
      <x:c r="G735" s="14">
        <x:f>IF(B735="","", -$F$8*SIN(B735) - $B$7*$F$6*SIN($F$6*B735))</x:f>
      </x:c>
      <x:c r="H735" s="14">
        <x:f>IF(B735="","", $F$8*COS(B735) - $B$7*$F$6*COS($F$6*B735))</x:f>
      </x:c>
    </x:row>
    <x:row r="736">
      <x:c r="A736" s="13" t="n">
        <x:v>717</x:v>
      </x:c>
      <x:c r="B736" s="14">
        <x:f>IF($B$12&lt;717,"",$B$13+(717-1)*($B$14-$B$13)/($B$12-1))</x:f>
      </x:c>
      <x:c r="C736" s="14">
        <x:f>IF(B736="","",$F$8*COS(B736) + $B$7*COS($F$6*B736))</x:f>
      </x:c>
      <x:c r="D736" s="14">
        <x:f>IF(B736="","",$F$8*SIN(B736) - $B$7*SIN($F$6*B736))</x:f>
      </x:c>
      <x:c r="E736" s="14">
        <x:f>IF(B736="","", C736 + $F$12*$F$9*(-H736)/IF(SQRT(G736^2+H736^2)=0,1,SQRT(G736^2+H736^2)))</x:f>
      </x:c>
      <x:c r="F736" s="14">
        <x:f>IF(B736="","", D736 + $F$12*$F$9*(G736)/IF(SQRT(G736^2+H736^2)=0,1,SQRT(G736^2+H736^2)))</x:f>
      </x:c>
      <x:c r="G736" s="14">
        <x:f>IF(B736="","", -$F$8*SIN(B736) - $B$7*$F$6*SIN($F$6*B736))</x:f>
      </x:c>
      <x:c r="H736" s="14">
        <x:f>IF(B736="","", $F$8*COS(B736) - $B$7*$F$6*COS($F$6*B736))</x:f>
      </x:c>
    </x:row>
    <x:row r="737">
      <x:c r="A737" s="13" t="n">
        <x:v>718</x:v>
      </x:c>
      <x:c r="B737" s="14">
        <x:f>IF($B$12&lt;718,"",$B$13+(718-1)*($B$14-$B$13)/($B$12-1))</x:f>
      </x:c>
      <x:c r="C737" s="14">
        <x:f>IF(B737="","",$F$8*COS(B737) + $B$7*COS($F$6*B737))</x:f>
      </x:c>
      <x:c r="D737" s="14">
        <x:f>IF(B737="","",$F$8*SIN(B737) - $B$7*SIN($F$6*B737))</x:f>
      </x:c>
      <x:c r="E737" s="14">
        <x:f>IF(B737="","", C737 + $F$12*$F$9*(-H737)/IF(SQRT(G737^2+H737^2)=0,1,SQRT(G737^2+H737^2)))</x:f>
      </x:c>
      <x:c r="F737" s="14">
        <x:f>IF(B737="","", D737 + $F$12*$F$9*(G737)/IF(SQRT(G737^2+H737^2)=0,1,SQRT(G737^2+H737^2)))</x:f>
      </x:c>
      <x:c r="G737" s="14">
        <x:f>IF(B737="","", -$F$8*SIN(B737) - $B$7*$F$6*SIN($F$6*B737))</x:f>
      </x:c>
      <x:c r="H737" s="14">
        <x:f>IF(B737="","", $F$8*COS(B737) - $B$7*$F$6*COS($F$6*B737))</x:f>
      </x:c>
    </x:row>
    <x:row r="738">
      <x:c r="A738" s="13" t="n">
        <x:v>719</x:v>
      </x:c>
      <x:c r="B738" s="14">
        <x:f>IF($B$12&lt;719,"",$B$13+(719-1)*($B$14-$B$13)/($B$12-1))</x:f>
      </x:c>
      <x:c r="C738" s="14">
        <x:f>IF(B738="","",$F$8*COS(B738) + $B$7*COS($F$6*B738))</x:f>
      </x:c>
      <x:c r="D738" s="14">
        <x:f>IF(B738="","",$F$8*SIN(B738) - $B$7*SIN($F$6*B738))</x:f>
      </x:c>
      <x:c r="E738" s="14">
        <x:f>IF(B738="","", C738 + $F$12*$F$9*(-H738)/IF(SQRT(G738^2+H738^2)=0,1,SQRT(G738^2+H738^2)))</x:f>
      </x:c>
      <x:c r="F738" s="14">
        <x:f>IF(B738="","", D738 + $F$12*$F$9*(G738)/IF(SQRT(G738^2+H738^2)=0,1,SQRT(G738^2+H738^2)))</x:f>
      </x:c>
      <x:c r="G738" s="14">
        <x:f>IF(B738="","", -$F$8*SIN(B738) - $B$7*$F$6*SIN($F$6*B738))</x:f>
      </x:c>
      <x:c r="H738" s="14">
        <x:f>IF(B738="","", $F$8*COS(B738) - $B$7*$F$6*COS($F$6*B738))</x:f>
      </x:c>
    </x:row>
    <x:row r="739">
      <x:c r="A739" s="13" t="n">
        <x:v>720</x:v>
      </x:c>
      <x:c r="B739" s="14">
        <x:f>IF($B$12&lt;720,"",$B$13+(720-1)*($B$14-$B$13)/($B$12-1))</x:f>
      </x:c>
      <x:c r="C739" s="14">
        <x:f>IF(B739="","",$F$8*COS(B739) + $B$7*COS($F$6*B739))</x:f>
      </x:c>
      <x:c r="D739" s="14">
        <x:f>IF(B739="","",$F$8*SIN(B739) - $B$7*SIN($F$6*B739))</x:f>
      </x:c>
      <x:c r="E739" s="14">
        <x:f>IF(B739="","", C739 + $F$12*$F$9*(-H739)/IF(SQRT(G739^2+H739^2)=0,1,SQRT(G739^2+H739^2)))</x:f>
      </x:c>
      <x:c r="F739" s="14">
        <x:f>IF(B739="","", D739 + $F$12*$F$9*(G739)/IF(SQRT(G739^2+H739^2)=0,1,SQRT(G739^2+H739^2)))</x:f>
      </x:c>
      <x:c r="G739" s="14">
        <x:f>IF(B739="","", -$F$8*SIN(B739) - $B$7*$F$6*SIN($F$6*B739))</x:f>
      </x:c>
      <x:c r="H739" s="14">
        <x:f>IF(B739="","", $F$8*COS(B739) - $B$7*$F$6*COS($F$6*B739))</x:f>
      </x:c>
    </x:row>
    <x:row r="740">
      <x:c r="A740" s="13" t="n">
        <x:v>721</x:v>
      </x:c>
      <x:c r="B740" s="14">
        <x:f>IF($B$12&lt;721,"",$B$13+(721-1)*($B$14-$B$13)/($B$12-1))</x:f>
      </x:c>
      <x:c r="C740" s="14">
        <x:f>IF(B740="","",$F$8*COS(B740) + $B$7*COS($F$6*B740))</x:f>
      </x:c>
      <x:c r="D740" s="14">
        <x:f>IF(B740="","",$F$8*SIN(B740) - $B$7*SIN($F$6*B740))</x:f>
      </x:c>
      <x:c r="E740" s="14">
        <x:f>IF(B740="","", C740 + $F$12*$F$9*(-H740)/IF(SQRT(G740^2+H740^2)=0,1,SQRT(G740^2+H740^2)))</x:f>
      </x:c>
      <x:c r="F740" s="14">
        <x:f>IF(B740="","", D740 + $F$12*$F$9*(G740)/IF(SQRT(G740^2+H740^2)=0,1,SQRT(G740^2+H740^2)))</x:f>
      </x:c>
      <x:c r="G740" s="14">
        <x:f>IF(B740="","", -$F$8*SIN(B740) - $B$7*$F$6*SIN($F$6*B740))</x:f>
      </x:c>
      <x:c r="H740" s="14">
        <x:f>IF(B740="","", $F$8*COS(B740) - $B$7*$F$6*COS($F$6*B740))</x:f>
      </x:c>
    </x:row>
    <x:row r="741">
      <x:c r="A741" s="13" t="n">
        <x:v>722</x:v>
      </x:c>
      <x:c r="B741" s="14">
        <x:f>IF($B$12&lt;722,"",$B$13+(722-1)*($B$14-$B$13)/($B$12-1))</x:f>
      </x:c>
      <x:c r="C741" s="14">
        <x:f>IF(B741="","",$F$8*COS(B741) + $B$7*COS($F$6*B741))</x:f>
      </x:c>
      <x:c r="D741" s="14">
        <x:f>IF(B741="","",$F$8*SIN(B741) - $B$7*SIN($F$6*B741))</x:f>
      </x:c>
      <x:c r="E741" s="14">
        <x:f>IF(B741="","", C741 + $F$12*$F$9*(-H741)/IF(SQRT(G741^2+H741^2)=0,1,SQRT(G741^2+H741^2)))</x:f>
      </x:c>
      <x:c r="F741" s="14">
        <x:f>IF(B741="","", D741 + $F$12*$F$9*(G741)/IF(SQRT(G741^2+H741^2)=0,1,SQRT(G741^2+H741^2)))</x:f>
      </x:c>
      <x:c r="G741" s="14">
        <x:f>IF(B741="","", -$F$8*SIN(B741) - $B$7*$F$6*SIN($F$6*B741))</x:f>
      </x:c>
      <x:c r="H741" s="14">
        <x:f>IF(B741="","", $F$8*COS(B741) - $B$7*$F$6*COS($F$6*B741))</x:f>
      </x:c>
    </x:row>
    <x:row r="742">
      <x:c r="A742" s="13" t="n">
        <x:v>723</x:v>
      </x:c>
      <x:c r="B742" s="14">
        <x:f>IF($B$12&lt;723,"",$B$13+(723-1)*($B$14-$B$13)/($B$12-1))</x:f>
      </x:c>
      <x:c r="C742" s="14">
        <x:f>IF(B742="","",$F$8*COS(B742) + $B$7*COS($F$6*B742))</x:f>
      </x:c>
      <x:c r="D742" s="14">
        <x:f>IF(B742="","",$F$8*SIN(B742) - $B$7*SIN($F$6*B742))</x:f>
      </x:c>
      <x:c r="E742" s="14">
        <x:f>IF(B742="","", C742 + $F$12*$F$9*(-H742)/IF(SQRT(G742^2+H742^2)=0,1,SQRT(G742^2+H742^2)))</x:f>
      </x:c>
      <x:c r="F742" s="14">
        <x:f>IF(B742="","", D742 + $F$12*$F$9*(G742)/IF(SQRT(G742^2+H742^2)=0,1,SQRT(G742^2+H742^2)))</x:f>
      </x:c>
      <x:c r="G742" s="14">
        <x:f>IF(B742="","", -$F$8*SIN(B742) - $B$7*$F$6*SIN($F$6*B742))</x:f>
      </x:c>
      <x:c r="H742" s="14">
        <x:f>IF(B742="","", $F$8*COS(B742) - $B$7*$F$6*COS($F$6*B742))</x:f>
      </x:c>
    </x:row>
    <x:row r="743">
      <x:c r="A743" s="13" t="n">
        <x:v>724</x:v>
      </x:c>
      <x:c r="B743" s="14">
        <x:f>IF($B$12&lt;724,"",$B$13+(724-1)*($B$14-$B$13)/($B$12-1))</x:f>
      </x:c>
      <x:c r="C743" s="14">
        <x:f>IF(B743="","",$F$8*COS(B743) + $B$7*COS($F$6*B743))</x:f>
      </x:c>
      <x:c r="D743" s="14">
        <x:f>IF(B743="","",$F$8*SIN(B743) - $B$7*SIN($F$6*B743))</x:f>
      </x:c>
      <x:c r="E743" s="14">
        <x:f>IF(B743="","", C743 + $F$12*$F$9*(-H743)/IF(SQRT(G743^2+H743^2)=0,1,SQRT(G743^2+H743^2)))</x:f>
      </x:c>
      <x:c r="F743" s="14">
        <x:f>IF(B743="","", D743 + $F$12*$F$9*(G743)/IF(SQRT(G743^2+H743^2)=0,1,SQRT(G743^2+H743^2)))</x:f>
      </x:c>
      <x:c r="G743" s="14">
        <x:f>IF(B743="","", -$F$8*SIN(B743) - $B$7*$F$6*SIN($F$6*B743))</x:f>
      </x:c>
      <x:c r="H743" s="14">
        <x:f>IF(B743="","", $F$8*COS(B743) - $B$7*$F$6*COS($F$6*B743))</x:f>
      </x:c>
    </x:row>
    <x:row r="744">
      <x:c r="A744" s="13" t="n">
        <x:v>725</x:v>
      </x:c>
      <x:c r="B744" s="14">
        <x:f>IF($B$12&lt;725,"",$B$13+(725-1)*($B$14-$B$13)/($B$12-1))</x:f>
      </x:c>
      <x:c r="C744" s="14">
        <x:f>IF(B744="","",$F$8*COS(B744) + $B$7*COS($F$6*B744))</x:f>
      </x:c>
      <x:c r="D744" s="14">
        <x:f>IF(B744="","",$F$8*SIN(B744) - $B$7*SIN($F$6*B744))</x:f>
      </x:c>
      <x:c r="E744" s="14">
        <x:f>IF(B744="","", C744 + $F$12*$F$9*(-H744)/IF(SQRT(G744^2+H744^2)=0,1,SQRT(G744^2+H744^2)))</x:f>
      </x:c>
      <x:c r="F744" s="14">
        <x:f>IF(B744="","", D744 + $F$12*$F$9*(G744)/IF(SQRT(G744^2+H744^2)=0,1,SQRT(G744^2+H744^2)))</x:f>
      </x:c>
      <x:c r="G744" s="14">
        <x:f>IF(B744="","", -$F$8*SIN(B744) - $B$7*$F$6*SIN($F$6*B744))</x:f>
      </x:c>
      <x:c r="H744" s="14">
        <x:f>IF(B744="","", $F$8*COS(B744) - $B$7*$F$6*COS($F$6*B744))</x:f>
      </x:c>
    </x:row>
    <x:row r="745">
      <x:c r="A745" s="13" t="n">
        <x:v>726</x:v>
      </x:c>
      <x:c r="B745" s="14">
        <x:f>IF($B$12&lt;726,"",$B$13+(726-1)*($B$14-$B$13)/($B$12-1))</x:f>
      </x:c>
      <x:c r="C745" s="14">
        <x:f>IF(B745="","",$F$8*COS(B745) + $B$7*COS($F$6*B745))</x:f>
      </x:c>
      <x:c r="D745" s="14">
        <x:f>IF(B745="","",$F$8*SIN(B745) - $B$7*SIN($F$6*B745))</x:f>
      </x:c>
      <x:c r="E745" s="14">
        <x:f>IF(B745="","", C745 + $F$12*$F$9*(-H745)/IF(SQRT(G745^2+H745^2)=0,1,SQRT(G745^2+H745^2)))</x:f>
      </x:c>
      <x:c r="F745" s="14">
        <x:f>IF(B745="","", D745 + $F$12*$F$9*(G745)/IF(SQRT(G745^2+H745^2)=0,1,SQRT(G745^2+H745^2)))</x:f>
      </x:c>
      <x:c r="G745" s="14">
        <x:f>IF(B745="","", -$F$8*SIN(B745) - $B$7*$F$6*SIN($F$6*B745))</x:f>
      </x:c>
      <x:c r="H745" s="14">
        <x:f>IF(B745="","", $F$8*COS(B745) - $B$7*$F$6*COS($F$6*B745))</x:f>
      </x:c>
    </x:row>
    <x:row r="746">
      <x:c r="A746" s="13" t="n">
        <x:v>727</x:v>
      </x:c>
      <x:c r="B746" s="14">
        <x:f>IF($B$12&lt;727,"",$B$13+(727-1)*($B$14-$B$13)/($B$12-1))</x:f>
      </x:c>
      <x:c r="C746" s="14">
        <x:f>IF(B746="","",$F$8*COS(B746) + $B$7*COS($F$6*B746))</x:f>
      </x:c>
      <x:c r="D746" s="14">
        <x:f>IF(B746="","",$F$8*SIN(B746) - $B$7*SIN($F$6*B746))</x:f>
      </x:c>
      <x:c r="E746" s="14">
        <x:f>IF(B746="","", C746 + $F$12*$F$9*(-H746)/IF(SQRT(G746^2+H746^2)=0,1,SQRT(G746^2+H746^2)))</x:f>
      </x:c>
      <x:c r="F746" s="14">
        <x:f>IF(B746="","", D746 + $F$12*$F$9*(G746)/IF(SQRT(G746^2+H746^2)=0,1,SQRT(G746^2+H746^2)))</x:f>
      </x:c>
      <x:c r="G746" s="14">
        <x:f>IF(B746="","", -$F$8*SIN(B746) - $B$7*$F$6*SIN($F$6*B746))</x:f>
      </x:c>
      <x:c r="H746" s="14">
        <x:f>IF(B746="","", $F$8*COS(B746) - $B$7*$F$6*COS($F$6*B746))</x:f>
      </x:c>
    </x:row>
    <x:row r="747">
      <x:c r="A747" s="13" t="n">
        <x:v>728</x:v>
      </x:c>
      <x:c r="B747" s="14">
        <x:f>IF($B$12&lt;728,"",$B$13+(728-1)*($B$14-$B$13)/($B$12-1))</x:f>
      </x:c>
      <x:c r="C747" s="14">
        <x:f>IF(B747="","",$F$8*COS(B747) + $B$7*COS($F$6*B747))</x:f>
      </x:c>
      <x:c r="D747" s="14">
        <x:f>IF(B747="","",$F$8*SIN(B747) - $B$7*SIN($F$6*B747))</x:f>
      </x:c>
      <x:c r="E747" s="14">
        <x:f>IF(B747="","", C747 + $F$12*$F$9*(-H747)/IF(SQRT(G747^2+H747^2)=0,1,SQRT(G747^2+H747^2)))</x:f>
      </x:c>
      <x:c r="F747" s="14">
        <x:f>IF(B747="","", D747 + $F$12*$F$9*(G747)/IF(SQRT(G747^2+H747^2)=0,1,SQRT(G747^2+H747^2)))</x:f>
      </x:c>
      <x:c r="G747" s="14">
        <x:f>IF(B747="","", -$F$8*SIN(B747) - $B$7*$F$6*SIN($F$6*B747))</x:f>
      </x:c>
      <x:c r="H747" s="14">
        <x:f>IF(B747="","", $F$8*COS(B747) - $B$7*$F$6*COS($F$6*B747))</x:f>
      </x:c>
    </x:row>
    <x:row r="748">
      <x:c r="A748" s="13" t="n">
        <x:v>729</x:v>
      </x:c>
      <x:c r="B748" s="14">
        <x:f>IF($B$12&lt;729,"",$B$13+(729-1)*($B$14-$B$13)/($B$12-1))</x:f>
      </x:c>
      <x:c r="C748" s="14">
        <x:f>IF(B748="","",$F$8*COS(B748) + $B$7*COS($F$6*B748))</x:f>
      </x:c>
      <x:c r="D748" s="14">
        <x:f>IF(B748="","",$F$8*SIN(B748) - $B$7*SIN($F$6*B748))</x:f>
      </x:c>
      <x:c r="E748" s="14">
        <x:f>IF(B748="","", C748 + $F$12*$F$9*(-H748)/IF(SQRT(G748^2+H748^2)=0,1,SQRT(G748^2+H748^2)))</x:f>
      </x:c>
      <x:c r="F748" s="14">
        <x:f>IF(B748="","", D748 + $F$12*$F$9*(G748)/IF(SQRT(G748^2+H748^2)=0,1,SQRT(G748^2+H748^2)))</x:f>
      </x:c>
      <x:c r="G748" s="14">
        <x:f>IF(B748="","", -$F$8*SIN(B748) - $B$7*$F$6*SIN($F$6*B748))</x:f>
      </x:c>
      <x:c r="H748" s="14">
        <x:f>IF(B748="","", $F$8*COS(B748) - $B$7*$F$6*COS($F$6*B748))</x:f>
      </x:c>
    </x:row>
    <x:row r="749">
      <x:c r="A749" s="13" t="n">
        <x:v>730</x:v>
      </x:c>
      <x:c r="B749" s="14">
        <x:f>IF($B$12&lt;730,"",$B$13+(730-1)*($B$14-$B$13)/($B$12-1))</x:f>
      </x:c>
      <x:c r="C749" s="14">
        <x:f>IF(B749="","",$F$8*COS(B749) + $B$7*COS($F$6*B749))</x:f>
      </x:c>
      <x:c r="D749" s="14">
        <x:f>IF(B749="","",$F$8*SIN(B749) - $B$7*SIN($F$6*B749))</x:f>
      </x:c>
      <x:c r="E749" s="14">
        <x:f>IF(B749="","", C749 + $F$12*$F$9*(-H749)/IF(SQRT(G749^2+H749^2)=0,1,SQRT(G749^2+H749^2)))</x:f>
      </x:c>
      <x:c r="F749" s="14">
        <x:f>IF(B749="","", D749 + $F$12*$F$9*(G749)/IF(SQRT(G749^2+H749^2)=0,1,SQRT(G749^2+H749^2)))</x:f>
      </x:c>
      <x:c r="G749" s="14">
        <x:f>IF(B749="","", -$F$8*SIN(B749) - $B$7*$F$6*SIN($F$6*B749))</x:f>
      </x:c>
      <x:c r="H749" s="14">
        <x:f>IF(B749="","", $F$8*COS(B749) - $B$7*$F$6*COS($F$6*B749))</x:f>
      </x:c>
    </x:row>
    <x:row r="750">
      <x:c r="A750" s="13" t="n">
        <x:v>731</x:v>
      </x:c>
      <x:c r="B750" s="14">
        <x:f>IF($B$12&lt;731,"",$B$13+(731-1)*($B$14-$B$13)/($B$12-1))</x:f>
      </x:c>
      <x:c r="C750" s="14">
        <x:f>IF(B750="","",$F$8*COS(B750) + $B$7*COS($F$6*B750))</x:f>
      </x:c>
      <x:c r="D750" s="14">
        <x:f>IF(B750="","",$F$8*SIN(B750) - $B$7*SIN($F$6*B750))</x:f>
      </x:c>
      <x:c r="E750" s="14">
        <x:f>IF(B750="","", C750 + $F$12*$F$9*(-H750)/IF(SQRT(G750^2+H750^2)=0,1,SQRT(G750^2+H750^2)))</x:f>
      </x:c>
      <x:c r="F750" s="14">
        <x:f>IF(B750="","", D750 + $F$12*$F$9*(G750)/IF(SQRT(G750^2+H750^2)=0,1,SQRT(G750^2+H750^2)))</x:f>
      </x:c>
      <x:c r="G750" s="14">
        <x:f>IF(B750="","", -$F$8*SIN(B750) - $B$7*$F$6*SIN($F$6*B750))</x:f>
      </x:c>
      <x:c r="H750" s="14">
        <x:f>IF(B750="","", $F$8*COS(B750) - $B$7*$F$6*COS($F$6*B750))</x:f>
      </x:c>
    </x:row>
    <x:row r="751">
      <x:c r="A751" s="13" t="n">
        <x:v>732</x:v>
      </x:c>
      <x:c r="B751" s="14">
        <x:f>IF($B$12&lt;732,"",$B$13+(732-1)*($B$14-$B$13)/($B$12-1))</x:f>
      </x:c>
      <x:c r="C751" s="14">
        <x:f>IF(B751="","",$F$8*COS(B751) + $B$7*COS($F$6*B751))</x:f>
      </x:c>
      <x:c r="D751" s="14">
        <x:f>IF(B751="","",$F$8*SIN(B751) - $B$7*SIN($F$6*B751))</x:f>
      </x:c>
      <x:c r="E751" s="14">
        <x:f>IF(B751="","", C751 + $F$12*$F$9*(-H751)/IF(SQRT(G751^2+H751^2)=0,1,SQRT(G751^2+H751^2)))</x:f>
      </x:c>
      <x:c r="F751" s="14">
        <x:f>IF(B751="","", D751 + $F$12*$F$9*(G751)/IF(SQRT(G751^2+H751^2)=0,1,SQRT(G751^2+H751^2)))</x:f>
      </x:c>
      <x:c r="G751" s="14">
        <x:f>IF(B751="","", -$F$8*SIN(B751) - $B$7*$F$6*SIN($F$6*B751))</x:f>
      </x:c>
      <x:c r="H751" s="14">
        <x:f>IF(B751="","", $F$8*COS(B751) - $B$7*$F$6*COS($F$6*B751))</x:f>
      </x:c>
    </x:row>
    <x:row r="752">
      <x:c r="A752" s="13" t="n">
        <x:v>733</x:v>
      </x:c>
      <x:c r="B752" s="14">
        <x:f>IF($B$12&lt;733,"",$B$13+(733-1)*($B$14-$B$13)/($B$12-1))</x:f>
      </x:c>
      <x:c r="C752" s="14">
        <x:f>IF(B752="","",$F$8*COS(B752) + $B$7*COS($F$6*B752))</x:f>
      </x:c>
      <x:c r="D752" s="14">
        <x:f>IF(B752="","",$F$8*SIN(B752) - $B$7*SIN($F$6*B752))</x:f>
      </x:c>
      <x:c r="E752" s="14">
        <x:f>IF(B752="","", C752 + $F$12*$F$9*(-H752)/IF(SQRT(G752^2+H752^2)=0,1,SQRT(G752^2+H752^2)))</x:f>
      </x:c>
      <x:c r="F752" s="14">
        <x:f>IF(B752="","", D752 + $F$12*$F$9*(G752)/IF(SQRT(G752^2+H752^2)=0,1,SQRT(G752^2+H752^2)))</x:f>
      </x:c>
      <x:c r="G752" s="14">
        <x:f>IF(B752="","", -$F$8*SIN(B752) - $B$7*$F$6*SIN($F$6*B752))</x:f>
      </x:c>
      <x:c r="H752" s="14">
        <x:f>IF(B752="","", $F$8*COS(B752) - $B$7*$F$6*COS($F$6*B752))</x:f>
      </x:c>
    </x:row>
    <x:row r="753">
      <x:c r="A753" s="13" t="n">
        <x:v>734</x:v>
      </x:c>
      <x:c r="B753" s="14">
        <x:f>IF($B$12&lt;734,"",$B$13+(734-1)*($B$14-$B$13)/($B$12-1))</x:f>
      </x:c>
      <x:c r="C753" s="14">
        <x:f>IF(B753="","",$F$8*COS(B753) + $B$7*COS($F$6*B753))</x:f>
      </x:c>
      <x:c r="D753" s="14">
        <x:f>IF(B753="","",$F$8*SIN(B753) - $B$7*SIN($F$6*B753))</x:f>
      </x:c>
      <x:c r="E753" s="14">
        <x:f>IF(B753="","", C753 + $F$12*$F$9*(-H753)/IF(SQRT(G753^2+H753^2)=0,1,SQRT(G753^2+H753^2)))</x:f>
      </x:c>
      <x:c r="F753" s="14">
        <x:f>IF(B753="","", D753 + $F$12*$F$9*(G753)/IF(SQRT(G753^2+H753^2)=0,1,SQRT(G753^2+H753^2)))</x:f>
      </x:c>
      <x:c r="G753" s="14">
        <x:f>IF(B753="","", -$F$8*SIN(B753) - $B$7*$F$6*SIN($F$6*B753))</x:f>
      </x:c>
      <x:c r="H753" s="14">
        <x:f>IF(B753="","", $F$8*COS(B753) - $B$7*$F$6*COS($F$6*B753))</x:f>
      </x:c>
    </x:row>
    <x:row r="754">
      <x:c r="A754" s="13" t="n">
        <x:v>735</x:v>
      </x:c>
      <x:c r="B754" s="14">
        <x:f>IF($B$12&lt;735,"",$B$13+(735-1)*($B$14-$B$13)/($B$12-1))</x:f>
      </x:c>
      <x:c r="C754" s="14">
        <x:f>IF(B754="","",$F$8*COS(B754) + $B$7*COS($F$6*B754))</x:f>
      </x:c>
      <x:c r="D754" s="14">
        <x:f>IF(B754="","",$F$8*SIN(B754) - $B$7*SIN($F$6*B754))</x:f>
      </x:c>
      <x:c r="E754" s="14">
        <x:f>IF(B754="","", C754 + $F$12*$F$9*(-H754)/IF(SQRT(G754^2+H754^2)=0,1,SQRT(G754^2+H754^2)))</x:f>
      </x:c>
      <x:c r="F754" s="14">
        <x:f>IF(B754="","", D754 + $F$12*$F$9*(G754)/IF(SQRT(G754^2+H754^2)=0,1,SQRT(G754^2+H754^2)))</x:f>
      </x:c>
      <x:c r="G754" s="14">
        <x:f>IF(B754="","", -$F$8*SIN(B754) - $B$7*$F$6*SIN($F$6*B754))</x:f>
      </x:c>
      <x:c r="H754" s="14">
        <x:f>IF(B754="","", $F$8*COS(B754) - $B$7*$F$6*COS($F$6*B754))</x:f>
      </x:c>
    </x:row>
    <x:row r="755">
      <x:c r="A755" s="13" t="n">
        <x:v>736</x:v>
      </x:c>
      <x:c r="B755" s="14">
        <x:f>IF($B$12&lt;736,"",$B$13+(736-1)*($B$14-$B$13)/($B$12-1))</x:f>
      </x:c>
      <x:c r="C755" s="14">
        <x:f>IF(B755="","",$F$8*COS(B755) + $B$7*COS($F$6*B755))</x:f>
      </x:c>
      <x:c r="D755" s="14">
        <x:f>IF(B755="","",$F$8*SIN(B755) - $B$7*SIN($F$6*B755))</x:f>
      </x:c>
      <x:c r="E755" s="14">
        <x:f>IF(B755="","", C755 + $F$12*$F$9*(-H755)/IF(SQRT(G755^2+H755^2)=0,1,SQRT(G755^2+H755^2)))</x:f>
      </x:c>
      <x:c r="F755" s="14">
        <x:f>IF(B755="","", D755 + $F$12*$F$9*(G755)/IF(SQRT(G755^2+H755^2)=0,1,SQRT(G755^2+H755^2)))</x:f>
      </x:c>
      <x:c r="G755" s="14">
        <x:f>IF(B755="","", -$F$8*SIN(B755) - $B$7*$F$6*SIN($F$6*B755))</x:f>
      </x:c>
      <x:c r="H755" s="14">
        <x:f>IF(B755="","", $F$8*COS(B755) - $B$7*$F$6*COS($F$6*B755))</x:f>
      </x:c>
    </x:row>
    <x:row r="756">
      <x:c r="A756" s="13" t="n">
        <x:v>737</x:v>
      </x:c>
      <x:c r="B756" s="14">
        <x:f>IF($B$12&lt;737,"",$B$13+(737-1)*($B$14-$B$13)/($B$12-1))</x:f>
      </x:c>
      <x:c r="C756" s="14">
        <x:f>IF(B756="","",$F$8*COS(B756) + $B$7*COS($F$6*B756))</x:f>
      </x:c>
      <x:c r="D756" s="14">
        <x:f>IF(B756="","",$F$8*SIN(B756) - $B$7*SIN($F$6*B756))</x:f>
      </x:c>
      <x:c r="E756" s="14">
        <x:f>IF(B756="","", C756 + $F$12*$F$9*(-H756)/IF(SQRT(G756^2+H756^2)=0,1,SQRT(G756^2+H756^2)))</x:f>
      </x:c>
      <x:c r="F756" s="14">
        <x:f>IF(B756="","", D756 + $F$12*$F$9*(G756)/IF(SQRT(G756^2+H756^2)=0,1,SQRT(G756^2+H756^2)))</x:f>
      </x:c>
      <x:c r="G756" s="14">
        <x:f>IF(B756="","", -$F$8*SIN(B756) - $B$7*$F$6*SIN($F$6*B756))</x:f>
      </x:c>
      <x:c r="H756" s="14">
        <x:f>IF(B756="","", $F$8*COS(B756) - $B$7*$F$6*COS($F$6*B756))</x:f>
      </x:c>
    </x:row>
    <x:row r="757">
      <x:c r="A757" s="13" t="n">
        <x:v>738</x:v>
      </x:c>
      <x:c r="B757" s="14">
        <x:f>IF($B$12&lt;738,"",$B$13+(738-1)*($B$14-$B$13)/($B$12-1))</x:f>
      </x:c>
      <x:c r="C757" s="14">
        <x:f>IF(B757="","",$F$8*COS(B757) + $B$7*COS($F$6*B757))</x:f>
      </x:c>
      <x:c r="D757" s="14">
        <x:f>IF(B757="","",$F$8*SIN(B757) - $B$7*SIN($F$6*B757))</x:f>
      </x:c>
      <x:c r="E757" s="14">
        <x:f>IF(B757="","", C757 + $F$12*$F$9*(-H757)/IF(SQRT(G757^2+H757^2)=0,1,SQRT(G757^2+H757^2)))</x:f>
      </x:c>
      <x:c r="F757" s="14">
        <x:f>IF(B757="","", D757 + $F$12*$F$9*(G757)/IF(SQRT(G757^2+H757^2)=0,1,SQRT(G757^2+H757^2)))</x:f>
      </x:c>
      <x:c r="G757" s="14">
        <x:f>IF(B757="","", -$F$8*SIN(B757) - $B$7*$F$6*SIN($F$6*B757))</x:f>
      </x:c>
      <x:c r="H757" s="14">
        <x:f>IF(B757="","", $F$8*COS(B757) - $B$7*$F$6*COS($F$6*B757))</x:f>
      </x:c>
    </x:row>
    <x:row r="758">
      <x:c r="A758" s="13" t="n">
        <x:v>739</x:v>
      </x:c>
      <x:c r="B758" s="14">
        <x:f>IF($B$12&lt;739,"",$B$13+(739-1)*($B$14-$B$13)/($B$12-1))</x:f>
      </x:c>
      <x:c r="C758" s="14">
        <x:f>IF(B758="","",$F$8*COS(B758) + $B$7*COS($F$6*B758))</x:f>
      </x:c>
      <x:c r="D758" s="14">
        <x:f>IF(B758="","",$F$8*SIN(B758) - $B$7*SIN($F$6*B758))</x:f>
      </x:c>
      <x:c r="E758" s="14">
        <x:f>IF(B758="","", C758 + $F$12*$F$9*(-H758)/IF(SQRT(G758^2+H758^2)=0,1,SQRT(G758^2+H758^2)))</x:f>
      </x:c>
      <x:c r="F758" s="14">
        <x:f>IF(B758="","", D758 + $F$12*$F$9*(G758)/IF(SQRT(G758^2+H758^2)=0,1,SQRT(G758^2+H758^2)))</x:f>
      </x:c>
      <x:c r="G758" s="14">
        <x:f>IF(B758="","", -$F$8*SIN(B758) - $B$7*$F$6*SIN($F$6*B758))</x:f>
      </x:c>
      <x:c r="H758" s="14">
        <x:f>IF(B758="","", $F$8*COS(B758) - $B$7*$F$6*COS($F$6*B758))</x:f>
      </x:c>
    </x:row>
    <x:row r="759">
      <x:c r="A759" s="13" t="n">
        <x:v>740</x:v>
      </x:c>
      <x:c r="B759" s="14">
        <x:f>IF($B$12&lt;740,"",$B$13+(740-1)*($B$14-$B$13)/($B$12-1))</x:f>
      </x:c>
      <x:c r="C759" s="14">
        <x:f>IF(B759="","",$F$8*COS(B759) + $B$7*COS($F$6*B759))</x:f>
      </x:c>
      <x:c r="D759" s="14">
        <x:f>IF(B759="","",$F$8*SIN(B759) - $B$7*SIN($F$6*B759))</x:f>
      </x:c>
      <x:c r="E759" s="14">
        <x:f>IF(B759="","", C759 + $F$12*$F$9*(-H759)/IF(SQRT(G759^2+H759^2)=0,1,SQRT(G759^2+H759^2)))</x:f>
      </x:c>
      <x:c r="F759" s="14">
        <x:f>IF(B759="","", D759 + $F$12*$F$9*(G759)/IF(SQRT(G759^2+H759^2)=0,1,SQRT(G759^2+H759^2)))</x:f>
      </x:c>
      <x:c r="G759" s="14">
        <x:f>IF(B759="","", -$F$8*SIN(B759) - $B$7*$F$6*SIN($F$6*B759))</x:f>
      </x:c>
      <x:c r="H759" s="14">
        <x:f>IF(B759="","", $F$8*COS(B759) - $B$7*$F$6*COS($F$6*B759))</x:f>
      </x:c>
    </x:row>
    <x:row r="760">
      <x:c r="A760" s="13" t="n">
        <x:v>741</x:v>
      </x:c>
      <x:c r="B760" s="14">
        <x:f>IF($B$12&lt;741,"",$B$13+(741-1)*($B$14-$B$13)/($B$12-1))</x:f>
      </x:c>
      <x:c r="C760" s="14">
        <x:f>IF(B760="","",$F$8*COS(B760) + $B$7*COS($F$6*B760))</x:f>
      </x:c>
      <x:c r="D760" s="14">
        <x:f>IF(B760="","",$F$8*SIN(B760) - $B$7*SIN($F$6*B760))</x:f>
      </x:c>
      <x:c r="E760" s="14">
        <x:f>IF(B760="","", C760 + $F$12*$F$9*(-H760)/IF(SQRT(G760^2+H760^2)=0,1,SQRT(G760^2+H760^2)))</x:f>
      </x:c>
      <x:c r="F760" s="14">
        <x:f>IF(B760="","", D760 + $F$12*$F$9*(G760)/IF(SQRT(G760^2+H760^2)=0,1,SQRT(G760^2+H760^2)))</x:f>
      </x:c>
      <x:c r="G760" s="14">
        <x:f>IF(B760="","", -$F$8*SIN(B760) - $B$7*$F$6*SIN($F$6*B760))</x:f>
      </x:c>
      <x:c r="H760" s="14">
        <x:f>IF(B760="","", $F$8*COS(B760) - $B$7*$F$6*COS($F$6*B760))</x:f>
      </x:c>
    </x:row>
    <x:row r="761">
      <x:c r="A761" s="13" t="n">
        <x:v>742</x:v>
      </x:c>
      <x:c r="B761" s="14">
        <x:f>IF($B$12&lt;742,"",$B$13+(742-1)*($B$14-$B$13)/($B$12-1))</x:f>
      </x:c>
      <x:c r="C761" s="14">
        <x:f>IF(B761="","",$F$8*COS(B761) + $B$7*COS($F$6*B761))</x:f>
      </x:c>
      <x:c r="D761" s="14">
        <x:f>IF(B761="","",$F$8*SIN(B761) - $B$7*SIN($F$6*B761))</x:f>
      </x:c>
      <x:c r="E761" s="14">
        <x:f>IF(B761="","", C761 + $F$12*$F$9*(-H761)/IF(SQRT(G761^2+H761^2)=0,1,SQRT(G761^2+H761^2)))</x:f>
      </x:c>
      <x:c r="F761" s="14">
        <x:f>IF(B761="","", D761 + $F$12*$F$9*(G761)/IF(SQRT(G761^2+H761^2)=0,1,SQRT(G761^2+H761^2)))</x:f>
      </x:c>
      <x:c r="G761" s="14">
        <x:f>IF(B761="","", -$F$8*SIN(B761) - $B$7*$F$6*SIN($F$6*B761))</x:f>
      </x:c>
      <x:c r="H761" s="14">
        <x:f>IF(B761="","", $F$8*COS(B761) - $B$7*$F$6*COS($F$6*B761))</x:f>
      </x:c>
    </x:row>
    <x:row r="762">
      <x:c r="A762" s="13" t="n">
        <x:v>743</x:v>
      </x:c>
      <x:c r="B762" s="14">
        <x:f>IF($B$12&lt;743,"",$B$13+(743-1)*($B$14-$B$13)/($B$12-1))</x:f>
      </x:c>
      <x:c r="C762" s="14">
        <x:f>IF(B762="","",$F$8*COS(B762) + $B$7*COS($F$6*B762))</x:f>
      </x:c>
      <x:c r="D762" s="14">
        <x:f>IF(B762="","",$F$8*SIN(B762) - $B$7*SIN($F$6*B762))</x:f>
      </x:c>
      <x:c r="E762" s="14">
        <x:f>IF(B762="","", C762 + $F$12*$F$9*(-H762)/IF(SQRT(G762^2+H762^2)=0,1,SQRT(G762^2+H762^2)))</x:f>
      </x:c>
      <x:c r="F762" s="14">
        <x:f>IF(B762="","", D762 + $F$12*$F$9*(G762)/IF(SQRT(G762^2+H762^2)=0,1,SQRT(G762^2+H762^2)))</x:f>
      </x:c>
      <x:c r="G762" s="14">
        <x:f>IF(B762="","", -$F$8*SIN(B762) - $B$7*$F$6*SIN($F$6*B762))</x:f>
      </x:c>
      <x:c r="H762" s="14">
        <x:f>IF(B762="","", $F$8*COS(B762) - $B$7*$F$6*COS($F$6*B762))</x:f>
      </x:c>
    </x:row>
    <x:row r="763">
      <x:c r="A763" s="13" t="n">
        <x:v>744</x:v>
      </x:c>
      <x:c r="B763" s="14">
        <x:f>IF($B$12&lt;744,"",$B$13+(744-1)*($B$14-$B$13)/($B$12-1))</x:f>
      </x:c>
      <x:c r="C763" s="14">
        <x:f>IF(B763="","",$F$8*COS(B763) + $B$7*COS($F$6*B763))</x:f>
      </x:c>
      <x:c r="D763" s="14">
        <x:f>IF(B763="","",$F$8*SIN(B763) - $B$7*SIN($F$6*B763))</x:f>
      </x:c>
      <x:c r="E763" s="14">
        <x:f>IF(B763="","", C763 + $F$12*$F$9*(-H763)/IF(SQRT(G763^2+H763^2)=0,1,SQRT(G763^2+H763^2)))</x:f>
      </x:c>
      <x:c r="F763" s="14">
        <x:f>IF(B763="","", D763 + $F$12*$F$9*(G763)/IF(SQRT(G763^2+H763^2)=0,1,SQRT(G763^2+H763^2)))</x:f>
      </x:c>
      <x:c r="G763" s="14">
        <x:f>IF(B763="","", -$F$8*SIN(B763) - $B$7*$F$6*SIN($F$6*B763))</x:f>
      </x:c>
      <x:c r="H763" s="14">
        <x:f>IF(B763="","", $F$8*COS(B763) - $B$7*$F$6*COS($F$6*B763))</x:f>
      </x:c>
    </x:row>
    <x:row r="764">
      <x:c r="A764" s="13" t="n">
        <x:v>745</x:v>
      </x:c>
      <x:c r="B764" s="14">
        <x:f>IF($B$12&lt;745,"",$B$13+(745-1)*($B$14-$B$13)/($B$12-1))</x:f>
      </x:c>
      <x:c r="C764" s="14">
        <x:f>IF(B764="","",$F$8*COS(B764) + $B$7*COS($F$6*B764))</x:f>
      </x:c>
      <x:c r="D764" s="14">
        <x:f>IF(B764="","",$F$8*SIN(B764) - $B$7*SIN($F$6*B764))</x:f>
      </x:c>
      <x:c r="E764" s="14">
        <x:f>IF(B764="","", C764 + $F$12*$F$9*(-H764)/IF(SQRT(G764^2+H764^2)=0,1,SQRT(G764^2+H764^2)))</x:f>
      </x:c>
      <x:c r="F764" s="14">
        <x:f>IF(B764="","", D764 + $F$12*$F$9*(G764)/IF(SQRT(G764^2+H764^2)=0,1,SQRT(G764^2+H764^2)))</x:f>
      </x:c>
      <x:c r="G764" s="14">
        <x:f>IF(B764="","", -$F$8*SIN(B764) - $B$7*$F$6*SIN($F$6*B764))</x:f>
      </x:c>
      <x:c r="H764" s="14">
        <x:f>IF(B764="","", $F$8*COS(B764) - $B$7*$F$6*COS($F$6*B764))</x:f>
      </x:c>
    </x:row>
    <x:row r="765">
      <x:c r="A765" s="13" t="n">
        <x:v>746</x:v>
      </x:c>
      <x:c r="B765" s="14">
        <x:f>IF($B$12&lt;746,"",$B$13+(746-1)*($B$14-$B$13)/($B$12-1))</x:f>
      </x:c>
      <x:c r="C765" s="14">
        <x:f>IF(B765="","",$F$8*COS(B765) + $B$7*COS($F$6*B765))</x:f>
      </x:c>
      <x:c r="D765" s="14">
        <x:f>IF(B765="","",$F$8*SIN(B765) - $B$7*SIN($F$6*B765))</x:f>
      </x:c>
      <x:c r="E765" s="14">
        <x:f>IF(B765="","", C765 + $F$12*$F$9*(-H765)/IF(SQRT(G765^2+H765^2)=0,1,SQRT(G765^2+H765^2)))</x:f>
      </x:c>
      <x:c r="F765" s="14">
        <x:f>IF(B765="","", D765 + $F$12*$F$9*(G765)/IF(SQRT(G765^2+H765^2)=0,1,SQRT(G765^2+H765^2)))</x:f>
      </x:c>
      <x:c r="G765" s="14">
        <x:f>IF(B765="","", -$F$8*SIN(B765) - $B$7*$F$6*SIN($F$6*B765))</x:f>
      </x:c>
      <x:c r="H765" s="14">
        <x:f>IF(B765="","", $F$8*COS(B765) - $B$7*$F$6*COS($F$6*B765))</x:f>
      </x:c>
    </x:row>
    <x:row r="766">
      <x:c r="A766" s="13" t="n">
        <x:v>747</x:v>
      </x:c>
      <x:c r="B766" s="14">
        <x:f>IF($B$12&lt;747,"",$B$13+(747-1)*($B$14-$B$13)/($B$12-1))</x:f>
      </x:c>
      <x:c r="C766" s="14">
        <x:f>IF(B766="","",$F$8*COS(B766) + $B$7*COS($F$6*B766))</x:f>
      </x:c>
      <x:c r="D766" s="14">
        <x:f>IF(B766="","",$F$8*SIN(B766) - $B$7*SIN($F$6*B766))</x:f>
      </x:c>
      <x:c r="E766" s="14">
        <x:f>IF(B766="","", C766 + $F$12*$F$9*(-H766)/IF(SQRT(G766^2+H766^2)=0,1,SQRT(G766^2+H766^2)))</x:f>
      </x:c>
      <x:c r="F766" s="14">
        <x:f>IF(B766="","", D766 + $F$12*$F$9*(G766)/IF(SQRT(G766^2+H766^2)=0,1,SQRT(G766^2+H766^2)))</x:f>
      </x:c>
      <x:c r="G766" s="14">
        <x:f>IF(B766="","", -$F$8*SIN(B766) - $B$7*$F$6*SIN($F$6*B766))</x:f>
      </x:c>
      <x:c r="H766" s="14">
        <x:f>IF(B766="","", $F$8*COS(B766) - $B$7*$F$6*COS($F$6*B766))</x:f>
      </x:c>
    </x:row>
    <x:row r="767">
      <x:c r="A767" s="13" t="n">
        <x:v>748</x:v>
      </x:c>
      <x:c r="B767" s="14">
        <x:f>IF($B$12&lt;748,"",$B$13+(748-1)*($B$14-$B$13)/($B$12-1))</x:f>
      </x:c>
      <x:c r="C767" s="14">
        <x:f>IF(B767="","",$F$8*COS(B767) + $B$7*COS($F$6*B767))</x:f>
      </x:c>
      <x:c r="D767" s="14">
        <x:f>IF(B767="","",$F$8*SIN(B767) - $B$7*SIN($F$6*B767))</x:f>
      </x:c>
      <x:c r="E767" s="14">
        <x:f>IF(B767="","", C767 + $F$12*$F$9*(-H767)/IF(SQRT(G767^2+H767^2)=0,1,SQRT(G767^2+H767^2)))</x:f>
      </x:c>
      <x:c r="F767" s="14">
        <x:f>IF(B767="","", D767 + $F$12*$F$9*(G767)/IF(SQRT(G767^2+H767^2)=0,1,SQRT(G767^2+H767^2)))</x:f>
      </x:c>
      <x:c r="G767" s="14">
        <x:f>IF(B767="","", -$F$8*SIN(B767) - $B$7*$F$6*SIN($F$6*B767))</x:f>
      </x:c>
      <x:c r="H767" s="14">
        <x:f>IF(B767="","", $F$8*COS(B767) - $B$7*$F$6*COS($F$6*B767))</x:f>
      </x:c>
    </x:row>
    <x:row r="768">
      <x:c r="A768" s="13" t="n">
        <x:v>749</x:v>
      </x:c>
      <x:c r="B768" s="14">
        <x:f>IF($B$12&lt;749,"",$B$13+(749-1)*($B$14-$B$13)/($B$12-1))</x:f>
      </x:c>
      <x:c r="C768" s="14">
        <x:f>IF(B768="","",$F$8*COS(B768) + $B$7*COS($F$6*B768))</x:f>
      </x:c>
      <x:c r="D768" s="14">
        <x:f>IF(B768="","",$F$8*SIN(B768) - $B$7*SIN($F$6*B768))</x:f>
      </x:c>
      <x:c r="E768" s="14">
        <x:f>IF(B768="","", C768 + $F$12*$F$9*(-H768)/IF(SQRT(G768^2+H768^2)=0,1,SQRT(G768^2+H768^2)))</x:f>
      </x:c>
      <x:c r="F768" s="14">
        <x:f>IF(B768="","", D768 + $F$12*$F$9*(G768)/IF(SQRT(G768^2+H768^2)=0,1,SQRT(G768^2+H768^2)))</x:f>
      </x:c>
      <x:c r="G768" s="14">
        <x:f>IF(B768="","", -$F$8*SIN(B768) - $B$7*$F$6*SIN($F$6*B768))</x:f>
      </x:c>
      <x:c r="H768" s="14">
        <x:f>IF(B768="","", $F$8*COS(B768) - $B$7*$F$6*COS($F$6*B768))</x:f>
      </x:c>
    </x:row>
    <x:row r="769">
      <x:c r="A769" s="13" t="n">
        <x:v>750</x:v>
      </x:c>
      <x:c r="B769" s="14">
        <x:f>IF($B$12&lt;750,"",$B$13+(750-1)*($B$14-$B$13)/($B$12-1))</x:f>
      </x:c>
      <x:c r="C769" s="14">
        <x:f>IF(B769="","",$F$8*COS(B769) + $B$7*COS($F$6*B769))</x:f>
      </x:c>
      <x:c r="D769" s="14">
        <x:f>IF(B769="","",$F$8*SIN(B769) - $B$7*SIN($F$6*B769))</x:f>
      </x:c>
      <x:c r="E769" s="14">
        <x:f>IF(B769="","", C769 + $F$12*$F$9*(-H769)/IF(SQRT(G769^2+H769^2)=0,1,SQRT(G769^2+H769^2)))</x:f>
      </x:c>
      <x:c r="F769" s="14">
        <x:f>IF(B769="","", D769 + $F$12*$F$9*(G769)/IF(SQRT(G769^2+H769^2)=0,1,SQRT(G769^2+H769^2)))</x:f>
      </x:c>
      <x:c r="G769" s="14">
        <x:f>IF(B769="","", -$F$8*SIN(B769) - $B$7*$F$6*SIN($F$6*B769))</x:f>
      </x:c>
      <x:c r="H769" s="14">
        <x:f>IF(B769="","", $F$8*COS(B769) - $B$7*$F$6*COS($F$6*B769))</x:f>
      </x:c>
    </x:row>
    <x:row r="770">
      <x:c r="A770" s="13" t="n">
        <x:v>751</x:v>
      </x:c>
      <x:c r="B770" s="14">
        <x:f>IF($B$12&lt;751,"",$B$13+(751-1)*($B$14-$B$13)/($B$12-1))</x:f>
      </x:c>
      <x:c r="C770" s="14">
        <x:f>IF(B770="","",$F$8*COS(B770) + $B$7*COS($F$6*B770))</x:f>
      </x:c>
      <x:c r="D770" s="14">
        <x:f>IF(B770="","",$F$8*SIN(B770) - $B$7*SIN($F$6*B770))</x:f>
      </x:c>
      <x:c r="E770" s="14">
        <x:f>IF(B770="","", C770 + $F$12*$F$9*(-H770)/IF(SQRT(G770^2+H770^2)=0,1,SQRT(G770^2+H770^2)))</x:f>
      </x:c>
      <x:c r="F770" s="14">
        <x:f>IF(B770="","", D770 + $F$12*$F$9*(G770)/IF(SQRT(G770^2+H770^2)=0,1,SQRT(G770^2+H770^2)))</x:f>
      </x:c>
      <x:c r="G770" s="14">
        <x:f>IF(B770="","", -$F$8*SIN(B770) - $B$7*$F$6*SIN($F$6*B770))</x:f>
      </x:c>
      <x:c r="H770" s="14">
        <x:f>IF(B770="","", $F$8*COS(B770) - $B$7*$F$6*COS($F$6*B770))</x:f>
      </x:c>
    </x:row>
    <x:row r="771">
      <x:c r="A771" s="13" t="n">
        <x:v>752</x:v>
      </x:c>
      <x:c r="B771" s="14">
        <x:f>IF($B$12&lt;752,"",$B$13+(752-1)*($B$14-$B$13)/($B$12-1))</x:f>
      </x:c>
      <x:c r="C771" s="14">
        <x:f>IF(B771="","",$F$8*COS(B771) + $B$7*COS($F$6*B771))</x:f>
      </x:c>
      <x:c r="D771" s="14">
        <x:f>IF(B771="","",$F$8*SIN(B771) - $B$7*SIN($F$6*B771))</x:f>
      </x:c>
      <x:c r="E771" s="14">
        <x:f>IF(B771="","", C771 + $F$12*$F$9*(-H771)/IF(SQRT(G771^2+H771^2)=0,1,SQRT(G771^2+H771^2)))</x:f>
      </x:c>
      <x:c r="F771" s="14">
        <x:f>IF(B771="","", D771 + $F$12*$F$9*(G771)/IF(SQRT(G771^2+H771^2)=0,1,SQRT(G771^2+H771^2)))</x:f>
      </x:c>
      <x:c r="G771" s="14">
        <x:f>IF(B771="","", -$F$8*SIN(B771) - $B$7*$F$6*SIN($F$6*B771))</x:f>
      </x:c>
      <x:c r="H771" s="14">
        <x:f>IF(B771="","", $F$8*COS(B771) - $B$7*$F$6*COS($F$6*B771))</x:f>
      </x:c>
    </x:row>
    <x:row r="772">
      <x:c r="A772" s="13" t="n">
        <x:v>753</x:v>
      </x:c>
      <x:c r="B772" s="14">
        <x:f>IF($B$12&lt;753,"",$B$13+(753-1)*($B$14-$B$13)/($B$12-1))</x:f>
      </x:c>
      <x:c r="C772" s="14">
        <x:f>IF(B772="","",$F$8*COS(B772) + $B$7*COS($F$6*B772))</x:f>
      </x:c>
      <x:c r="D772" s="14">
        <x:f>IF(B772="","",$F$8*SIN(B772) - $B$7*SIN($F$6*B772))</x:f>
      </x:c>
      <x:c r="E772" s="14">
        <x:f>IF(B772="","", C772 + $F$12*$F$9*(-H772)/IF(SQRT(G772^2+H772^2)=0,1,SQRT(G772^2+H772^2)))</x:f>
      </x:c>
      <x:c r="F772" s="14">
        <x:f>IF(B772="","", D772 + $F$12*$F$9*(G772)/IF(SQRT(G772^2+H772^2)=0,1,SQRT(G772^2+H772^2)))</x:f>
      </x:c>
      <x:c r="G772" s="14">
        <x:f>IF(B772="","", -$F$8*SIN(B772) - $B$7*$F$6*SIN($F$6*B772))</x:f>
      </x:c>
      <x:c r="H772" s="14">
        <x:f>IF(B772="","", $F$8*COS(B772) - $B$7*$F$6*COS($F$6*B772))</x:f>
      </x:c>
    </x:row>
    <x:row r="773">
      <x:c r="A773" s="13" t="n">
        <x:v>754</x:v>
      </x:c>
      <x:c r="B773" s="14">
        <x:f>IF($B$12&lt;754,"",$B$13+(754-1)*($B$14-$B$13)/($B$12-1))</x:f>
      </x:c>
      <x:c r="C773" s="14">
        <x:f>IF(B773="","",$F$8*COS(B773) + $B$7*COS($F$6*B773))</x:f>
      </x:c>
      <x:c r="D773" s="14">
        <x:f>IF(B773="","",$F$8*SIN(B773) - $B$7*SIN($F$6*B773))</x:f>
      </x:c>
      <x:c r="E773" s="14">
        <x:f>IF(B773="","", C773 + $F$12*$F$9*(-H773)/IF(SQRT(G773^2+H773^2)=0,1,SQRT(G773^2+H773^2)))</x:f>
      </x:c>
      <x:c r="F773" s="14">
        <x:f>IF(B773="","", D773 + $F$12*$F$9*(G773)/IF(SQRT(G773^2+H773^2)=0,1,SQRT(G773^2+H773^2)))</x:f>
      </x:c>
      <x:c r="G773" s="14">
        <x:f>IF(B773="","", -$F$8*SIN(B773) - $B$7*$F$6*SIN($F$6*B773))</x:f>
      </x:c>
      <x:c r="H773" s="14">
        <x:f>IF(B773="","", $F$8*COS(B773) - $B$7*$F$6*COS($F$6*B773))</x:f>
      </x:c>
    </x:row>
    <x:row r="774">
      <x:c r="A774" s="13" t="n">
        <x:v>755</x:v>
      </x:c>
      <x:c r="B774" s="14">
        <x:f>IF($B$12&lt;755,"",$B$13+(755-1)*($B$14-$B$13)/($B$12-1))</x:f>
      </x:c>
      <x:c r="C774" s="14">
        <x:f>IF(B774="","",$F$8*COS(B774) + $B$7*COS($F$6*B774))</x:f>
      </x:c>
      <x:c r="D774" s="14">
        <x:f>IF(B774="","",$F$8*SIN(B774) - $B$7*SIN($F$6*B774))</x:f>
      </x:c>
      <x:c r="E774" s="14">
        <x:f>IF(B774="","", C774 + $F$12*$F$9*(-H774)/IF(SQRT(G774^2+H774^2)=0,1,SQRT(G774^2+H774^2)))</x:f>
      </x:c>
      <x:c r="F774" s="14">
        <x:f>IF(B774="","", D774 + $F$12*$F$9*(G774)/IF(SQRT(G774^2+H774^2)=0,1,SQRT(G774^2+H774^2)))</x:f>
      </x:c>
      <x:c r="G774" s="14">
        <x:f>IF(B774="","", -$F$8*SIN(B774) - $B$7*$F$6*SIN($F$6*B774))</x:f>
      </x:c>
      <x:c r="H774" s="14">
        <x:f>IF(B774="","", $F$8*COS(B774) - $B$7*$F$6*COS($F$6*B774))</x:f>
      </x:c>
    </x:row>
    <x:row r="775">
      <x:c r="A775" s="13" t="n">
        <x:v>756</x:v>
      </x:c>
      <x:c r="B775" s="14">
        <x:f>IF($B$12&lt;756,"",$B$13+(756-1)*($B$14-$B$13)/($B$12-1))</x:f>
      </x:c>
      <x:c r="C775" s="14">
        <x:f>IF(B775="","",$F$8*COS(B775) + $B$7*COS($F$6*B775))</x:f>
      </x:c>
      <x:c r="D775" s="14">
        <x:f>IF(B775="","",$F$8*SIN(B775) - $B$7*SIN($F$6*B775))</x:f>
      </x:c>
      <x:c r="E775" s="14">
        <x:f>IF(B775="","", C775 + $F$12*$F$9*(-H775)/IF(SQRT(G775^2+H775^2)=0,1,SQRT(G775^2+H775^2)))</x:f>
      </x:c>
      <x:c r="F775" s="14">
        <x:f>IF(B775="","", D775 + $F$12*$F$9*(G775)/IF(SQRT(G775^2+H775^2)=0,1,SQRT(G775^2+H775^2)))</x:f>
      </x:c>
      <x:c r="G775" s="14">
        <x:f>IF(B775="","", -$F$8*SIN(B775) - $B$7*$F$6*SIN($F$6*B775))</x:f>
      </x:c>
      <x:c r="H775" s="14">
        <x:f>IF(B775="","", $F$8*COS(B775) - $B$7*$F$6*COS($F$6*B775))</x:f>
      </x:c>
    </x:row>
    <x:row r="776">
      <x:c r="A776" s="13" t="n">
        <x:v>757</x:v>
      </x:c>
      <x:c r="B776" s="14">
        <x:f>IF($B$12&lt;757,"",$B$13+(757-1)*($B$14-$B$13)/($B$12-1))</x:f>
      </x:c>
      <x:c r="C776" s="14">
        <x:f>IF(B776="","",$F$8*COS(B776) + $B$7*COS($F$6*B776))</x:f>
      </x:c>
      <x:c r="D776" s="14">
        <x:f>IF(B776="","",$F$8*SIN(B776) - $B$7*SIN($F$6*B776))</x:f>
      </x:c>
      <x:c r="E776" s="14">
        <x:f>IF(B776="","", C776 + $F$12*$F$9*(-H776)/IF(SQRT(G776^2+H776^2)=0,1,SQRT(G776^2+H776^2)))</x:f>
      </x:c>
      <x:c r="F776" s="14">
        <x:f>IF(B776="","", D776 + $F$12*$F$9*(G776)/IF(SQRT(G776^2+H776^2)=0,1,SQRT(G776^2+H776^2)))</x:f>
      </x:c>
      <x:c r="G776" s="14">
        <x:f>IF(B776="","", -$F$8*SIN(B776) - $B$7*$F$6*SIN($F$6*B776))</x:f>
      </x:c>
      <x:c r="H776" s="14">
        <x:f>IF(B776="","", $F$8*COS(B776) - $B$7*$F$6*COS($F$6*B776))</x:f>
      </x:c>
    </x:row>
    <x:row r="777">
      <x:c r="A777" s="13" t="n">
        <x:v>758</x:v>
      </x:c>
      <x:c r="B777" s="14">
        <x:f>IF($B$12&lt;758,"",$B$13+(758-1)*($B$14-$B$13)/($B$12-1))</x:f>
      </x:c>
      <x:c r="C777" s="14">
        <x:f>IF(B777="","",$F$8*COS(B777) + $B$7*COS($F$6*B777))</x:f>
      </x:c>
      <x:c r="D777" s="14">
        <x:f>IF(B777="","",$F$8*SIN(B777) - $B$7*SIN($F$6*B777))</x:f>
      </x:c>
      <x:c r="E777" s="14">
        <x:f>IF(B777="","", C777 + $F$12*$F$9*(-H777)/IF(SQRT(G777^2+H777^2)=0,1,SQRT(G777^2+H777^2)))</x:f>
      </x:c>
      <x:c r="F777" s="14">
        <x:f>IF(B777="","", D777 + $F$12*$F$9*(G777)/IF(SQRT(G777^2+H777^2)=0,1,SQRT(G777^2+H777^2)))</x:f>
      </x:c>
      <x:c r="G777" s="14">
        <x:f>IF(B777="","", -$F$8*SIN(B777) - $B$7*$F$6*SIN($F$6*B777))</x:f>
      </x:c>
      <x:c r="H777" s="14">
        <x:f>IF(B777="","", $F$8*COS(B777) - $B$7*$F$6*COS($F$6*B777))</x:f>
      </x:c>
    </x:row>
    <x:row r="778">
      <x:c r="A778" s="13" t="n">
        <x:v>759</x:v>
      </x:c>
      <x:c r="B778" s="14">
        <x:f>IF($B$12&lt;759,"",$B$13+(759-1)*($B$14-$B$13)/($B$12-1))</x:f>
      </x:c>
      <x:c r="C778" s="14">
        <x:f>IF(B778="","",$F$8*COS(B778) + $B$7*COS($F$6*B778))</x:f>
      </x:c>
      <x:c r="D778" s="14">
        <x:f>IF(B778="","",$F$8*SIN(B778) - $B$7*SIN($F$6*B778))</x:f>
      </x:c>
      <x:c r="E778" s="14">
        <x:f>IF(B778="","", C778 + $F$12*$F$9*(-H778)/IF(SQRT(G778^2+H778^2)=0,1,SQRT(G778^2+H778^2)))</x:f>
      </x:c>
      <x:c r="F778" s="14">
        <x:f>IF(B778="","", D778 + $F$12*$F$9*(G778)/IF(SQRT(G778^2+H778^2)=0,1,SQRT(G778^2+H778^2)))</x:f>
      </x:c>
      <x:c r="G778" s="14">
        <x:f>IF(B778="","", -$F$8*SIN(B778) - $B$7*$F$6*SIN($F$6*B778))</x:f>
      </x:c>
      <x:c r="H778" s="14">
        <x:f>IF(B778="","", $F$8*COS(B778) - $B$7*$F$6*COS($F$6*B778))</x:f>
      </x:c>
    </x:row>
    <x:row r="779">
      <x:c r="A779" s="13" t="n">
        <x:v>760</x:v>
      </x:c>
      <x:c r="B779" s="14">
        <x:f>IF($B$12&lt;760,"",$B$13+(760-1)*($B$14-$B$13)/($B$12-1))</x:f>
      </x:c>
      <x:c r="C779" s="14">
        <x:f>IF(B779="","",$F$8*COS(B779) + $B$7*COS($F$6*B779))</x:f>
      </x:c>
      <x:c r="D779" s="14">
        <x:f>IF(B779="","",$F$8*SIN(B779) - $B$7*SIN($F$6*B779))</x:f>
      </x:c>
      <x:c r="E779" s="14">
        <x:f>IF(B779="","", C779 + $F$12*$F$9*(-H779)/IF(SQRT(G779^2+H779^2)=0,1,SQRT(G779^2+H779^2)))</x:f>
      </x:c>
      <x:c r="F779" s="14">
        <x:f>IF(B779="","", D779 + $F$12*$F$9*(G779)/IF(SQRT(G779^2+H779^2)=0,1,SQRT(G779^2+H779^2)))</x:f>
      </x:c>
      <x:c r="G779" s="14">
        <x:f>IF(B779="","", -$F$8*SIN(B779) - $B$7*$F$6*SIN($F$6*B779))</x:f>
      </x:c>
      <x:c r="H779" s="14">
        <x:f>IF(B779="","", $F$8*COS(B779) - $B$7*$F$6*COS($F$6*B779))</x:f>
      </x:c>
    </x:row>
    <x:row r="780">
      <x:c r="A780" s="13" t="n">
        <x:v>761</x:v>
      </x:c>
      <x:c r="B780" s="14">
        <x:f>IF($B$12&lt;761,"",$B$13+(761-1)*($B$14-$B$13)/($B$12-1))</x:f>
      </x:c>
      <x:c r="C780" s="14">
        <x:f>IF(B780="","",$F$8*COS(B780) + $B$7*COS($F$6*B780))</x:f>
      </x:c>
      <x:c r="D780" s="14">
        <x:f>IF(B780="","",$F$8*SIN(B780) - $B$7*SIN($F$6*B780))</x:f>
      </x:c>
      <x:c r="E780" s="14">
        <x:f>IF(B780="","", C780 + $F$12*$F$9*(-H780)/IF(SQRT(G780^2+H780^2)=0,1,SQRT(G780^2+H780^2)))</x:f>
      </x:c>
      <x:c r="F780" s="14">
        <x:f>IF(B780="","", D780 + $F$12*$F$9*(G780)/IF(SQRT(G780^2+H780^2)=0,1,SQRT(G780^2+H780^2)))</x:f>
      </x:c>
      <x:c r="G780" s="14">
        <x:f>IF(B780="","", -$F$8*SIN(B780) - $B$7*$F$6*SIN($F$6*B780))</x:f>
      </x:c>
      <x:c r="H780" s="14">
        <x:f>IF(B780="","", $F$8*COS(B780) - $B$7*$F$6*COS($F$6*B780))</x:f>
      </x:c>
    </x:row>
    <x:row r="781">
      <x:c r="A781" s="13" t="n">
        <x:v>762</x:v>
      </x:c>
      <x:c r="B781" s="14">
        <x:f>IF($B$12&lt;762,"",$B$13+(762-1)*($B$14-$B$13)/($B$12-1))</x:f>
      </x:c>
      <x:c r="C781" s="14">
        <x:f>IF(B781="","",$F$8*COS(B781) + $B$7*COS($F$6*B781))</x:f>
      </x:c>
      <x:c r="D781" s="14">
        <x:f>IF(B781="","",$F$8*SIN(B781) - $B$7*SIN($F$6*B781))</x:f>
      </x:c>
      <x:c r="E781" s="14">
        <x:f>IF(B781="","", C781 + $F$12*$F$9*(-H781)/IF(SQRT(G781^2+H781^2)=0,1,SQRT(G781^2+H781^2)))</x:f>
      </x:c>
      <x:c r="F781" s="14">
        <x:f>IF(B781="","", D781 + $F$12*$F$9*(G781)/IF(SQRT(G781^2+H781^2)=0,1,SQRT(G781^2+H781^2)))</x:f>
      </x:c>
      <x:c r="G781" s="14">
        <x:f>IF(B781="","", -$F$8*SIN(B781) - $B$7*$F$6*SIN($F$6*B781))</x:f>
      </x:c>
      <x:c r="H781" s="14">
        <x:f>IF(B781="","", $F$8*COS(B781) - $B$7*$F$6*COS($F$6*B781))</x:f>
      </x:c>
    </x:row>
    <x:row r="782">
      <x:c r="A782" s="13" t="n">
        <x:v>763</x:v>
      </x:c>
      <x:c r="B782" s="14">
        <x:f>IF($B$12&lt;763,"",$B$13+(763-1)*($B$14-$B$13)/($B$12-1))</x:f>
      </x:c>
      <x:c r="C782" s="14">
        <x:f>IF(B782="","",$F$8*COS(B782) + $B$7*COS($F$6*B782))</x:f>
      </x:c>
      <x:c r="D782" s="14">
        <x:f>IF(B782="","",$F$8*SIN(B782) - $B$7*SIN($F$6*B782))</x:f>
      </x:c>
      <x:c r="E782" s="14">
        <x:f>IF(B782="","", C782 + $F$12*$F$9*(-H782)/IF(SQRT(G782^2+H782^2)=0,1,SQRT(G782^2+H782^2)))</x:f>
      </x:c>
      <x:c r="F782" s="14">
        <x:f>IF(B782="","", D782 + $F$12*$F$9*(G782)/IF(SQRT(G782^2+H782^2)=0,1,SQRT(G782^2+H782^2)))</x:f>
      </x:c>
      <x:c r="G782" s="14">
        <x:f>IF(B782="","", -$F$8*SIN(B782) - $B$7*$F$6*SIN($F$6*B782))</x:f>
      </x:c>
      <x:c r="H782" s="14">
        <x:f>IF(B782="","", $F$8*COS(B782) - $B$7*$F$6*COS($F$6*B782))</x:f>
      </x:c>
    </x:row>
    <x:row r="783">
      <x:c r="A783" s="13" t="n">
        <x:v>764</x:v>
      </x:c>
      <x:c r="B783" s="14">
        <x:f>IF($B$12&lt;764,"",$B$13+(764-1)*($B$14-$B$13)/($B$12-1))</x:f>
      </x:c>
      <x:c r="C783" s="14">
        <x:f>IF(B783="","",$F$8*COS(B783) + $B$7*COS($F$6*B783))</x:f>
      </x:c>
      <x:c r="D783" s="14">
        <x:f>IF(B783="","",$F$8*SIN(B783) - $B$7*SIN($F$6*B783))</x:f>
      </x:c>
      <x:c r="E783" s="14">
        <x:f>IF(B783="","", C783 + $F$12*$F$9*(-H783)/IF(SQRT(G783^2+H783^2)=0,1,SQRT(G783^2+H783^2)))</x:f>
      </x:c>
      <x:c r="F783" s="14">
        <x:f>IF(B783="","", D783 + $F$12*$F$9*(G783)/IF(SQRT(G783^2+H783^2)=0,1,SQRT(G783^2+H783^2)))</x:f>
      </x:c>
      <x:c r="G783" s="14">
        <x:f>IF(B783="","", -$F$8*SIN(B783) - $B$7*$F$6*SIN($F$6*B783))</x:f>
      </x:c>
      <x:c r="H783" s="14">
        <x:f>IF(B783="","", $F$8*COS(B783) - $B$7*$F$6*COS($F$6*B783))</x:f>
      </x:c>
    </x:row>
    <x:row r="784">
      <x:c r="A784" s="13" t="n">
        <x:v>765</x:v>
      </x:c>
      <x:c r="B784" s="14">
        <x:f>IF($B$12&lt;765,"",$B$13+(765-1)*($B$14-$B$13)/($B$12-1))</x:f>
      </x:c>
      <x:c r="C784" s="14">
        <x:f>IF(B784="","",$F$8*COS(B784) + $B$7*COS($F$6*B784))</x:f>
      </x:c>
      <x:c r="D784" s="14">
        <x:f>IF(B784="","",$F$8*SIN(B784) - $B$7*SIN($F$6*B784))</x:f>
      </x:c>
      <x:c r="E784" s="14">
        <x:f>IF(B784="","", C784 + $F$12*$F$9*(-H784)/IF(SQRT(G784^2+H784^2)=0,1,SQRT(G784^2+H784^2)))</x:f>
      </x:c>
      <x:c r="F784" s="14">
        <x:f>IF(B784="","", D784 + $F$12*$F$9*(G784)/IF(SQRT(G784^2+H784^2)=0,1,SQRT(G784^2+H784^2)))</x:f>
      </x:c>
      <x:c r="G784" s="14">
        <x:f>IF(B784="","", -$F$8*SIN(B784) - $B$7*$F$6*SIN($F$6*B784))</x:f>
      </x:c>
      <x:c r="H784" s="14">
        <x:f>IF(B784="","", $F$8*COS(B784) - $B$7*$F$6*COS($F$6*B784))</x:f>
      </x:c>
    </x:row>
    <x:row r="785">
      <x:c r="A785" s="13" t="n">
        <x:v>766</x:v>
      </x:c>
      <x:c r="B785" s="14">
        <x:f>IF($B$12&lt;766,"",$B$13+(766-1)*($B$14-$B$13)/($B$12-1))</x:f>
      </x:c>
      <x:c r="C785" s="14">
        <x:f>IF(B785="","",$F$8*COS(B785) + $B$7*COS($F$6*B785))</x:f>
      </x:c>
      <x:c r="D785" s="14">
        <x:f>IF(B785="","",$F$8*SIN(B785) - $B$7*SIN($F$6*B785))</x:f>
      </x:c>
      <x:c r="E785" s="14">
        <x:f>IF(B785="","", C785 + $F$12*$F$9*(-H785)/IF(SQRT(G785^2+H785^2)=0,1,SQRT(G785^2+H785^2)))</x:f>
      </x:c>
      <x:c r="F785" s="14">
        <x:f>IF(B785="","", D785 + $F$12*$F$9*(G785)/IF(SQRT(G785^2+H785^2)=0,1,SQRT(G785^2+H785^2)))</x:f>
      </x:c>
      <x:c r="G785" s="14">
        <x:f>IF(B785="","", -$F$8*SIN(B785) - $B$7*$F$6*SIN($F$6*B785))</x:f>
      </x:c>
      <x:c r="H785" s="14">
        <x:f>IF(B785="","", $F$8*COS(B785) - $B$7*$F$6*COS($F$6*B785))</x:f>
      </x:c>
    </x:row>
    <x:row r="786">
      <x:c r="A786" s="13" t="n">
        <x:v>767</x:v>
      </x:c>
      <x:c r="B786" s="14">
        <x:f>IF($B$12&lt;767,"",$B$13+(767-1)*($B$14-$B$13)/($B$12-1))</x:f>
      </x:c>
      <x:c r="C786" s="14">
        <x:f>IF(B786="","",$F$8*COS(B786) + $B$7*COS($F$6*B786))</x:f>
      </x:c>
      <x:c r="D786" s="14">
        <x:f>IF(B786="","",$F$8*SIN(B786) - $B$7*SIN($F$6*B786))</x:f>
      </x:c>
      <x:c r="E786" s="14">
        <x:f>IF(B786="","", C786 + $F$12*$F$9*(-H786)/IF(SQRT(G786^2+H786^2)=0,1,SQRT(G786^2+H786^2)))</x:f>
      </x:c>
      <x:c r="F786" s="14">
        <x:f>IF(B786="","", D786 + $F$12*$F$9*(G786)/IF(SQRT(G786^2+H786^2)=0,1,SQRT(G786^2+H786^2)))</x:f>
      </x:c>
      <x:c r="G786" s="14">
        <x:f>IF(B786="","", -$F$8*SIN(B786) - $B$7*$F$6*SIN($F$6*B786))</x:f>
      </x:c>
      <x:c r="H786" s="14">
        <x:f>IF(B786="","", $F$8*COS(B786) - $B$7*$F$6*COS($F$6*B786))</x:f>
      </x:c>
    </x:row>
    <x:row r="787">
      <x:c r="A787" s="13" t="n">
        <x:v>768</x:v>
      </x:c>
      <x:c r="B787" s="14">
        <x:f>IF($B$12&lt;768,"",$B$13+(768-1)*($B$14-$B$13)/($B$12-1))</x:f>
      </x:c>
      <x:c r="C787" s="14">
        <x:f>IF(B787="","",$F$8*COS(B787) + $B$7*COS($F$6*B787))</x:f>
      </x:c>
      <x:c r="D787" s="14">
        <x:f>IF(B787="","",$F$8*SIN(B787) - $B$7*SIN($F$6*B787))</x:f>
      </x:c>
      <x:c r="E787" s="14">
        <x:f>IF(B787="","", C787 + $F$12*$F$9*(-H787)/IF(SQRT(G787^2+H787^2)=0,1,SQRT(G787^2+H787^2)))</x:f>
      </x:c>
      <x:c r="F787" s="14">
        <x:f>IF(B787="","", D787 + $F$12*$F$9*(G787)/IF(SQRT(G787^2+H787^2)=0,1,SQRT(G787^2+H787^2)))</x:f>
      </x:c>
      <x:c r="G787" s="14">
        <x:f>IF(B787="","", -$F$8*SIN(B787) - $B$7*$F$6*SIN($F$6*B787))</x:f>
      </x:c>
      <x:c r="H787" s="14">
        <x:f>IF(B787="","", $F$8*COS(B787) - $B$7*$F$6*COS($F$6*B787))</x:f>
      </x:c>
    </x:row>
    <x:row r="788">
      <x:c r="A788" s="13" t="n">
        <x:v>769</x:v>
      </x:c>
      <x:c r="B788" s="14">
        <x:f>IF($B$12&lt;769,"",$B$13+(769-1)*($B$14-$B$13)/($B$12-1))</x:f>
      </x:c>
      <x:c r="C788" s="14">
        <x:f>IF(B788="","",$F$8*COS(B788) + $B$7*COS($F$6*B788))</x:f>
      </x:c>
      <x:c r="D788" s="14">
        <x:f>IF(B788="","",$F$8*SIN(B788) - $B$7*SIN($F$6*B788))</x:f>
      </x:c>
      <x:c r="E788" s="14">
        <x:f>IF(B788="","", C788 + $F$12*$F$9*(-H788)/IF(SQRT(G788^2+H788^2)=0,1,SQRT(G788^2+H788^2)))</x:f>
      </x:c>
      <x:c r="F788" s="14">
        <x:f>IF(B788="","", D788 + $F$12*$F$9*(G788)/IF(SQRT(G788^2+H788^2)=0,1,SQRT(G788^2+H788^2)))</x:f>
      </x:c>
      <x:c r="G788" s="14">
        <x:f>IF(B788="","", -$F$8*SIN(B788) - $B$7*$F$6*SIN($F$6*B788))</x:f>
      </x:c>
      <x:c r="H788" s="14">
        <x:f>IF(B788="","", $F$8*COS(B788) - $B$7*$F$6*COS($F$6*B788))</x:f>
      </x:c>
    </x:row>
    <x:row r="789">
      <x:c r="A789" s="13" t="n">
        <x:v>770</x:v>
      </x:c>
      <x:c r="B789" s="14">
        <x:f>IF($B$12&lt;770,"",$B$13+(770-1)*($B$14-$B$13)/($B$12-1))</x:f>
      </x:c>
      <x:c r="C789" s="14">
        <x:f>IF(B789="","",$F$8*COS(B789) + $B$7*COS($F$6*B789))</x:f>
      </x:c>
      <x:c r="D789" s="14">
        <x:f>IF(B789="","",$F$8*SIN(B789) - $B$7*SIN($F$6*B789))</x:f>
      </x:c>
      <x:c r="E789" s="14">
        <x:f>IF(B789="","", C789 + $F$12*$F$9*(-H789)/IF(SQRT(G789^2+H789^2)=0,1,SQRT(G789^2+H789^2)))</x:f>
      </x:c>
      <x:c r="F789" s="14">
        <x:f>IF(B789="","", D789 + $F$12*$F$9*(G789)/IF(SQRT(G789^2+H789^2)=0,1,SQRT(G789^2+H789^2)))</x:f>
      </x:c>
      <x:c r="G789" s="14">
        <x:f>IF(B789="","", -$F$8*SIN(B789) - $B$7*$F$6*SIN($F$6*B789))</x:f>
      </x:c>
      <x:c r="H789" s="14">
        <x:f>IF(B789="","", $F$8*COS(B789) - $B$7*$F$6*COS($F$6*B789))</x:f>
      </x:c>
    </x:row>
    <x:row r="790">
      <x:c r="A790" s="13" t="n">
        <x:v>771</x:v>
      </x:c>
      <x:c r="B790" s="14">
        <x:f>IF($B$12&lt;771,"",$B$13+(771-1)*($B$14-$B$13)/($B$12-1))</x:f>
      </x:c>
      <x:c r="C790" s="14">
        <x:f>IF(B790="","",$F$8*COS(B790) + $B$7*COS($F$6*B790))</x:f>
      </x:c>
      <x:c r="D790" s="14">
        <x:f>IF(B790="","",$F$8*SIN(B790) - $B$7*SIN($F$6*B790))</x:f>
      </x:c>
      <x:c r="E790" s="14">
        <x:f>IF(B790="","", C790 + $F$12*$F$9*(-H790)/IF(SQRT(G790^2+H790^2)=0,1,SQRT(G790^2+H790^2)))</x:f>
      </x:c>
      <x:c r="F790" s="14">
        <x:f>IF(B790="","", D790 + $F$12*$F$9*(G790)/IF(SQRT(G790^2+H790^2)=0,1,SQRT(G790^2+H790^2)))</x:f>
      </x:c>
      <x:c r="G790" s="14">
        <x:f>IF(B790="","", -$F$8*SIN(B790) - $B$7*$F$6*SIN($F$6*B790))</x:f>
      </x:c>
      <x:c r="H790" s="14">
        <x:f>IF(B790="","", $F$8*COS(B790) - $B$7*$F$6*COS($F$6*B790))</x:f>
      </x:c>
    </x:row>
    <x:row r="791">
      <x:c r="A791" s="13" t="n">
        <x:v>772</x:v>
      </x:c>
      <x:c r="B791" s="14">
        <x:f>IF($B$12&lt;772,"",$B$13+(772-1)*($B$14-$B$13)/($B$12-1))</x:f>
      </x:c>
      <x:c r="C791" s="14">
        <x:f>IF(B791="","",$F$8*COS(B791) + $B$7*COS($F$6*B791))</x:f>
      </x:c>
      <x:c r="D791" s="14">
        <x:f>IF(B791="","",$F$8*SIN(B791) - $B$7*SIN($F$6*B791))</x:f>
      </x:c>
      <x:c r="E791" s="14">
        <x:f>IF(B791="","", C791 + $F$12*$F$9*(-H791)/IF(SQRT(G791^2+H791^2)=0,1,SQRT(G791^2+H791^2)))</x:f>
      </x:c>
      <x:c r="F791" s="14">
        <x:f>IF(B791="","", D791 + $F$12*$F$9*(G791)/IF(SQRT(G791^2+H791^2)=0,1,SQRT(G791^2+H791^2)))</x:f>
      </x:c>
      <x:c r="G791" s="14">
        <x:f>IF(B791="","", -$F$8*SIN(B791) - $B$7*$F$6*SIN($F$6*B791))</x:f>
      </x:c>
      <x:c r="H791" s="14">
        <x:f>IF(B791="","", $F$8*COS(B791) - $B$7*$F$6*COS($F$6*B791))</x:f>
      </x:c>
    </x:row>
    <x:row r="792">
      <x:c r="A792" s="13" t="n">
        <x:v>773</x:v>
      </x:c>
      <x:c r="B792" s="14">
        <x:f>IF($B$12&lt;773,"",$B$13+(773-1)*($B$14-$B$13)/($B$12-1))</x:f>
      </x:c>
      <x:c r="C792" s="14">
        <x:f>IF(B792="","",$F$8*COS(B792) + $B$7*COS($F$6*B792))</x:f>
      </x:c>
      <x:c r="D792" s="14">
        <x:f>IF(B792="","",$F$8*SIN(B792) - $B$7*SIN($F$6*B792))</x:f>
      </x:c>
      <x:c r="E792" s="14">
        <x:f>IF(B792="","", C792 + $F$12*$F$9*(-H792)/IF(SQRT(G792^2+H792^2)=0,1,SQRT(G792^2+H792^2)))</x:f>
      </x:c>
      <x:c r="F792" s="14">
        <x:f>IF(B792="","", D792 + $F$12*$F$9*(G792)/IF(SQRT(G792^2+H792^2)=0,1,SQRT(G792^2+H792^2)))</x:f>
      </x:c>
      <x:c r="G792" s="14">
        <x:f>IF(B792="","", -$F$8*SIN(B792) - $B$7*$F$6*SIN($F$6*B792))</x:f>
      </x:c>
      <x:c r="H792" s="14">
        <x:f>IF(B792="","", $F$8*COS(B792) - $B$7*$F$6*COS($F$6*B792))</x:f>
      </x:c>
    </x:row>
    <x:row r="793">
      <x:c r="A793" s="13" t="n">
        <x:v>774</x:v>
      </x:c>
      <x:c r="B793" s="14">
        <x:f>IF($B$12&lt;774,"",$B$13+(774-1)*($B$14-$B$13)/($B$12-1))</x:f>
      </x:c>
      <x:c r="C793" s="14">
        <x:f>IF(B793="","",$F$8*COS(B793) + $B$7*COS($F$6*B793))</x:f>
      </x:c>
      <x:c r="D793" s="14">
        <x:f>IF(B793="","",$F$8*SIN(B793) - $B$7*SIN($F$6*B793))</x:f>
      </x:c>
      <x:c r="E793" s="14">
        <x:f>IF(B793="","", C793 + $F$12*$F$9*(-H793)/IF(SQRT(G793^2+H793^2)=0,1,SQRT(G793^2+H793^2)))</x:f>
      </x:c>
      <x:c r="F793" s="14">
        <x:f>IF(B793="","", D793 + $F$12*$F$9*(G793)/IF(SQRT(G793^2+H793^2)=0,1,SQRT(G793^2+H793^2)))</x:f>
      </x:c>
      <x:c r="G793" s="14">
        <x:f>IF(B793="","", -$F$8*SIN(B793) - $B$7*$F$6*SIN($F$6*B793))</x:f>
      </x:c>
      <x:c r="H793" s="14">
        <x:f>IF(B793="","", $F$8*COS(B793) - $B$7*$F$6*COS($F$6*B793))</x:f>
      </x:c>
    </x:row>
    <x:row r="794">
      <x:c r="A794" s="13" t="n">
        <x:v>775</x:v>
      </x:c>
      <x:c r="B794" s="14">
        <x:f>IF($B$12&lt;775,"",$B$13+(775-1)*($B$14-$B$13)/($B$12-1))</x:f>
      </x:c>
      <x:c r="C794" s="14">
        <x:f>IF(B794="","",$F$8*COS(B794) + $B$7*COS($F$6*B794))</x:f>
      </x:c>
      <x:c r="D794" s="14">
        <x:f>IF(B794="","",$F$8*SIN(B794) - $B$7*SIN($F$6*B794))</x:f>
      </x:c>
      <x:c r="E794" s="14">
        <x:f>IF(B794="","", C794 + $F$12*$F$9*(-H794)/IF(SQRT(G794^2+H794^2)=0,1,SQRT(G794^2+H794^2)))</x:f>
      </x:c>
      <x:c r="F794" s="14">
        <x:f>IF(B794="","", D794 + $F$12*$F$9*(G794)/IF(SQRT(G794^2+H794^2)=0,1,SQRT(G794^2+H794^2)))</x:f>
      </x:c>
      <x:c r="G794" s="14">
        <x:f>IF(B794="","", -$F$8*SIN(B794) - $B$7*$F$6*SIN($F$6*B794))</x:f>
      </x:c>
      <x:c r="H794" s="14">
        <x:f>IF(B794="","", $F$8*COS(B794) - $B$7*$F$6*COS($F$6*B794))</x:f>
      </x:c>
    </x:row>
    <x:row r="795">
      <x:c r="A795" s="13" t="n">
        <x:v>776</x:v>
      </x:c>
      <x:c r="B795" s="14">
        <x:f>IF($B$12&lt;776,"",$B$13+(776-1)*($B$14-$B$13)/($B$12-1))</x:f>
      </x:c>
      <x:c r="C795" s="14">
        <x:f>IF(B795="","",$F$8*COS(B795) + $B$7*COS($F$6*B795))</x:f>
      </x:c>
      <x:c r="D795" s="14">
        <x:f>IF(B795="","",$F$8*SIN(B795) - $B$7*SIN($F$6*B795))</x:f>
      </x:c>
      <x:c r="E795" s="14">
        <x:f>IF(B795="","", C795 + $F$12*$F$9*(-H795)/IF(SQRT(G795^2+H795^2)=0,1,SQRT(G795^2+H795^2)))</x:f>
      </x:c>
      <x:c r="F795" s="14">
        <x:f>IF(B795="","", D795 + $F$12*$F$9*(G795)/IF(SQRT(G795^2+H795^2)=0,1,SQRT(G795^2+H795^2)))</x:f>
      </x:c>
      <x:c r="G795" s="14">
        <x:f>IF(B795="","", -$F$8*SIN(B795) - $B$7*$F$6*SIN($F$6*B795))</x:f>
      </x:c>
      <x:c r="H795" s="14">
        <x:f>IF(B795="","", $F$8*COS(B795) - $B$7*$F$6*COS($F$6*B795))</x:f>
      </x:c>
    </x:row>
    <x:row r="796">
      <x:c r="A796" s="13" t="n">
        <x:v>777</x:v>
      </x:c>
      <x:c r="B796" s="14">
        <x:f>IF($B$12&lt;777,"",$B$13+(777-1)*($B$14-$B$13)/($B$12-1))</x:f>
      </x:c>
      <x:c r="C796" s="14">
        <x:f>IF(B796="","",$F$8*COS(B796) + $B$7*COS($F$6*B796))</x:f>
      </x:c>
      <x:c r="D796" s="14">
        <x:f>IF(B796="","",$F$8*SIN(B796) - $B$7*SIN($F$6*B796))</x:f>
      </x:c>
      <x:c r="E796" s="14">
        <x:f>IF(B796="","", C796 + $F$12*$F$9*(-H796)/IF(SQRT(G796^2+H796^2)=0,1,SQRT(G796^2+H796^2)))</x:f>
      </x:c>
      <x:c r="F796" s="14">
        <x:f>IF(B796="","", D796 + $F$12*$F$9*(G796)/IF(SQRT(G796^2+H796^2)=0,1,SQRT(G796^2+H796^2)))</x:f>
      </x:c>
      <x:c r="G796" s="14">
        <x:f>IF(B796="","", -$F$8*SIN(B796) - $B$7*$F$6*SIN($F$6*B796))</x:f>
      </x:c>
      <x:c r="H796" s="14">
        <x:f>IF(B796="","", $F$8*COS(B796) - $B$7*$F$6*COS($F$6*B796))</x:f>
      </x:c>
    </x:row>
    <x:row r="797">
      <x:c r="A797" s="13" t="n">
        <x:v>778</x:v>
      </x:c>
      <x:c r="B797" s="14">
        <x:f>IF($B$12&lt;778,"",$B$13+(778-1)*($B$14-$B$13)/($B$12-1))</x:f>
      </x:c>
      <x:c r="C797" s="14">
        <x:f>IF(B797="","",$F$8*COS(B797) + $B$7*COS($F$6*B797))</x:f>
      </x:c>
      <x:c r="D797" s="14">
        <x:f>IF(B797="","",$F$8*SIN(B797) - $B$7*SIN($F$6*B797))</x:f>
      </x:c>
      <x:c r="E797" s="14">
        <x:f>IF(B797="","", C797 + $F$12*$F$9*(-H797)/IF(SQRT(G797^2+H797^2)=0,1,SQRT(G797^2+H797^2)))</x:f>
      </x:c>
      <x:c r="F797" s="14">
        <x:f>IF(B797="","", D797 + $F$12*$F$9*(G797)/IF(SQRT(G797^2+H797^2)=0,1,SQRT(G797^2+H797^2)))</x:f>
      </x:c>
      <x:c r="G797" s="14">
        <x:f>IF(B797="","", -$F$8*SIN(B797) - $B$7*$F$6*SIN($F$6*B797))</x:f>
      </x:c>
      <x:c r="H797" s="14">
        <x:f>IF(B797="","", $F$8*COS(B797) - $B$7*$F$6*COS($F$6*B797))</x:f>
      </x:c>
    </x:row>
    <x:row r="798">
      <x:c r="A798" s="13" t="n">
        <x:v>779</x:v>
      </x:c>
      <x:c r="B798" s="14">
        <x:f>IF($B$12&lt;779,"",$B$13+(779-1)*($B$14-$B$13)/($B$12-1))</x:f>
      </x:c>
      <x:c r="C798" s="14">
        <x:f>IF(B798="","",$F$8*COS(B798) + $B$7*COS($F$6*B798))</x:f>
      </x:c>
      <x:c r="D798" s="14">
        <x:f>IF(B798="","",$F$8*SIN(B798) - $B$7*SIN($F$6*B798))</x:f>
      </x:c>
      <x:c r="E798" s="14">
        <x:f>IF(B798="","", C798 + $F$12*$F$9*(-H798)/IF(SQRT(G798^2+H798^2)=0,1,SQRT(G798^2+H798^2)))</x:f>
      </x:c>
      <x:c r="F798" s="14">
        <x:f>IF(B798="","", D798 + $F$12*$F$9*(G798)/IF(SQRT(G798^2+H798^2)=0,1,SQRT(G798^2+H798^2)))</x:f>
      </x:c>
      <x:c r="G798" s="14">
        <x:f>IF(B798="","", -$F$8*SIN(B798) - $B$7*$F$6*SIN($F$6*B798))</x:f>
      </x:c>
      <x:c r="H798" s="14">
        <x:f>IF(B798="","", $F$8*COS(B798) - $B$7*$F$6*COS($F$6*B798))</x:f>
      </x:c>
    </x:row>
    <x:row r="799">
      <x:c r="A799" s="13" t="n">
        <x:v>780</x:v>
      </x:c>
      <x:c r="B799" s="14">
        <x:f>IF($B$12&lt;780,"",$B$13+(780-1)*($B$14-$B$13)/($B$12-1))</x:f>
      </x:c>
      <x:c r="C799" s="14">
        <x:f>IF(B799="","",$F$8*COS(B799) + $B$7*COS($F$6*B799))</x:f>
      </x:c>
      <x:c r="D799" s="14">
        <x:f>IF(B799="","",$F$8*SIN(B799) - $B$7*SIN($F$6*B799))</x:f>
      </x:c>
      <x:c r="E799" s="14">
        <x:f>IF(B799="","", C799 + $F$12*$F$9*(-H799)/IF(SQRT(G799^2+H799^2)=0,1,SQRT(G799^2+H799^2)))</x:f>
      </x:c>
      <x:c r="F799" s="14">
        <x:f>IF(B799="","", D799 + $F$12*$F$9*(G799)/IF(SQRT(G799^2+H799^2)=0,1,SQRT(G799^2+H799^2)))</x:f>
      </x:c>
      <x:c r="G799" s="14">
        <x:f>IF(B799="","", -$F$8*SIN(B799) - $B$7*$F$6*SIN($F$6*B799))</x:f>
      </x:c>
      <x:c r="H799" s="14">
        <x:f>IF(B799="","", $F$8*COS(B799) - $B$7*$F$6*COS($F$6*B799))</x:f>
      </x:c>
    </x:row>
    <x:row r="800">
      <x:c r="A800" s="13" t="n">
        <x:v>781</x:v>
      </x:c>
      <x:c r="B800" s="14">
        <x:f>IF($B$12&lt;781,"",$B$13+(781-1)*($B$14-$B$13)/($B$12-1))</x:f>
      </x:c>
      <x:c r="C800" s="14">
        <x:f>IF(B800="","",$F$8*COS(B800) + $B$7*COS($F$6*B800))</x:f>
      </x:c>
      <x:c r="D800" s="14">
        <x:f>IF(B800="","",$F$8*SIN(B800) - $B$7*SIN($F$6*B800))</x:f>
      </x:c>
      <x:c r="E800" s="14">
        <x:f>IF(B800="","", C800 + $F$12*$F$9*(-H800)/IF(SQRT(G800^2+H800^2)=0,1,SQRT(G800^2+H800^2)))</x:f>
      </x:c>
      <x:c r="F800" s="14">
        <x:f>IF(B800="","", D800 + $F$12*$F$9*(G800)/IF(SQRT(G800^2+H800^2)=0,1,SQRT(G800^2+H800^2)))</x:f>
      </x:c>
      <x:c r="G800" s="14">
        <x:f>IF(B800="","", -$F$8*SIN(B800) - $B$7*$F$6*SIN($F$6*B800))</x:f>
      </x:c>
      <x:c r="H800" s="14">
        <x:f>IF(B800="","", $F$8*COS(B800) - $B$7*$F$6*COS($F$6*B800))</x:f>
      </x:c>
    </x:row>
    <x:row r="801">
      <x:c r="A801" s="13" t="n">
        <x:v>782</x:v>
      </x:c>
      <x:c r="B801" s="14">
        <x:f>IF($B$12&lt;782,"",$B$13+(782-1)*($B$14-$B$13)/($B$12-1))</x:f>
      </x:c>
      <x:c r="C801" s="14">
        <x:f>IF(B801="","",$F$8*COS(B801) + $B$7*COS($F$6*B801))</x:f>
      </x:c>
      <x:c r="D801" s="14">
        <x:f>IF(B801="","",$F$8*SIN(B801) - $B$7*SIN($F$6*B801))</x:f>
      </x:c>
      <x:c r="E801" s="14">
        <x:f>IF(B801="","", C801 + $F$12*$F$9*(-H801)/IF(SQRT(G801^2+H801^2)=0,1,SQRT(G801^2+H801^2)))</x:f>
      </x:c>
      <x:c r="F801" s="14">
        <x:f>IF(B801="","", D801 + $F$12*$F$9*(G801)/IF(SQRT(G801^2+H801^2)=0,1,SQRT(G801^2+H801^2)))</x:f>
      </x:c>
      <x:c r="G801" s="14">
        <x:f>IF(B801="","", -$F$8*SIN(B801) - $B$7*$F$6*SIN($F$6*B801))</x:f>
      </x:c>
      <x:c r="H801" s="14">
        <x:f>IF(B801="","", $F$8*COS(B801) - $B$7*$F$6*COS($F$6*B801))</x:f>
      </x:c>
    </x:row>
    <x:row r="802">
      <x:c r="A802" s="13" t="n">
        <x:v>783</x:v>
      </x:c>
      <x:c r="B802" s="14">
        <x:f>IF($B$12&lt;783,"",$B$13+(783-1)*($B$14-$B$13)/($B$12-1))</x:f>
      </x:c>
      <x:c r="C802" s="14">
        <x:f>IF(B802="","",$F$8*COS(B802) + $B$7*COS($F$6*B802))</x:f>
      </x:c>
      <x:c r="D802" s="14">
        <x:f>IF(B802="","",$F$8*SIN(B802) - $B$7*SIN($F$6*B802))</x:f>
      </x:c>
      <x:c r="E802" s="14">
        <x:f>IF(B802="","", C802 + $F$12*$F$9*(-H802)/IF(SQRT(G802^2+H802^2)=0,1,SQRT(G802^2+H802^2)))</x:f>
      </x:c>
      <x:c r="F802" s="14">
        <x:f>IF(B802="","", D802 + $F$12*$F$9*(G802)/IF(SQRT(G802^2+H802^2)=0,1,SQRT(G802^2+H802^2)))</x:f>
      </x:c>
      <x:c r="G802" s="14">
        <x:f>IF(B802="","", -$F$8*SIN(B802) - $B$7*$F$6*SIN($F$6*B802))</x:f>
      </x:c>
      <x:c r="H802" s="14">
        <x:f>IF(B802="","", $F$8*COS(B802) - $B$7*$F$6*COS($F$6*B802))</x:f>
      </x:c>
    </x:row>
    <x:row r="803">
      <x:c r="A803" s="13" t="n">
        <x:v>784</x:v>
      </x:c>
      <x:c r="B803" s="14">
        <x:f>IF($B$12&lt;784,"",$B$13+(784-1)*($B$14-$B$13)/($B$12-1))</x:f>
      </x:c>
      <x:c r="C803" s="14">
        <x:f>IF(B803="","",$F$8*COS(B803) + $B$7*COS($F$6*B803))</x:f>
      </x:c>
      <x:c r="D803" s="14">
        <x:f>IF(B803="","",$F$8*SIN(B803) - $B$7*SIN($F$6*B803))</x:f>
      </x:c>
      <x:c r="E803" s="14">
        <x:f>IF(B803="","", C803 + $F$12*$F$9*(-H803)/IF(SQRT(G803^2+H803^2)=0,1,SQRT(G803^2+H803^2)))</x:f>
      </x:c>
      <x:c r="F803" s="14">
        <x:f>IF(B803="","", D803 + $F$12*$F$9*(G803)/IF(SQRT(G803^2+H803^2)=0,1,SQRT(G803^2+H803^2)))</x:f>
      </x:c>
      <x:c r="G803" s="14">
        <x:f>IF(B803="","", -$F$8*SIN(B803) - $B$7*$F$6*SIN($F$6*B803))</x:f>
      </x:c>
      <x:c r="H803" s="14">
        <x:f>IF(B803="","", $F$8*COS(B803) - $B$7*$F$6*COS($F$6*B803))</x:f>
      </x:c>
    </x:row>
    <x:row r="804">
      <x:c r="A804" s="13" t="n">
        <x:v>785</x:v>
      </x:c>
      <x:c r="B804" s="14">
        <x:f>IF($B$12&lt;785,"",$B$13+(785-1)*($B$14-$B$13)/($B$12-1))</x:f>
      </x:c>
      <x:c r="C804" s="14">
        <x:f>IF(B804="","",$F$8*COS(B804) + $B$7*COS($F$6*B804))</x:f>
      </x:c>
      <x:c r="D804" s="14">
        <x:f>IF(B804="","",$F$8*SIN(B804) - $B$7*SIN($F$6*B804))</x:f>
      </x:c>
      <x:c r="E804" s="14">
        <x:f>IF(B804="","", C804 + $F$12*$F$9*(-H804)/IF(SQRT(G804^2+H804^2)=0,1,SQRT(G804^2+H804^2)))</x:f>
      </x:c>
      <x:c r="F804" s="14">
        <x:f>IF(B804="","", D804 + $F$12*$F$9*(G804)/IF(SQRT(G804^2+H804^2)=0,1,SQRT(G804^2+H804^2)))</x:f>
      </x:c>
      <x:c r="G804" s="14">
        <x:f>IF(B804="","", -$F$8*SIN(B804) - $B$7*$F$6*SIN($F$6*B804))</x:f>
      </x:c>
      <x:c r="H804" s="14">
        <x:f>IF(B804="","", $F$8*COS(B804) - $B$7*$F$6*COS($F$6*B804))</x:f>
      </x:c>
    </x:row>
    <x:row r="805">
      <x:c r="A805" s="13" t="n">
        <x:v>786</x:v>
      </x:c>
      <x:c r="B805" s="14">
        <x:f>IF($B$12&lt;786,"",$B$13+(786-1)*($B$14-$B$13)/($B$12-1))</x:f>
      </x:c>
      <x:c r="C805" s="14">
        <x:f>IF(B805="","",$F$8*COS(B805) + $B$7*COS($F$6*B805))</x:f>
      </x:c>
      <x:c r="D805" s="14">
        <x:f>IF(B805="","",$F$8*SIN(B805) - $B$7*SIN($F$6*B805))</x:f>
      </x:c>
      <x:c r="E805" s="14">
        <x:f>IF(B805="","", C805 + $F$12*$F$9*(-H805)/IF(SQRT(G805^2+H805^2)=0,1,SQRT(G805^2+H805^2)))</x:f>
      </x:c>
      <x:c r="F805" s="14">
        <x:f>IF(B805="","", D805 + $F$12*$F$9*(G805)/IF(SQRT(G805^2+H805^2)=0,1,SQRT(G805^2+H805^2)))</x:f>
      </x:c>
      <x:c r="G805" s="14">
        <x:f>IF(B805="","", -$F$8*SIN(B805) - $B$7*$F$6*SIN($F$6*B805))</x:f>
      </x:c>
      <x:c r="H805" s="14">
        <x:f>IF(B805="","", $F$8*COS(B805) - $B$7*$F$6*COS($F$6*B805))</x:f>
      </x:c>
    </x:row>
    <x:row r="806">
      <x:c r="A806" s="13" t="n">
        <x:v>787</x:v>
      </x:c>
      <x:c r="B806" s="14">
        <x:f>IF($B$12&lt;787,"",$B$13+(787-1)*($B$14-$B$13)/($B$12-1))</x:f>
      </x:c>
      <x:c r="C806" s="14">
        <x:f>IF(B806="","",$F$8*COS(B806) + $B$7*COS($F$6*B806))</x:f>
      </x:c>
      <x:c r="D806" s="14">
        <x:f>IF(B806="","",$F$8*SIN(B806) - $B$7*SIN($F$6*B806))</x:f>
      </x:c>
      <x:c r="E806" s="14">
        <x:f>IF(B806="","", C806 + $F$12*$F$9*(-H806)/IF(SQRT(G806^2+H806^2)=0,1,SQRT(G806^2+H806^2)))</x:f>
      </x:c>
      <x:c r="F806" s="14">
        <x:f>IF(B806="","", D806 + $F$12*$F$9*(G806)/IF(SQRT(G806^2+H806^2)=0,1,SQRT(G806^2+H806^2)))</x:f>
      </x:c>
      <x:c r="G806" s="14">
        <x:f>IF(B806="","", -$F$8*SIN(B806) - $B$7*$F$6*SIN($F$6*B806))</x:f>
      </x:c>
      <x:c r="H806" s="14">
        <x:f>IF(B806="","", $F$8*COS(B806) - $B$7*$F$6*COS($F$6*B806))</x:f>
      </x:c>
    </x:row>
    <x:row r="807">
      <x:c r="A807" s="13" t="n">
        <x:v>788</x:v>
      </x:c>
      <x:c r="B807" s="14">
        <x:f>IF($B$12&lt;788,"",$B$13+(788-1)*($B$14-$B$13)/($B$12-1))</x:f>
      </x:c>
      <x:c r="C807" s="14">
        <x:f>IF(B807="","",$F$8*COS(B807) + $B$7*COS($F$6*B807))</x:f>
      </x:c>
      <x:c r="D807" s="14">
        <x:f>IF(B807="","",$F$8*SIN(B807) - $B$7*SIN($F$6*B807))</x:f>
      </x:c>
      <x:c r="E807" s="14">
        <x:f>IF(B807="","", C807 + $F$12*$F$9*(-H807)/IF(SQRT(G807^2+H807^2)=0,1,SQRT(G807^2+H807^2)))</x:f>
      </x:c>
      <x:c r="F807" s="14">
        <x:f>IF(B807="","", D807 + $F$12*$F$9*(G807)/IF(SQRT(G807^2+H807^2)=0,1,SQRT(G807^2+H807^2)))</x:f>
      </x:c>
      <x:c r="G807" s="14">
        <x:f>IF(B807="","", -$F$8*SIN(B807) - $B$7*$F$6*SIN($F$6*B807))</x:f>
      </x:c>
      <x:c r="H807" s="14">
        <x:f>IF(B807="","", $F$8*COS(B807) - $B$7*$F$6*COS($F$6*B807))</x:f>
      </x:c>
    </x:row>
    <x:row r="808">
      <x:c r="A808" s="13" t="n">
        <x:v>789</x:v>
      </x:c>
      <x:c r="B808" s="14">
        <x:f>IF($B$12&lt;789,"",$B$13+(789-1)*($B$14-$B$13)/($B$12-1))</x:f>
      </x:c>
      <x:c r="C808" s="14">
        <x:f>IF(B808="","",$F$8*COS(B808) + $B$7*COS($F$6*B808))</x:f>
      </x:c>
      <x:c r="D808" s="14">
        <x:f>IF(B808="","",$F$8*SIN(B808) - $B$7*SIN($F$6*B808))</x:f>
      </x:c>
      <x:c r="E808" s="14">
        <x:f>IF(B808="","", C808 + $F$12*$F$9*(-H808)/IF(SQRT(G808^2+H808^2)=0,1,SQRT(G808^2+H808^2)))</x:f>
      </x:c>
      <x:c r="F808" s="14">
        <x:f>IF(B808="","", D808 + $F$12*$F$9*(G808)/IF(SQRT(G808^2+H808^2)=0,1,SQRT(G808^2+H808^2)))</x:f>
      </x:c>
      <x:c r="G808" s="14">
        <x:f>IF(B808="","", -$F$8*SIN(B808) - $B$7*$F$6*SIN($F$6*B808))</x:f>
      </x:c>
      <x:c r="H808" s="14">
        <x:f>IF(B808="","", $F$8*COS(B808) - $B$7*$F$6*COS($F$6*B808))</x:f>
      </x:c>
    </x:row>
    <x:row r="809">
      <x:c r="A809" s="13" t="n">
        <x:v>790</x:v>
      </x:c>
      <x:c r="B809" s="14">
        <x:f>IF($B$12&lt;790,"",$B$13+(790-1)*($B$14-$B$13)/($B$12-1))</x:f>
      </x:c>
      <x:c r="C809" s="14">
        <x:f>IF(B809="","",$F$8*COS(B809) + $B$7*COS($F$6*B809))</x:f>
      </x:c>
      <x:c r="D809" s="14">
        <x:f>IF(B809="","",$F$8*SIN(B809) - $B$7*SIN($F$6*B809))</x:f>
      </x:c>
      <x:c r="E809" s="14">
        <x:f>IF(B809="","", C809 + $F$12*$F$9*(-H809)/IF(SQRT(G809^2+H809^2)=0,1,SQRT(G809^2+H809^2)))</x:f>
      </x:c>
      <x:c r="F809" s="14">
        <x:f>IF(B809="","", D809 + $F$12*$F$9*(G809)/IF(SQRT(G809^2+H809^2)=0,1,SQRT(G809^2+H809^2)))</x:f>
      </x:c>
      <x:c r="G809" s="14">
        <x:f>IF(B809="","", -$F$8*SIN(B809) - $B$7*$F$6*SIN($F$6*B809))</x:f>
      </x:c>
      <x:c r="H809" s="14">
        <x:f>IF(B809="","", $F$8*COS(B809) - $B$7*$F$6*COS($F$6*B809))</x:f>
      </x:c>
    </x:row>
    <x:row r="810">
      <x:c r="A810" s="13" t="n">
        <x:v>791</x:v>
      </x:c>
      <x:c r="B810" s="14">
        <x:f>IF($B$12&lt;791,"",$B$13+(791-1)*($B$14-$B$13)/($B$12-1))</x:f>
      </x:c>
      <x:c r="C810" s="14">
        <x:f>IF(B810="","",$F$8*COS(B810) + $B$7*COS($F$6*B810))</x:f>
      </x:c>
      <x:c r="D810" s="14">
        <x:f>IF(B810="","",$F$8*SIN(B810) - $B$7*SIN($F$6*B810))</x:f>
      </x:c>
      <x:c r="E810" s="14">
        <x:f>IF(B810="","", C810 + $F$12*$F$9*(-H810)/IF(SQRT(G810^2+H810^2)=0,1,SQRT(G810^2+H810^2)))</x:f>
      </x:c>
      <x:c r="F810" s="14">
        <x:f>IF(B810="","", D810 + $F$12*$F$9*(G810)/IF(SQRT(G810^2+H810^2)=0,1,SQRT(G810^2+H810^2)))</x:f>
      </x:c>
      <x:c r="G810" s="14">
        <x:f>IF(B810="","", -$F$8*SIN(B810) - $B$7*$F$6*SIN($F$6*B810))</x:f>
      </x:c>
      <x:c r="H810" s="14">
        <x:f>IF(B810="","", $F$8*COS(B810) - $B$7*$F$6*COS($F$6*B810))</x:f>
      </x:c>
    </x:row>
    <x:row r="811">
      <x:c r="A811" s="13" t="n">
        <x:v>792</x:v>
      </x:c>
      <x:c r="B811" s="14">
        <x:f>IF($B$12&lt;792,"",$B$13+(792-1)*($B$14-$B$13)/($B$12-1))</x:f>
      </x:c>
      <x:c r="C811" s="14">
        <x:f>IF(B811="","",$F$8*COS(B811) + $B$7*COS($F$6*B811))</x:f>
      </x:c>
      <x:c r="D811" s="14">
        <x:f>IF(B811="","",$F$8*SIN(B811) - $B$7*SIN($F$6*B811))</x:f>
      </x:c>
      <x:c r="E811" s="14">
        <x:f>IF(B811="","", C811 + $F$12*$F$9*(-H811)/IF(SQRT(G811^2+H811^2)=0,1,SQRT(G811^2+H811^2)))</x:f>
      </x:c>
      <x:c r="F811" s="14">
        <x:f>IF(B811="","", D811 + $F$12*$F$9*(G811)/IF(SQRT(G811^2+H811^2)=0,1,SQRT(G811^2+H811^2)))</x:f>
      </x:c>
      <x:c r="G811" s="14">
        <x:f>IF(B811="","", -$F$8*SIN(B811) - $B$7*$F$6*SIN($F$6*B811))</x:f>
      </x:c>
      <x:c r="H811" s="14">
        <x:f>IF(B811="","", $F$8*COS(B811) - $B$7*$F$6*COS($F$6*B811))</x:f>
      </x:c>
    </x:row>
    <x:row r="812">
      <x:c r="A812" s="13" t="n">
        <x:v>793</x:v>
      </x:c>
      <x:c r="B812" s="14">
        <x:f>IF($B$12&lt;793,"",$B$13+(793-1)*($B$14-$B$13)/($B$12-1))</x:f>
      </x:c>
      <x:c r="C812" s="14">
        <x:f>IF(B812="","",$F$8*COS(B812) + $B$7*COS($F$6*B812))</x:f>
      </x:c>
      <x:c r="D812" s="14">
        <x:f>IF(B812="","",$F$8*SIN(B812) - $B$7*SIN($F$6*B812))</x:f>
      </x:c>
      <x:c r="E812" s="14">
        <x:f>IF(B812="","", C812 + $F$12*$F$9*(-H812)/IF(SQRT(G812^2+H812^2)=0,1,SQRT(G812^2+H812^2)))</x:f>
      </x:c>
      <x:c r="F812" s="14">
        <x:f>IF(B812="","", D812 + $F$12*$F$9*(G812)/IF(SQRT(G812^2+H812^2)=0,1,SQRT(G812^2+H812^2)))</x:f>
      </x:c>
      <x:c r="G812" s="14">
        <x:f>IF(B812="","", -$F$8*SIN(B812) - $B$7*$F$6*SIN($F$6*B812))</x:f>
      </x:c>
      <x:c r="H812" s="14">
        <x:f>IF(B812="","", $F$8*COS(B812) - $B$7*$F$6*COS($F$6*B812))</x:f>
      </x:c>
    </x:row>
    <x:row r="813">
      <x:c r="A813" s="13" t="n">
        <x:v>794</x:v>
      </x:c>
      <x:c r="B813" s="14">
        <x:f>IF($B$12&lt;794,"",$B$13+(794-1)*($B$14-$B$13)/($B$12-1))</x:f>
      </x:c>
      <x:c r="C813" s="14">
        <x:f>IF(B813="","",$F$8*COS(B813) + $B$7*COS($F$6*B813))</x:f>
      </x:c>
      <x:c r="D813" s="14">
        <x:f>IF(B813="","",$F$8*SIN(B813) - $B$7*SIN($F$6*B813))</x:f>
      </x:c>
      <x:c r="E813" s="14">
        <x:f>IF(B813="","", C813 + $F$12*$F$9*(-H813)/IF(SQRT(G813^2+H813^2)=0,1,SQRT(G813^2+H813^2)))</x:f>
      </x:c>
      <x:c r="F813" s="14">
        <x:f>IF(B813="","", D813 + $F$12*$F$9*(G813)/IF(SQRT(G813^2+H813^2)=0,1,SQRT(G813^2+H813^2)))</x:f>
      </x:c>
      <x:c r="G813" s="14">
        <x:f>IF(B813="","", -$F$8*SIN(B813) - $B$7*$F$6*SIN($F$6*B813))</x:f>
      </x:c>
      <x:c r="H813" s="14">
        <x:f>IF(B813="","", $F$8*COS(B813) - $B$7*$F$6*COS($F$6*B813))</x:f>
      </x:c>
    </x:row>
    <x:row r="814">
      <x:c r="A814" s="13" t="n">
        <x:v>795</x:v>
      </x:c>
      <x:c r="B814" s="14">
        <x:f>IF($B$12&lt;795,"",$B$13+(795-1)*($B$14-$B$13)/($B$12-1))</x:f>
      </x:c>
      <x:c r="C814" s="14">
        <x:f>IF(B814="","",$F$8*COS(B814) + $B$7*COS($F$6*B814))</x:f>
      </x:c>
      <x:c r="D814" s="14">
        <x:f>IF(B814="","",$F$8*SIN(B814) - $B$7*SIN($F$6*B814))</x:f>
      </x:c>
      <x:c r="E814" s="14">
        <x:f>IF(B814="","", C814 + $F$12*$F$9*(-H814)/IF(SQRT(G814^2+H814^2)=0,1,SQRT(G814^2+H814^2)))</x:f>
      </x:c>
      <x:c r="F814" s="14">
        <x:f>IF(B814="","", D814 + $F$12*$F$9*(G814)/IF(SQRT(G814^2+H814^2)=0,1,SQRT(G814^2+H814^2)))</x:f>
      </x:c>
      <x:c r="G814" s="14">
        <x:f>IF(B814="","", -$F$8*SIN(B814) - $B$7*$F$6*SIN($F$6*B814))</x:f>
      </x:c>
      <x:c r="H814" s="14">
        <x:f>IF(B814="","", $F$8*COS(B814) - $B$7*$F$6*COS($F$6*B814))</x:f>
      </x:c>
    </x:row>
    <x:row r="815">
      <x:c r="A815" s="13" t="n">
        <x:v>796</x:v>
      </x:c>
      <x:c r="B815" s="14">
        <x:f>IF($B$12&lt;796,"",$B$13+(796-1)*($B$14-$B$13)/($B$12-1))</x:f>
      </x:c>
      <x:c r="C815" s="14">
        <x:f>IF(B815="","",$F$8*COS(B815) + $B$7*COS($F$6*B815))</x:f>
      </x:c>
      <x:c r="D815" s="14">
        <x:f>IF(B815="","",$F$8*SIN(B815) - $B$7*SIN($F$6*B815))</x:f>
      </x:c>
      <x:c r="E815" s="14">
        <x:f>IF(B815="","", C815 + $F$12*$F$9*(-H815)/IF(SQRT(G815^2+H815^2)=0,1,SQRT(G815^2+H815^2)))</x:f>
      </x:c>
      <x:c r="F815" s="14">
        <x:f>IF(B815="","", D815 + $F$12*$F$9*(G815)/IF(SQRT(G815^2+H815^2)=0,1,SQRT(G815^2+H815^2)))</x:f>
      </x:c>
      <x:c r="G815" s="14">
        <x:f>IF(B815="","", -$F$8*SIN(B815) - $B$7*$F$6*SIN($F$6*B815))</x:f>
      </x:c>
      <x:c r="H815" s="14">
        <x:f>IF(B815="","", $F$8*COS(B815) - $B$7*$F$6*COS($F$6*B815))</x:f>
      </x:c>
    </x:row>
    <x:row r="816">
      <x:c r="A816" s="13" t="n">
        <x:v>797</x:v>
      </x:c>
      <x:c r="B816" s="14">
        <x:f>IF($B$12&lt;797,"",$B$13+(797-1)*($B$14-$B$13)/($B$12-1))</x:f>
      </x:c>
      <x:c r="C816" s="14">
        <x:f>IF(B816="","",$F$8*COS(B816) + $B$7*COS($F$6*B816))</x:f>
      </x:c>
      <x:c r="D816" s="14">
        <x:f>IF(B816="","",$F$8*SIN(B816) - $B$7*SIN($F$6*B816))</x:f>
      </x:c>
      <x:c r="E816" s="14">
        <x:f>IF(B816="","", C816 + $F$12*$F$9*(-H816)/IF(SQRT(G816^2+H816^2)=0,1,SQRT(G816^2+H816^2)))</x:f>
      </x:c>
      <x:c r="F816" s="14">
        <x:f>IF(B816="","", D816 + $F$12*$F$9*(G816)/IF(SQRT(G816^2+H816^2)=0,1,SQRT(G816^2+H816^2)))</x:f>
      </x:c>
      <x:c r="G816" s="14">
        <x:f>IF(B816="","", -$F$8*SIN(B816) - $B$7*$F$6*SIN($F$6*B816))</x:f>
      </x:c>
      <x:c r="H816" s="14">
        <x:f>IF(B816="","", $F$8*COS(B816) - $B$7*$F$6*COS($F$6*B816))</x:f>
      </x:c>
    </x:row>
    <x:row r="817">
      <x:c r="A817" s="13" t="n">
        <x:v>798</x:v>
      </x:c>
      <x:c r="B817" s="14">
        <x:f>IF($B$12&lt;798,"",$B$13+(798-1)*($B$14-$B$13)/($B$12-1))</x:f>
      </x:c>
      <x:c r="C817" s="14">
        <x:f>IF(B817="","",$F$8*COS(B817) + $B$7*COS($F$6*B817))</x:f>
      </x:c>
      <x:c r="D817" s="14">
        <x:f>IF(B817="","",$F$8*SIN(B817) - $B$7*SIN($F$6*B817))</x:f>
      </x:c>
      <x:c r="E817" s="14">
        <x:f>IF(B817="","", C817 + $F$12*$F$9*(-H817)/IF(SQRT(G817^2+H817^2)=0,1,SQRT(G817^2+H817^2)))</x:f>
      </x:c>
      <x:c r="F817" s="14">
        <x:f>IF(B817="","", D817 + $F$12*$F$9*(G817)/IF(SQRT(G817^2+H817^2)=0,1,SQRT(G817^2+H817^2)))</x:f>
      </x:c>
      <x:c r="G817" s="14">
        <x:f>IF(B817="","", -$F$8*SIN(B817) - $B$7*$F$6*SIN($F$6*B817))</x:f>
      </x:c>
      <x:c r="H817" s="14">
        <x:f>IF(B817="","", $F$8*COS(B817) - $B$7*$F$6*COS($F$6*B817))</x:f>
      </x:c>
    </x:row>
    <x:row r="818">
      <x:c r="A818" s="13" t="n">
        <x:v>799</x:v>
      </x:c>
      <x:c r="B818" s="14">
        <x:f>IF($B$12&lt;799,"",$B$13+(799-1)*($B$14-$B$13)/($B$12-1))</x:f>
      </x:c>
      <x:c r="C818" s="14">
        <x:f>IF(B818="","",$F$8*COS(B818) + $B$7*COS($F$6*B818))</x:f>
      </x:c>
      <x:c r="D818" s="14">
        <x:f>IF(B818="","",$F$8*SIN(B818) - $B$7*SIN($F$6*B818))</x:f>
      </x:c>
      <x:c r="E818" s="14">
        <x:f>IF(B818="","", C818 + $F$12*$F$9*(-H818)/IF(SQRT(G818^2+H818^2)=0,1,SQRT(G818^2+H818^2)))</x:f>
      </x:c>
      <x:c r="F818" s="14">
        <x:f>IF(B818="","", D818 + $F$12*$F$9*(G818)/IF(SQRT(G818^2+H818^2)=0,1,SQRT(G818^2+H818^2)))</x:f>
      </x:c>
      <x:c r="G818" s="14">
        <x:f>IF(B818="","", -$F$8*SIN(B818) - $B$7*$F$6*SIN($F$6*B818))</x:f>
      </x:c>
      <x:c r="H818" s="14">
        <x:f>IF(B818="","", $F$8*COS(B818) - $B$7*$F$6*COS($F$6*B818))</x:f>
      </x:c>
    </x:row>
    <x:row r="819">
      <x:c r="A819" s="13" t="n">
        <x:v>800</x:v>
      </x:c>
      <x:c r="B819" s="14">
        <x:f>IF($B$12&lt;800,"",$B$13+(800-1)*($B$14-$B$13)/($B$12-1))</x:f>
      </x:c>
      <x:c r="C819" s="14">
        <x:f>IF(B819="","",$F$8*COS(B819) + $B$7*COS($F$6*B819))</x:f>
      </x:c>
      <x:c r="D819" s="14">
        <x:f>IF(B819="","",$F$8*SIN(B819) - $B$7*SIN($F$6*B819))</x:f>
      </x:c>
      <x:c r="E819" s="14">
        <x:f>IF(B819="","", C819 + $F$12*$F$9*(-H819)/IF(SQRT(G819^2+H819^2)=0,1,SQRT(G819^2+H819^2)))</x:f>
      </x:c>
      <x:c r="F819" s="14">
        <x:f>IF(B819="","", D819 + $F$12*$F$9*(G819)/IF(SQRT(G819^2+H819^2)=0,1,SQRT(G819^2+H819^2)))</x:f>
      </x:c>
      <x:c r="G819" s="14">
        <x:f>IF(B819="","", -$F$8*SIN(B819) - $B$7*$F$6*SIN($F$6*B819))</x:f>
      </x:c>
      <x:c r="H819" s="14">
        <x:f>IF(B819="","", $F$8*COS(B819) - $B$7*$F$6*COS($F$6*B819))</x:f>
      </x:c>
    </x:row>
    <x:row r="820">
      <x:c r="A820" s="13" t="n">
        <x:v>801</x:v>
      </x:c>
      <x:c r="B820" s="14">
        <x:f>IF($B$12&lt;801,"",$B$13+(801-1)*($B$14-$B$13)/($B$12-1))</x:f>
      </x:c>
      <x:c r="C820" s="14">
        <x:f>IF(B820="","",$F$8*COS(B820) + $B$7*COS($F$6*B820))</x:f>
      </x:c>
      <x:c r="D820" s="14">
        <x:f>IF(B820="","",$F$8*SIN(B820) - $B$7*SIN($F$6*B820))</x:f>
      </x:c>
      <x:c r="E820" s="14">
        <x:f>IF(B820="","", C820 + $F$12*$F$9*(-H820)/IF(SQRT(G820^2+H820^2)=0,1,SQRT(G820^2+H820^2)))</x:f>
      </x:c>
      <x:c r="F820" s="14">
        <x:f>IF(B820="","", D820 + $F$12*$F$9*(G820)/IF(SQRT(G820^2+H820^2)=0,1,SQRT(G820^2+H820^2)))</x:f>
      </x:c>
      <x:c r="G820" s="14">
        <x:f>IF(B820="","", -$F$8*SIN(B820) - $B$7*$F$6*SIN($F$6*B820))</x:f>
      </x:c>
      <x:c r="H820" s="14">
        <x:f>IF(B820="","", $F$8*COS(B820) - $B$7*$F$6*COS($F$6*B820))</x:f>
      </x:c>
    </x:row>
    <x:row r="821">
      <x:c r="A821" s="13" t="n">
        <x:v>802</x:v>
      </x:c>
      <x:c r="B821" s="14">
        <x:f>IF($B$12&lt;802,"",$B$13+(802-1)*($B$14-$B$13)/($B$12-1))</x:f>
      </x:c>
      <x:c r="C821" s="14">
        <x:f>IF(B821="","",$F$8*COS(B821) + $B$7*COS($F$6*B821))</x:f>
      </x:c>
      <x:c r="D821" s="14">
        <x:f>IF(B821="","",$F$8*SIN(B821) - $B$7*SIN($F$6*B821))</x:f>
      </x:c>
      <x:c r="E821" s="14">
        <x:f>IF(B821="","", C821 + $F$12*$F$9*(-H821)/IF(SQRT(G821^2+H821^2)=0,1,SQRT(G821^2+H821^2)))</x:f>
      </x:c>
      <x:c r="F821" s="14">
        <x:f>IF(B821="","", D821 + $F$12*$F$9*(G821)/IF(SQRT(G821^2+H821^2)=0,1,SQRT(G821^2+H821^2)))</x:f>
      </x:c>
      <x:c r="G821" s="14">
        <x:f>IF(B821="","", -$F$8*SIN(B821) - $B$7*$F$6*SIN($F$6*B821))</x:f>
      </x:c>
      <x:c r="H821" s="14">
        <x:f>IF(B821="","", $F$8*COS(B821) - $B$7*$F$6*COS($F$6*B821))</x:f>
      </x:c>
    </x:row>
    <x:row r="822">
      <x:c r="A822" s="13" t="n">
        <x:v>803</x:v>
      </x:c>
      <x:c r="B822" s="14">
        <x:f>IF($B$12&lt;803,"",$B$13+(803-1)*($B$14-$B$13)/($B$12-1))</x:f>
      </x:c>
      <x:c r="C822" s="14">
        <x:f>IF(B822="","",$F$8*COS(B822) + $B$7*COS($F$6*B822))</x:f>
      </x:c>
      <x:c r="D822" s="14">
        <x:f>IF(B822="","",$F$8*SIN(B822) - $B$7*SIN($F$6*B822))</x:f>
      </x:c>
      <x:c r="E822" s="14">
        <x:f>IF(B822="","", C822 + $F$12*$F$9*(-H822)/IF(SQRT(G822^2+H822^2)=0,1,SQRT(G822^2+H822^2)))</x:f>
      </x:c>
      <x:c r="F822" s="14">
        <x:f>IF(B822="","", D822 + $F$12*$F$9*(G822)/IF(SQRT(G822^2+H822^2)=0,1,SQRT(G822^2+H822^2)))</x:f>
      </x:c>
      <x:c r="G822" s="14">
        <x:f>IF(B822="","", -$F$8*SIN(B822) - $B$7*$F$6*SIN($F$6*B822))</x:f>
      </x:c>
      <x:c r="H822" s="14">
        <x:f>IF(B822="","", $F$8*COS(B822) - $B$7*$F$6*COS($F$6*B822))</x:f>
      </x:c>
    </x:row>
    <x:row r="823">
      <x:c r="A823" s="13" t="n">
        <x:v>804</x:v>
      </x:c>
      <x:c r="B823" s="14">
        <x:f>IF($B$12&lt;804,"",$B$13+(804-1)*($B$14-$B$13)/($B$12-1))</x:f>
      </x:c>
      <x:c r="C823" s="14">
        <x:f>IF(B823="","",$F$8*COS(B823) + $B$7*COS($F$6*B823))</x:f>
      </x:c>
      <x:c r="D823" s="14">
        <x:f>IF(B823="","",$F$8*SIN(B823) - $B$7*SIN($F$6*B823))</x:f>
      </x:c>
      <x:c r="E823" s="14">
        <x:f>IF(B823="","", C823 + $F$12*$F$9*(-H823)/IF(SQRT(G823^2+H823^2)=0,1,SQRT(G823^2+H823^2)))</x:f>
      </x:c>
      <x:c r="F823" s="14">
        <x:f>IF(B823="","", D823 + $F$12*$F$9*(G823)/IF(SQRT(G823^2+H823^2)=0,1,SQRT(G823^2+H823^2)))</x:f>
      </x:c>
      <x:c r="G823" s="14">
        <x:f>IF(B823="","", -$F$8*SIN(B823) - $B$7*$F$6*SIN($F$6*B823))</x:f>
      </x:c>
      <x:c r="H823" s="14">
        <x:f>IF(B823="","", $F$8*COS(B823) - $B$7*$F$6*COS($F$6*B823))</x:f>
      </x:c>
    </x:row>
    <x:row r="824">
      <x:c r="A824" s="13" t="n">
        <x:v>805</x:v>
      </x:c>
      <x:c r="B824" s="14">
        <x:f>IF($B$12&lt;805,"",$B$13+(805-1)*($B$14-$B$13)/($B$12-1))</x:f>
      </x:c>
      <x:c r="C824" s="14">
        <x:f>IF(B824="","",$F$8*COS(B824) + $B$7*COS($F$6*B824))</x:f>
      </x:c>
      <x:c r="D824" s="14">
        <x:f>IF(B824="","",$F$8*SIN(B824) - $B$7*SIN($F$6*B824))</x:f>
      </x:c>
      <x:c r="E824" s="14">
        <x:f>IF(B824="","", C824 + $F$12*$F$9*(-H824)/IF(SQRT(G824^2+H824^2)=0,1,SQRT(G824^2+H824^2)))</x:f>
      </x:c>
      <x:c r="F824" s="14">
        <x:f>IF(B824="","", D824 + $F$12*$F$9*(G824)/IF(SQRT(G824^2+H824^2)=0,1,SQRT(G824^2+H824^2)))</x:f>
      </x:c>
      <x:c r="G824" s="14">
        <x:f>IF(B824="","", -$F$8*SIN(B824) - $B$7*$F$6*SIN($F$6*B824))</x:f>
      </x:c>
      <x:c r="H824" s="14">
        <x:f>IF(B824="","", $F$8*COS(B824) - $B$7*$F$6*COS($F$6*B824))</x:f>
      </x:c>
    </x:row>
    <x:row r="825">
      <x:c r="A825" s="13" t="n">
        <x:v>806</x:v>
      </x:c>
      <x:c r="B825" s="14">
        <x:f>IF($B$12&lt;806,"",$B$13+(806-1)*($B$14-$B$13)/($B$12-1))</x:f>
      </x:c>
      <x:c r="C825" s="14">
        <x:f>IF(B825="","",$F$8*COS(B825) + $B$7*COS($F$6*B825))</x:f>
      </x:c>
      <x:c r="D825" s="14">
        <x:f>IF(B825="","",$F$8*SIN(B825) - $B$7*SIN($F$6*B825))</x:f>
      </x:c>
      <x:c r="E825" s="14">
        <x:f>IF(B825="","", C825 + $F$12*$F$9*(-H825)/IF(SQRT(G825^2+H825^2)=0,1,SQRT(G825^2+H825^2)))</x:f>
      </x:c>
      <x:c r="F825" s="14">
        <x:f>IF(B825="","", D825 + $F$12*$F$9*(G825)/IF(SQRT(G825^2+H825^2)=0,1,SQRT(G825^2+H825^2)))</x:f>
      </x:c>
      <x:c r="G825" s="14">
        <x:f>IF(B825="","", -$F$8*SIN(B825) - $B$7*$F$6*SIN($F$6*B825))</x:f>
      </x:c>
      <x:c r="H825" s="14">
        <x:f>IF(B825="","", $F$8*COS(B825) - $B$7*$F$6*COS($F$6*B825))</x:f>
      </x:c>
    </x:row>
    <x:row r="826">
      <x:c r="A826" s="13" t="n">
        <x:v>807</x:v>
      </x:c>
      <x:c r="B826" s="14">
        <x:f>IF($B$12&lt;807,"",$B$13+(807-1)*($B$14-$B$13)/($B$12-1))</x:f>
      </x:c>
      <x:c r="C826" s="14">
        <x:f>IF(B826="","",$F$8*COS(B826) + $B$7*COS($F$6*B826))</x:f>
      </x:c>
      <x:c r="D826" s="14">
        <x:f>IF(B826="","",$F$8*SIN(B826) - $B$7*SIN($F$6*B826))</x:f>
      </x:c>
      <x:c r="E826" s="14">
        <x:f>IF(B826="","", C826 + $F$12*$F$9*(-H826)/IF(SQRT(G826^2+H826^2)=0,1,SQRT(G826^2+H826^2)))</x:f>
      </x:c>
      <x:c r="F826" s="14">
        <x:f>IF(B826="","", D826 + $F$12*$F$9*(G826)/IF(SQRT(G826^2+H826^2)=0,1,SQRT(G826^2+H826^2)))</x:f>
      </x:c>
      <x:c r="G826" s="14">
        <x:f>IF(B826="","", -$F$8*SIN(B826) - $B$7*$F$6*SIN($F$6*B826))</x:f>
      </x:c>
      <x:c r="H826" s="14">
        <x:f>IF(B826="","", $F$8*COS(B826) - $B$7*$F$6*COS($F$6*B826))</x:f>
      </x:c>
    </x:row>
    <x:row r="827">
      <x:c r="A827" s="13" t="n">
        <x:v>808</x:v>
      </x:c>
      <x:c r="B827" s="14">
        <x:f>IF($B$12&lt;808,"",$B$13+(808-1)*($B$14-$B$13)/($B$12-1))</x:f>
      </x:c>
      <x:c r="C827" s="14">
        <x:f>IF(B827="","",$F$8*COS(B827) + $B$7*COS($F$6*B827))</x:f>
      </x:c>
      <x:c r="D827" s="14">
        <x:f>IF(B827="","",$F$8*SIN(B827) - $B$7*SIN($F$6*B827))</x:f>
      </x:c>
      <x:c r="E827" s="14">
        <x:f>IF(B827="","", C827 + $F$12*$F$9*(-H827)/IF(SQRT(G827^2+H827^2)=0,1,SQRT(G827^2+H827^2)))</x:f>
      </x:c>
      <x:c r="F827" s="14">
        <x:f>IF(B827="","", D827 + $F$12*$F$9*(G827)/IF(SQRT(G827^2+H827^2)=0,1,SQRT(G827^2+H827^2)))</x:f>
      </x:c>
      <x:c r="G827" s="14">
        <x:f>IF(B827="","", -$F$8*SIN(B827) - $B$7*$F$6*SIN($F$6*B827))</x:f>
      </x:c>
      <x:c r="H827" s="14">
        <x:f>IF(B827="","", $F$8*COS(B827) - $B$7*$F$6*COS($F$6*B827))</x:f>
      </x:c>
    </x:row>
    <x:row r="828">
      <x:c r="A828" s="13" t="n">
        <x:v>809</x:v>
      </x:c>
      <x:c r="B828" s="14">
        <x:f>IF($B$12&lt;809,"",$B$13+(809-1)*($B$14-$B$13)/($B$12-1))</x:f>
      </x:c>
      <x:c r="C828" s="14">
        <x:f>IF(B828="","",$F$8*COS(B828) + $B$7*COS($F$6*B828))</x:f>
      </x:c>
      <x:c r="D828" s="14">
        <x:f>IF(B828="","",$F$8*SIN(B828) - $B$7*SIN($F$6*B828))</x:f>
      </x:c>
      <x:c r="E828" s="14">
        <x:f>IF(B828="","", C828 + $F$12*$F$9*(-H828)/IF(SQRT(G828^2+H828^2)=0,1,SQRT(G828^2+H828^2)))</x:f>
      </x:c>
      <x:c r="F828" s="14">
        <x:f>IF(B828="","", D828 + $F$12*$F$9*(G828)/IF(SQRT(G828^2+H828^2)=0,1,SQRT(G828^2+H828^2)))</x:f>
      </x:c>
      <x:c r="G828" s="14">
        <x:f>IF(B828="","", -$F$8*SIN(B828) - $B$7*$F$6*SIN($F$6*B828))</x:f>
      </x:c>
      <x:c r="H828" s="14">
        <x:f>IF(B828="","", $F$8*COS(B828) - $B$7*$F$6*COS($F$6*B828))</x:f>
      </x:c>
    </x:row>
    <x:row r="829">
      <x:c r="A829" s="13" t="n">
        <x:v>810</x:v>
      </x:c>
      <x:c r="B829" s="14">
        <x:f>IF($B$12&lt;810,"",$B$13+(810-1)*($B$14-$B$13)/($B$12-1))</x:f>
      </x:c>
      <x:c r="C829" s="14">
        <x:f>IF(B829="","",$F$8*COS(B829) + $B$7*COS($F$6*B829))</x:f>
      </x:c>
      <x:c r="D829" s="14">
        <x:f>IF(B829="","",$F$8*SIN(B829) - $B$7*SIN($F$6*B829))</x:f>
      </x:c>
      <x:c r="E829" s="14">
        <x:f>IF(B829="","", C829 + $F$12*$F$9*(-H829)/IF(SQRT(G829^2+H829^2)=0,1,SQRT(G829^2+H829^2)))</x:f>
      </x:c>
      <x:c r="F829" s="14">
        <x:f>IF(B829="","", D829 + $F$12*$F$9*(G829)/IF(SQRT(G829^2+H829^2)=0,1,SQRT(G829^2+H829^2)))</x:f>
      </x:c>
      <x:c r="G829" s="14">
        <x:f>IF(B829="","", -$F$8*SIN(B829) - $B$7*$F$6*SIN($F$6*B829))</x:f>
      </x:c>
      <x:c r="H829" s="14">
        <x:f>IF(B829="","", $F$8*COS(B829) - $B$7*$F$6*COS($F$6*B829))</x:f>
      </x:c>
    </x:row>
    <x:row r="830">
      <x:c r="A830" s="13" t="n">
        <x:v>811</x:v>
      </x:c>
      <x:c r="B830" s="14">
        <x:f>IF($B$12&lt;811,"",$B$13+(811-1)*($B$14-$B$13)/($B$12-1))</x:f>
      </x:c>
      <x:c r="C830" s="14">
        <x:f>IF(B830="","",$F$8*COS(B830) + $B$7*COS($F$6*B830))</x:f>
      </x:c>
      <x:c r="D830" s="14">
        <x:f>IF(B830="","",$F$8*SIN(B830) - $B$7*SIN($F$6*B830))</x:f>
      </x:c>
      <x:c r="E830" s="14">
        <x:f>IF(B830="","", C830 + $F$12*$F$9*(-H830)/IF(SQRT(G830^2+H830^2)=0,1,SQRT(G830^2+H830^2)))</x:f>
      </x:c>
      <x:c r="F830" s="14">
        <x:f>IF(B830="","", D830 + $F$12*$F$9*(G830)/IF(SQRT(G830^2+H830^2)=0,1,SQRT(G830^2+H830^2)))</x:f>
      </x:c>
      <x:c r="G830" s="14">
        <x:f>IF(B830="","", -$F$8*SIN(B830) - $B$7*$F$6*SIN($F$6*B830))</x:f>
      </x:c>
      <x:c r="H830" s="14">
        <x:f>IF(B830="","", $F$8*COS(B830) - $B$7*$F$6*COS($F$6*B830))</x:f>
      </x:c>
    </x:row>
    <x:row r="831">
      <x:c r="A831" s="13" t="n">
        <x:v>812</x:v>
      </x:c>
      <x:c r="B831" s="14">
        <x:f>IF($B$12&lt;812,"",$B$13+(812-1)*($B$14-$B$13)/($B$12-1))</x:f>
      </x:c>
      <x:c r="C831" s="14">
        <x:f>IF(B831="","",$F$8*COS(B831) + $B$7*COS($F$6*B831))</x:f>
      </x:c>
      <x:c r="D831" s="14">
        <x:f>IF(B831="","",$F$8*SIN(B831) - $B$7*SIN($F$6*B831))</x:f>
      </x:c>
      <x:c r="E831" s="14">
        <x:f>IF(B831="","", C831 + $F$12*$F$9*(-H831)/IF(SQRT(G831^2+H831^2)=0,1,SQRT(G831^2+H831^2)))</x:f>
      </x:c>
      <x:c r="F831" s="14">
        <x:f>IF(B831="","", D831 + $F$12*$F$9*(G831)/IF(SQRT(G831^2+H831^2)=0,1,SQRT(G831^2+H831^2)))</x:f>
      </x:c>
      <x:c r="G831" s="14">
        <x:f>IF(B831="","", -$F$8*SIN(B831) - $B$7*$F$6*SIN($F$6*B831))</x:f>
      </x:c>
      <x:c r="H831" s="14">
        <x:f>IF(B831="","", $F$8*COS(B831) - $B$7*$F$6*COS($F$6*B831))</x:f>
      </x:c>
    </x:row>
    <x:row r="832">
      <x:c r="A832" s="13" t="n">
        <x:v>813</x:v>
      </x:c>
      <x:c r="B832" s="14">
        <x:f>IF($B$12&lt;813,"",$B$13+(813-1)*($B$14-$B$13)/($B$12-1))</x:f>
      </x:c>
      <x:c r="C832" s="14">
        <x:f>IF(B832="","",$F$8*COS(B832) + $B$7*COS($F$6*B832))</x:f>
      </x:c>
      <x:c r="D832" s="14">
        <x:f>IF(B832="","",$F$8*SIN(B832) - $B$7*SIN($F$6*B832))</x:f>
      </x:c>
      <x:c r="E832" s="14">
        <x:f>IF(B832="","", C832 + $F$12*$F$9*(-H832)/IF(SQRT(G832^2+H832^2)=0,1,SQRT(G832^2+H832^2)))</x:f>
      </x:c>
      <x:c r="F832" s="14">
        <x:f>IF(B832="","", D832 + $F$12*$F$9*(G832)/IF(SQRT(G832^2+H832^2)=0,1,SQRT(G832^2+H832^2)))</x:f>
      </x:c>
      <x:c r="G832" s="14">
        <x:f>IF(B832="","", -$F$8*SIN(B832) - $B$7*$F$6*SIN($F$6*B832))</x:f>
      </x:c>
      <x:c r="H832" s="14">
        <x:f>IF(B832="","", $F$8*COS(B832) - $B$7*$F$6*COS($F$6*B832))</x:f>
      </x:c>
    </x:row>
    <x:row r="833">
      <x:c r="A833" s="13" t="n">
        <x:v>814</x:v>
      </x:c>
      <x:c r="B833" s="14">
        <x:f>IF($B$12&lt;814,"",$B$13+(814-1)*($B$14-$B$13)/($B$12-1))</x:f>
      </x:c>
      <x:c r="C833" s="14">
        <x:f>IF(B833="","",$F$8*COS(B833) + $B$7*COS($F$6*B833))</x:f>
      </x:c>
      <x:c r="D833" s="14">
        <x:f>IF(B833="","",$F$8*SIN(B833) - $B$7*SIN($F$6*B833))</x:f>
      </x:c>
      <x:c r="E833" s="14">
        <x:f>IF(B833="","", C833 + $F$12*$F$9*(-H833)/IF(SQRT(G833^2+H833^2)=0,1,SQRT(G833^2+H833^2)))</x:f>
      </x:c>
      <x:c r="F833" s="14">
        <x:f>IF(B833="","", D833 + $F$12*$F$9*(G833)/IF(SQRT(G833^2+H833^2)=0,1,SQRT(G833^2+H833^2)))</x:f>
      </x:c>
      <x:c r="G833" s="14">
        <x:f>IF(B833="","", -$F$8*SIN(B833) - $B$7*$F$6*SIN($F$6*B833))</x:f>
      </x:c>
      <x:c r="H833" s="14">
        <x:f>IF(B833="","", $F$8*COS(B833) - $B$7*$F$6*COS($F$6*B833))</x:f>
      </x:c>
    </x:row>
    <x:row r="834">
      <x:c r="A834" s="13" t="n">
        <x:v>815</x:v>
      </x:c>
      <x:c r="B834" s="14">
        <x:f>IF($B$12&lt;815,"",$B$13+(815-1)*($B$14-$B$13)/($B$12-1))</x:f>
      </x:c>
      <x:c r="C834" s="14">
        <x:f>IF(B834="","",$F$8*COS(B834) + $B$7*COS($F$6*B834))</x:f>
      </x:c>
      <x:c r="D834" s="14">
        <x:f>IF(B834="","",$F$8*SIN(B834) - $B$7*SIN($F$6*B834))</x:f>
      </x:c>
      <x:c r="E834" s="14">
        <x:f>IF(B834="","", C834 + $F$12*$F$9*(-H834)/IF(SQRT(G834^2+H834^2)=0,1,SQRT(G834^2+H834^2)))</x:f>
      </x:c>
      <x:c r="F834" s="14">
        <x:f>IF(B834="","", D834 + $F$12*$F$9*(G834)/IF(SQRT(G834^2+H834^2)=0,1,SQRT(G834^2+H834^2)))</x:f>
      </x:c>
      <x:c r="G834" s="14">
        <x:f>IF(B834="","", -$F$8*SIN(B834) - $B$7*$F$6*SIN($F$6*B834))</x:f>
      </x:c>
      <x:c r="H834" s="14">
        <x:f>IF(B834="","", $F$8*COS(B834) - $B$7*$F$6*COS($F$6*B834))</x:f>
      </x:c>
    </x:row>
    <x:row r="835">
      <x:c r="A835" s="13" t="n">
        <x:v>816</x:v>
      </x:c>
      <x:c r="B835" s="14">
        <x:f>IF($B$12&lt;816,"",$B$13+(816-1)*($B$14-$B$13)/($B$12-1))</x:f>
      </x:c>
      <x:c r="C835" s="14">
        <x:f>IF(B835="","",$F$8*COS(B835) + $B$7*COS($F$6*B835))</x:f>
      </x:c>
      <x:c r="D835" s="14">
        <x:f>IF(B835="","",$F$8*SIN(B835) - $B$7*SIN($F$6*B835))</x:f>
      </x:c>
      <x:c r="E835" s="14">
        <x:f>IF(B835="","", C835 + $F$12*$F$9*(-H835)/IF(SQRT(G835^2+H835^2)=0,1,SQRT(G835^2+H835^2)))</x:f>
      </x:c>
      <x:c r="F835" s="14">
        <x:f>IF(B835="","", D835 + $F$12*$F$9*(G835)/IF(SQRT(G835^2+H835^2)=0,1,SQRT(G835^2+H835^2)))</x:f>
      </x:c>
      <x:c r="G835" s="14">
        <x:f>IF(B835="","", -$F$8*SIN(B835) - $B$7*$F$6*SIN($F$6*B835))</x:f>
      </x:c>
      <x:c r="H835" s="14">
        <x:f>IF(B835="","", $F$8*COS(B835) - $B$7*$F$6*COS($F$6*B835))</x:f>
      </x:c>
    </x:row>
    <x:row r="836">
      <x:c r="A836" s="13" t="n">
        <x:v>817</x:v>
      </x:c>
      <x:c r="B836" s="14">
        <x:f>IF($B$12&lt;817,"",$B$13+(817-1)*($B$14-$B$13)/($B$12-1))</x:f>
      </x:c>
      <x:c r="C836" s="14">
        <x:f>IF(B836="","",$F$8*COS(B836) + $B$7*COS($F$6*B836))</x:f>
      </x:c>
      <x:c r="D836" s="14">
        <x:f>IF(B836="","",$F$8*SIN(B836) - $B$7*SIN($F$6*B836))</x:f>
      </x:c>
      <x:c r="E836" s="14">
        <x:f>IF(B836="","", C836 + $F$12*$F$9*(-H836)/IF(SQRT(G836^2+H836^2)=0,1,SQRT(G836^2+H836^2)))</x:f>
      </x:c>
      <x:c r="F836" s="14">
        <x:f>IF(B836="","", D836 + $F$12*$F$9*(G836)/IF(SQRT(G836^2+H836^2)=0,1,SQRT(G836^2+H836^2)))</x:f>
      </x:c>
      <x:c r="G836" s="14">
        <x:f>IF(B836="","", -$F$8*SIN(B836) - $B$7*$F$6*SIN($F$6*B836))</x:f>
      </x:c>
      <x:c r="H836" s="14">
        <x:f>IF(B836="","", $F$8*COS(B836) - $B$7*$F$6*COS($F$6*B836))</x:f>
      </x:c>
    </x:row>
    <x:row r="837">
      <x:c r="A837" s="13" t="n">
        <x:v>818</x:v>
      </x:c>
      <x:c r="B837" s="14">
        <x:f>IF($B$12&lt;818,"",$B$13+(818-1)*($B$14-$B$13)/($B$12-1))</x:f>
      </x:c>
      <x:c r="C837" s="14">
        <x:f>IF(B837="","",$F$8*COS(B837) + $B$7*COS($F$6*B837))</x:f>
      </x:c>
      <x:c r="D837" s="14">
        <x:f>IF(B837="","",$F$8*SIN(B837) - $B$7*SIN($F$6*B837))</x:f>
      </x:c>
      <x:c r="E837" s="14">
        <x:f>IF(B837="","", C837 + $F$12*$F$9*(-H837)/IF(SQRT(G837^2+H837^2)=0,1,SQRT(G837^2+H837^2)))</x:f>
      </x:c>
      <x:c r="F837" s="14">
        <x:f>IF(B837="","", D837 + $F$12*$F$9*(G837)/IF(SQRT(G837^2+H837^2)=0,1,SQRT(G837^2+H837^2)))</x:f>
      </x:c>
      <x:c r="G837" s="14">
        <x:f>IF(B837="","", -$F$8*SIN(B837) - $B$7*$F$6*SIN($F$6*B837))</x:f>
      </x:c>
      <x:c r="H837" s="14">
        <x:f>IF(B837="","", $F$8*COS(B837) - $B$7*$F$6*COS($F$6*B837))</x:f>
      </x:c>
    </x:row>
    <x:row r="838">
      <x:c r="A838" s="13" t="n">
        <x:v>819</x:v>
      </x:c>
      <x:c r="B838" s="14">
        <x:f>IF($B$12&lt;819,"",$B$13+(819-1)*($B$14-$B$13)/($B$12-1))</x:f>
      </x:c>
      <x:c r="C838" s="14">
        <x:f>IF(B838="","",$F$8*COS(B838) + $B$7*COS($F$6*B838))</x:f>
      </x:c>
      <x:c r="D838" s="14">
        <x:f>IF(B838="","",$F$8*SIN(B838) - $B$7*SIN($F$6*B838))</x:f>
      </x:c>
      <x:c r="E838" s="14">
        <x:f>IF(B838="","", C838 + $F$12*$F$9*(-H838)/IF(SQRT(G838^2+H838^2)=0,1,SQRT(G838^2+H838^2)))</x:f>
      </x:c>
      <x:c r="F838" s="14">
        <x:f>IF(B838="","", D838 + $F$12*$F$9*(G838)/IF(SQRT(G838^2+H838^2)=0,1,SQRT(G838^2+H838^2)))</x:f>
      </x:c>
      <x:c r="G838" s="14">
        <x:f>IF(B838="","", -$F$8*SIN(B838) - $B$7*$F$6*SIN($F$6*B838))</x:f>
      </x:c>
      <x:c r="H838" s="14">
        <x:f>IF(B838="","", $F$8*COS(B838) - $B$7*$F$6*COS($F$6*B838))</x:f>
      </x:c>
    </x:row>
    <x:row r="839">
      <x:c r="A839" s="13" t="n">
        <x:v>820</x:v>
      </x:c>
      <x:c r="B839" s="14">
        <x:f>IF($B$12&lt;820,"",$B$13+(820-1)*($B$14-$B$13)/($B$12-1))</x:f>
      </x:c>
      <x:c r="C839" s="14">
        <x:f>IF(B839="","",$F$8*COS(B839) + $B$7*COS($F$6*B839))</x:f>
      </x:c>
      <x:c r="D839" s="14">
        <x:f>IF(B839="","",$F$8*SIN(B839) - $B$7*SIN($F$6*B839))</x:f>
      </x:c>
      <x:c r="E839" s="14">
        <x:f>IF(B839="","", C839 + $F$12*$F$9*(-H839)/IF(SQRT(G839^2+H839^2)=0,1,SQRT(G839^2+H839^2)))</x:f>
      </x:c>
      <x:c r="F839" s="14">
        <x:f>IF(B839="","", D839 + $F$12*$F$9*(G839)/IF(SQRT(G839^2+H839^2)=0,1,SQRT(G839^2+H839^2)))</x:f>
      </x:c>
      <x:c r="G839" s="14">
        <x:f>IF(B839="","", -$F$8*SIN(B839) - $B$7*$F$6*SIN($F$6*B839))</x:f>
      </x:c>
      <x:c r="H839" s="14">
        <x:f>IF(B839="","", $F$8*COS(B839) - $B$7*$F$6*COS($F$6*B839))</x:f>
      </x:c>
    </x:row>
    <x:row r="840">
      <x:c r="A840" s="13" t="n">
        <x:v>821</x:v>
      </x:c>
      <x:c r="B840" s="14">
        <x:f>IF($B$12&lt;821,"",$B$13+(821-1)*($B$14-$B$13)/($B$12-1))</x:f>
      </x:c>
      <x:c r="C840" s="14">
        <x:f>IF(B840="","",$F$8*COS(B840) + $B$7*COS($F$6*B840))</x:f>
      </x:c>
      <x:c r="D840" s="14">
        <x:f>IF(B840="","",$F$8*SIN(B840) - $B$7*SIN($F$6*B840))</x:f>
      </x:c>
      <x:c r="E840" s="14">
        <x:f>IF(B840="","", C840 + $F$12*$F$9*(-H840)/IF(SQRT(G840^2+H840^2)=0,1,SQRT(G840^2+H840^2)))</x:f>
      </x:c>
      <x:c r="F840" s="14">
        <x:f>IF(B840="","", D840 + $F$12*$F$9*(G840)/IF(SQRT(G840^2+H840^2)=0,1,SQRT(G840^2+H840^2)))</x:f>
      </x:c>
      <x:c r="G840" s="14">
        <x:f>IF(B840="","", -$F$8*SIN(B840) - $B$7*$F$6*SIN($F$6*B840))</x:f>
      </x:c>
      <x:c r="H840" s="14">
        <x:f>IF(B840="","", $F$8*COS(B840) - $B$7*$F$6*COS($F$6*B840))</x:f>
      </x:c>
    </x:row>
    <x:row r="841">
      <x:c r="A841" s="13" t="n">
        <x:v>822</x:v>
      </x:c>
      <x:c r="B841" s="14">
        <x:f>IF($B$12&lt;822,"",$B$13+(822-1)*($B$14-$B$13)/($B$12-1))</x:f>
      </x:c>
      <x:c r="C841" s="14">
        <x:f>IF(B841="","",$F$8*COS(B841) + $B$7*COS($F$6*B841))</x:f>
      </x:c>
      <x:c r="D841" s="14">
        <x:f>IF(B841="","",$F$8*SIN(B841) - $B$7*SIN($F$6*B841))</x:f>
      </x:c>
      <x:c r="E841" s="14">
        <x:f>IF(B841="","", C841 + $F$12*$F$9*(-H841)/IF(SQRT(G841^2+H841^2)=0,1,SQRT(G841^2+H841^2)))</x:f>
      </x:c>
      <x:c r="F841" s="14">
        <x:f>IF(B841="","", D841 + $F$12*$F$9*(G841)/IF(SQRT(G841^2+H841^2)=0,1,SQRT(G841^2+H841^2)))</x:f>
      </x:c>
      <x:c r="G841" s="14">
        <x:f>IF(B841="","", -$F$8*SIN(B841) - $B$7*$F$6*SIN($F$6*B841))</x:f>
      </x:c>
      <x:c r="H841" s="14">
        <x:f>IF(B841="","", $F$8*COS(B841) - $B$7*$F$6*COS($F$6*B841))</x:f>
      </x:c>
    </x:row>
    <x:row r="842">
      <x:c r="A842" s="13" t="n">
        <x:v>823</x:v>
      </x:c>
      <x:c r="B842" s="14">
        <x:f>IF($B$12&lt;823,"",$B$13+(823-1)*($B$14-$B$13)/($B$12-1))</x:f>
      </x:c>
      <x:c r="C842" s="14">
        <x:f>IF(B842="","",$F$8*COS(B842) + $B$7*COS($F$6*B842))</x:f>
      </x:c>
      <x:c r="D842" s="14">
        <x:f>IF(B842="","",$F$8*SIN(B842) - $B$7*SIN($F$6*B842))</x:f>
      </x:c>
      <x:c r="E842" s="14">
        <x:f>IF(B842="","", C842 + $F$12*$F$9*(-H842)/IF(SQRT(G842^2+H842^2)=0,1,SQRT(G842^2+H842^2)))</x:f>
      </x:c>
      <x:c r="F842" s="14">
        <x:f>IF(B842="","", D842 + $F$12*$F$9*(G842)/IF(SQRT(G842^2+H842^2)=0,1,SQRT(G842^2+H842^2)))</x:f>
      </x:c>
      <x:c r="G842" s="14">
        <x:f>IF(B842="","", -$F$8*SIN(B842) - $B$7*$F$6*SIN($F$6*B842))</x:f>
      </x:c>
      <x:c r="H842" s="14">
        <x:f>IF(B842="","", $F$8*COS(B842) - $B$7*$F$6*COS($F$6*B842))</x:f>
      </x:c>
    </x:row>
    <x:row r="843">
      <x:c r="A843" s="13" t="n">
        <x:v>824</x:v>
      </x:c>
      <x:c r="B843" s="14">
        <x:f>IF($B$12&lt;824,"",$B$13+(824-1)*($B$14-$B$13)/($B$12-1))</x:f>
      </x:c>
      <x:c r="C843" s="14">
        <x:f>IF(B843="","",$F$8*COS(B843) + $B$7*COS($F$6*B843))</x:f>
      </x:c>
      <x:c r="D843" s="14">
        <x:f>IF(B843="","",$F$8*SIN(B843) - $B$7*SIN($F$6*B843))</x:f>
      </x:c>
      <x:c r="E843" s="14">
        <x:f>IF(B843="","", C843 + $F$12*$F$9*(-H843)/IF(SQRT(G843^2+H843^2)=0,1,SQRT(G843^2+H843^2)))</x:f>
      </x:c>
      <x:c r="F843" s="14">
        <x:f>IF(B843="","", D843 + $F$12*$F$9*(G843)/IF(SQRT(G843^2+H843^2)=0,1,SQRT(G843^2+H843^2)))</x:f>
      </x:c>
      <x:c r="G843" s="14">
        <x:f>IF(B843="","", -$F$8*SIN(B843) - $B$7*$F$6*SIN($F$6*B843))</x:f>
      </x:c>
      <x:c r="H843" s="14">
        <x:f>IF(B843="","", $F$8*COS(B843) - $B$7*$F$6*COS($F$6*B843))</x:f>
      </x:c>
    </x:row>
    <x:row r="844">
      <x:c r="A844" s="13" t="n">
        <x:v>825</x:v>
      </x:c>
      <x:c r="B844" s="14">
        <x:f>IF($B$12&lt;825,"",$B$13+(825-1)*($B$14-$B$13)/($B$12-1))</x:f>
      </x:c>
      <x:c r="C844" s="14">
        <x:f>IF(B844="","",$F$8*COS(B844) + $B$7*COS($F$6*B844))</x:f>
      </x:c>
      <x:c r="D844" s="14">
        <x:f>IF(B844="","",$F$8*SIN(B844) - $B$7*SIN($F$6*B844))</x:f>
      </x:c>
      <x:c r="E844" s="14">
        <x:f>IF(B844="","", C844 + $F$12*$F$9*(-H844)/IF(SQRT(G844^2+H844^2)=0,1,SQRT(G844^2+H844^2)))</x:f>
      </x:c>
      <x:c r="F844" s="14">
        <x:f>IF(B844="","", D844 + $F$12*$F$9*(G844)/IF(SQRT(G844^2+H844^2)=0,1,SQRT(G844^2+H844^2)))</x:f>
      </x:c>
      <x:c r="G844" s="14">
        <x:f>IF(B844="","", -$F$8*SIN(B844) - $B$7*$F$6*SIN($F$6*B844))</x:f>
      </x:c>
      <x:c r="H844" s="14">
        <x:f>IF(B844="","", $F$8*COS(B844) - $B$7*$F$6*COS($F$6*B844))</x:f>
      </x:c>
    </x:row>
    <x:row r="845">
      <x:c r="A845" s="13" t="n">
        <x:v>826</x:v>
      </x:c>
      <x:c r="B845" s="14">
        <x:f>IF($B$12&lt;826,"",$B$13+(826-1)*($B$14-$B$13)/($B$12-1))</x:f>
      </x:c>
      <x:c r="C845" s="14">
        <x:f>IF(B845="","",$F$8*COS(B845) + $B$7*COS($F$6*B845))</x:f>
      </x:c>
      <x:c r="D845" s="14">
        <x:f>IF(B845="","",$F$8*SIN(B845) - $B$7*SIN($F$6*B845))</x:f>
      </x:c>
      <x:c r="E845" s="14">
        <x:f>IF(B845="","", C845 + $F$12*$F$9*(-H845)/IF(SQRT(G845^2+H845^2)=0,1,SQRT(G845^2+H845^2)))</x:f>
      </x:c>
      <x:c r="F845" s="14">
        <x:f>IF(B845="","", D845 + $F$12*$F$9*(G845)/IF(SQRT(G845^2+H845^2)=0,1,SQRT(G845^2+H845^2)))</x:f>
      </x:c>
      <x:c r="G845" s="14">
        <x:f>IF(B845="","", -$F$8*SIN(B845) - $B$7*$F$6*SIN($F$6*B845))</x:f>
      </x:c>
      <x:c r="H845" s="14">
        <x:f>IF(B845="","", $F$8*COS(B845) - $B$7*$F$6*COS($F$6*B845))</x:f>
      </x:c>
    </x:row>
    <x:row r="846">
      <x:c r="A846" s="13" t="n">
        <x:v>827</x:v>
      </x:c>
      <x:c r="B846" s="14">
        <x:f>IF($B$12&lt;827,"",$B$13+(827-1)*($B$14-$B$13)/($B$12-1))</x:f>
      </x:c>
      <x:c r="C846" s="14">
        <x:f>IF(B846="","",$F$8*COS(B846) + $B$7*COS($F$6*B846))</x:f>
      </x:c>
      <x:c r="D846" s="14">
        <x:f>IF(B846="","",$F$8*SIN(B846) - $B$7*SIN($F$6*B846))</x:f>
      </x:c>
      <x:c r="E846" s="14">
        <x:f>IF(B846="","", C846 + $F$12*$F$9*(-H846)/IF(SQRT(G846^2+H846^2)=0,1,SQRT(G846^2+H846^2)))</x:f>
      </x:c>
      <x:c r="F846" s="14">
        <x:f>IF(B846="","", D846 + $F$12*$F$9*(G846)/IF(SQRT(G846^2+H846^2)=0,1,SQRT(G846^2+H846^2)))</x:f>
      </x:c>
      <x:c r="G846" s="14">
        <x:f>IF(B846="","", -$F$8*SIN(B846) - $B$7*$F$6*SIN($F$6*B846))</x:f>
      </x:c>
      <x:c r="H846" s="14">
        <x:f>IF(B846="","", $F$8*COS(B846) - $B$7*$F$6*COS($F$6*B846))</x:f>
      </x:c>
    </x:row>
    <x:row r="847">
      <x:c r="A847" s="13" t="n">
        <x:v>828</x:v>
      </x:c>
      <x:c r="B847" s="14">
        <x:f>IF($B$12&lt;828,"",$B$13+(828-1)*($B$14-$B$13)/($B$12-1))</x:f>
      </x:c>
      <x:c r="C847" s="14">
        <x:f>IF(B847="","",$F$8*COS(B847) + $B$7*COS($F$6*B847))</x:f>
      </x:c>
      <x:c r="D847" s="14">
        <x:f>IF(B847="","",$F$8*SIN(B847) - $B$7*SIN($F$6*B847))</x:f>
      </x:c>
      <x:c r="E847" s="14">
        <x:f>IF(B847="","", C847 + $F$12*$F$9*(-H847)/IF(SQRT(G847^2+H847^2)=0,1,SQRT(G847^2+H847^2)))</x:f>
      </x:c>
      <x:c r="F847" s="14">
        <x:f>IF(B847="","", D847 + $F$12*$F$9*(G847)/IF(SQRT(G847^2+H847^2)=0,1,SQRT(G847^2+H847^2)))</x:f>
      </x:c>
      <x:c r="G847" s="14">
        <x:f>IF(B847="","", -$F$8*SIN(B847) - $B$7*$F$6*SIN($F$6*B847))</x:f>
      </x:c>
      <x:c r="H847" s="14">
        <x:f>IF(B847="","", $F$8*COS(B847) - $B$7*$F$6*COS($F$6*B847))</x:f>
      </x:c>
    </x:row>
    <x:row r="848">
      <x:c r="A848" s="13" t="n">
        <x:v>829</x:v>
      </x:c>
      <x:c r="B848" s="14">
        <x:f>IF($B$12&lt;829,"",$B$13+(829-1)*($B$14-$B$13)/($B$12-1))</x:f>
      </x:c>
      <x:c r="C848" s="14">
        <x:f>IF(B848="","",$F$8*COS(B848) + $B$7*COS($F$6*B848))</x:f>
      </x:c>
      <x:c r="D848" s="14">
        <x:f>IF(B848="","",$F$8*SIN(B848) - $B$7*SIN($F$6*B848))</x:f>
      </x:c>
      <x:c r="E848" s="14">
        <x:f>IF(B848="","", C848 + $F$12*$F$9*(-H848)/IF(SQRT(G848^2+H848^2)=0,1,SQRT(G848^2+H848^2)))</x:f>
      </x:c>
      <x:c r="F848" s="14">
        <x:f>IF(B848="","", D848 + $F$12*$F$9*(G848)/IF(SQRT(G848^2+H848^2)=0,1,SQRT(G848^2+H848^2)))</x:f>
      </x:c>
      <x:c r="G848" s="14">
        <x:f>IF(B848="","", -$F$8*SIN(B848) - $B$7*$F$6*SIN($F$6*B848))</x:f>
      </x:c>
      <x:c r="H848" s="14">
        <x:f>IF(B848="","", $F$8*COS(B848) - $B$7*$F$6*COS($F$6*B848))</x:f>
      </x:c>
    </x:row>
    <x:row r="849">
      <x:c r="A849" s="13" t="n">
        <x:v>830</x:v>
      </x:c>
      <x:c r="B849" s="14">
        <x:f>IF($B$12&lt;830,"",$B$13+(830-1)*($B$14-$B$13)/($B$12-1))</x:f>
      </x:c>
      <x:c r="C849" s="14">
        <x:f>IF(B849="","",$F$8*COS(B849) + $B$7*COS($F$6*B849))</x:f>
      </x:c>
      <x:c r="D849" s="14">
        <x:f>IF(B849="","",$F$8*SIN(B849) - $B$7*SIN($F$6*B849))</x:f>
      </x:c>
      <x:c r="E849" s="14">
        <x:f>IF(B849="","", C849 + $F$12*$F$9*(-H849)/IF(SQRT(G849^2+H849^2)=0,1,SQRT(G849^2+H849^2)))</x:f>
      </x:c>
      <x:c r="F849" s="14">
        <x:f>IF(B849="","", D849 + $F$12*$F$9*(G849)/IF(SQRT(G849^2+H849^2)=0,1,SQRT(G849^2+H849^2)))</x:f>
      </x:c>
      <x:c r="G849" s="14">
        <x:f>IF(B849="","", -$F$8*SIN(B849) - $B$7*$F$6*SIN($F$6*B849))</x:f>
      </x:c>
      <x:c r="H849" s="14">
        <x:f>IF(B849="","", $F$8*COS(B849) - $B$7*$F$6*COS($F$6*B849))</x:f>
      </x:c>
    </x:row>
    <x:row r="850">
      <x:c r="A850" s="13" t="n">
        <x:v>831</x:v>
      </x:c>
      <x:c r="B850" s="14">
        <x:f>IF($B$12&lt;831,"",$B$13+(831-1)*($B$14-$B$13)/($B$12-1))</x:f>
      </x:c>
      <x:c r="C850" s="14">
        <x:f>IF(B850="","",$F$8*COS(B850) + $B$7*COS($F$6*B850))</x:f>
      </x:c>
      <x:c r="D850" s="14">
        <x:f>IF(B850="","",$F$8*SIN(B850) - $B$7*SIN($F$6*B850))</x:f>
      </x:c>
      <x:c r="E850" s="14">
        <x:f>IF(B850="","", C850 + $F$12*$F$9*(-H850)/IF(SQRT(G850^2+H850^2)=0,1,SQRT(G850^2+H850^2)))</x:f>
      </x:c>
      <x:c r="F850" s="14">
        <x:f>IF(B850="","", D850 + $F$12*$F$9*(G850)/IF(SQRT(G850^2+H850^2)=0,1,SQRT(G850^2+H850^2)))</x:f>
      </x:c>
      <x:c r="G850" s="14">
        <x:f>IF(B850="","", -$F$8*SIN(B850) - $B$7*$F$6*SIN($F$6*B850))</x:f>
      </x:c>
      <x:c r="H850" s="14">
        <x:f>IF(B850="","", $F$8*COS(B850) - $B$7*$F$6*COS($F$6*B850))</x:f>
      </x:c>
    </x:row>
    <x:row r="851">
      <x:c r="A851" s="13" t="n">
        <x:v>832</x:v>
      </x:c>
      <x:c r="B851" s="14">
        <x:f>IF($B$12&lt;832,"",$B$13+(832-1)*($B$14-$B$13)/($B$12-1))</x:f>
      </x:c>
      <x:c r="C851" s="14">
        <x:f>IF(B851="","",$F$8*COS(B851) + $B$7*COS($F$6*B851))</x:f>
      </x:c>
      <x:c r="D851" s="14">
        <x:f>IF(B851="","",$F$8*SIN(B851) - $B$7*SIN($F$6*B851))</x:f>
      </x:c>
      <x:c r="E851" s="14">
        <x:f>IF(B851="","", C851 + $F$12*$F$9*(-H851)/IF(SQRT(G851^2+H851^2)=0,1,SQRT(G851^2+H851^2)))</x:f>
      </x:c>
      <x:c r="F851" s="14">
        <x:f>IF(B851="","", D851 + $F$12*$F$9*(G851)/IF(SQRT(G851^2+H851^2)=0,1,SQRT(G851^2+H851^2)))</x:f>
      </x:c>
      <x:c r="G851" s="14">
        <x:f>IF(B851="","", -$F$8*SIN(B851) - $B$7*$F$6*SIN($F$6*B851))</x:f>
      </x:c>
      <x:c r="H851" s="14">
        <x:f>IF(B851="","", $F$8*COS(B851) - $B$7*$F$6*COS($F$6*B851))</x:f>
      </x:c>
    </x:row>
    <x:row r="852">
      <x:c r="A852" s="13" t="n">
        <x:v>833</x:v>
      </x:c>
      <x:c r="B852" s="14">
        <x:f>IF($B$12&lt;833,"",$B$13+(833-1)*($B$14-$B$13)/($B$12-1))</x:f>
      </x:c>
      <x:c r="C852" s="14">
        <x:f>IF(B852="","",$F$8*COS(B852) + $B$7*COS($F$6*B852))</x:f>
      </x:c>
      <x:c r="D852" s="14">
        <x:f>IF(B852="","",$F$8*SIN(B852) - $B$7*SIN($F$6*B852))</x:f>
      </x:c>
      <x:c r="E852" s="14">
        <x:f>IF(B852="","", C852 + $F$12*$F$9*(-H852)/IF(SQRT(G852^2+H852^2)=0,1,SQRT(G852^2+H852^2)))</x:f>
      </x:c>
      <x:c r="F852" s="14">
        <x:f>IF(B852="","", D852 + $F$12*$F$9*(G852)/IF(SQRT(G852^2+H852^2)=0,1,SQRT(G852^2+H852^2)))</x:f>
      </x:c>
      <x:c r="G852" s="14">
        <x:f>IF(B852="","", -$F$8*SIN(B852) - $B$7*$F$6*SIN($F$6*B852))</x:f>
      </x:c>
      <x:c r="H852" s="14">
        <x:f>IF(B852="","", $F$8*COS(B852) - $B$7*$F$6*COS($F$6*B852))</x:f>
      </x:c>
    </x:row>
    <x:row r="853">
      <x:c r="A853" s="13" t="n">
        <x:v>834</x:v>
      </x:c>
      <x:c r="B853" s="14">
        <x:f>IF($B$12&lt;834,"",$B$13+(834-1)*($B$14-$B$13)/($B$12-1))</x:f>
      </x:c>
      <x:c r="C853" s="14">
        <x:f>IF(B853="","",$F$8*COS(B853) + $B$7*COS($F$6*B853))</x:f>
      </x:c>
      <x:c r="D853" s="14">
        <x:f>IF(B853="","",$F$8*SIN(B853) - $B$7*SIN($F$6*B853))</x:f>
      </x:c>
      <x:c r="E853" s="14">
        <x:f>IF(B853="","", C853 + $F$12*$F$9*(-H853)/IF(SQRT(G853^2+H853^2)=0,1,SQRT(G853^2+H853^2)))</x:f>
      </x:c>
      <x:c r="F853" s="14">
        <x:f>IF(B853="","", D853 + $F$12*$F$9*(G853)/IF(SQRT(G853^2+H853^2)=0,1,SQRT(G853^2+H853^2)))</x:f>
      </x:c>
      <x:c r="G853" s="14">
        <x:f>IF(B853="","", -$F$8*SIN(B853) - $B$7*$F$6*SIN($F$6*B853))</x:f>
      </x:c>
      <x:c r="H853" s="14">
        <x:f>IF(B853="","", $F$8*COS(B853) - $B$7*$F$6*COS($F$6*B853))</x:f>
      </x:c>
    </x:row>
    <x:row r="854">
      <x:c r="A854" s="13" t="n">
        <x:v>835</x:v>
      </x:c>
      <x:c r="B854" s="14">
        <x:f>IF($B$12&lt;835,"",$B$13+(835-1)*($B$14-$B$13)/($B$12-1))</x:f>
      </x:c>
      <x:c r="C854" s="14">
        <x:f>IF(B854="","",$F$8*COS(B854) + $B$7*COS($F$6*B854))</x:f>
      </x:c>
      <x:c r="D854" s="14">
        <x:f>IF(B854="","",$F$8*SIN(B854) - $B$7*SIN($F$6*B854))</x:f>
      </x:c>
      <x:c r="E854" s="14">
        <x:f>IF(B854="","", C854 + $F$12*$F$9*(-H854)/IF(SQRT(G854^2+H854^2)=0,1,SQRT(G854^2+H854^2)))</x:f>
      </x:c>
      <x:c r="F854" s="14">
        <x:f>IF(B854="","", D854 + $F$12*$F$9*(G854)/IF(SQRT(G854^2+H854^2)=0,1,SQRT(G854^2+H854^2)))</x:f>
      </x:c>
      <x:c r="G854" s="14">
        <x:f>IF(B854="","", -$F$8*SIN(B854) - $B$7*$F$6*SIN($F$6*B854))</x:f>
      </x:c>
      <x:c r="H854" s="14">
        <x:f>IF(B854="","", $F$8*COS(B854) - $B$7*$F$6*COS($F$6*B854))</x:f>
      </x:c>
    </x:row>
    <x:row r="855">
      <x:c r="A855" s="13" t="n">
        <x:v>836</x:v>
      </x:c>
      <x:c r="B855" s="14">
        <x:f>IF($B$12&lt;836,"",$B$13+(836-1)*($B$14-$B$13)/($B$12-1))</x:f>
      </x:c>
      <x:c r="C855" s="14">
        <x:f>IF(B855="","",$F$8*COS(B855) + $B$7*COS($F$6*B855))</x:f>
      </x:c>
      <x:c r="D855" s="14">
        <x:f>IF(B855="","",$F$8*SIN(B855) - $B$7*SIN($F$6*B855))</x:f>
      </x:c>
      <x:c r="E855" s="14">
        <x:f>IF(B855="","", C855 + $F$12*$F$9*(-H855)/IF(SQRT(G855^2+H855^2)=0,1,SQRT(G855^2+H855^2)))</x:f>
      </x:c>
      <x:c r="F855" s="14">
        <x:f>IF(B855="","", D855 + $F$12*$F$9*(G855)/IF(SQRT(G855^2+H855^2)=0,1,SQRT(G855^2+H855^2)))</x:f>
      </x:c>
      <x:c r="G855" s="14">
        <x:f>IF(B855="","", -$F$8*SIN(B855) - $B$7*$F$6*SIN($F$6*B855))</x:f>
      </x:c>
      <x:c r="H855" s="14">
        <x:f>IF(B855="","", $F$8*COS(B855) - $B$7*$F$6*COS($F$6*B855))</x:f>
      </x:c>
    </x:row>
    <x:row r="856">
      <x:c r="A856" s="13" t="n">
        <x:v>837</x:v>
      </x:c>
      <x:c r="B856" s="14">
        <x:f>IF($B$12&lt;837,"",$B$13+(837-1)*($B$14-$B$13)/($B$12-1))</x:f>
      </x:c>
      <x:c r="C856" s="14">
        <x:f>IF(B856="","",$F$8*COS(B856) + $B$7*COS($F$6*B856))</x:f>
      </x:c>
      <x:c r="D856" s="14">
        <x:f>IF(B856="","",$F$8*SIN(B856) - $B$7*SIN($F$6*B856))</x:f>
      </x:c>
      <x:c r="E856" s="14">
        <x:f>IF(B856="","", C856 + $F$12*$F$9*(-H856)/IF(SQRT(G856^2+H856^2)=0,1,SQRT(G856^2+H856^2)))</x:f>
      </x:c>
      <x:c r="F856" s="14">
        <x:f>IF(B856="","", D856 + $F$12*$F$9*(G856)/IF(SQRT(G856^2+H856^2)=0,1,SQRT(G856^2+H856^2)))</x:f>
      </x:c>
      <x:c r="G856" s="14">
        <x:f>IF(B856="","", -$F$8*SIN(B856) - $B$7*$F$6*SIN($F$6*B856))</x:f>
      </x:c>
      <x:c r="H856" s="14">
        <x:f>IF(B856="","", $F$8*COS(B856) - $B$7*$F$6*COS($F$6*B856))</x:f>
      </x:c>
    </x:row>
    <x:row r="857">
      <x:c r="A857" s="13" t="n">
        <x:v>838</x:v>
      </x:c>
      <x:c r="B857" s="14">
        <x:f>IF($B$12&lt;838,"",$B$13+(838-1)*($B$14-$B$13)/($B$12-1))</x:f>
      </x:c>
      <x:c r="C857" s="14">
        <x:f>IF(B857="","",$F$8*COS(B857) + $B$7*COS($F$6*B857))</x:f>
      </x:c>
      <x:c r="D857" s="14">
        <x:f>IF(B857="","",$F$8*SIN(B857) - $B$7*SIN($F$6*B857))</x:f>
      </x:c>
      <x:c r="E857" s="14">
        <x:f>IF(B857="","", C857 + $F$12*$F$9*(-H857)/IF(SQRT(G857^2+H857^2)=0,1,SQRT(G857^2+H857^2)))</x:f>
      </x:c>
      <x:c r="F857" s="14">
        <x:f>IF(B857="","", D857 + $F$12*$F$9*(G857)/IF(SQRT(G857^2+H857^2)=0,1,SQRT(G857^2+H857^2)))</x:f>
      </x:c>
      <x:c r="G857" s="14">
        <x:f>IF(B857="","", -$F$8*SIN(B857) - $B$7*$F$6*SIN($F$6*B857))</x:f>
      </x:c>
      <x:c r="H857" s="14">
        <x:f>IF(B857="","", $F$8*COS(B857) - $B$7*$F$6*COS($F$6*B857))</x:f>
      </x:c>
    </x:row>
    <x:row r="858">
      <x:c r="A858" s="13" t="n">
        <x:v>839</x:v>
      </x:c>
      <x:c r="B858" s="14">
        <x:f>IF($B$12&lt;839,"",$B$13+(839-1)*($B$14-$B$13)/($B$12-1))</x:f>
      </x:c>
      <x:c r="C858" s="14">
        <x:f>IF(B858="","",$F$8*COS(B858) + $B$7*COS($F$6*B858))</x:f>
      </x:c>
      <x:c r="D858" s="14">
        <x:f>IF(B858="","",$F$8*SIN(B858) - $B$7*SIN($F$6*B858))</x:f>
      </x:c>
      <x:c r="E858" s="14">
        <x:f>IF(B858="","", C858 + $F$12*$F$9*(-H858)/IF(SQRT(G858^2+H858^2)=0,1,SQRT(G858^2+H858^2)))</x:f>
      </x:c>
      <x:c r="F858" s="14">
        <x:f>IF(B858="","", D858 + $F$12*$F$9*(G858)/IF(SQRT(G858^2+H858^2)=0,1,SQRT(G858^2+H858^2)))</x:f>
      </x:c>
      <x:c r="G858" s="14">
        <x:f>IF(B858="","", -$F$8*SIN(B858) - $B$7*$F$6*SIN($F$6*B858))</x:f>
      </x:c>
      <x:c r="H858" s="14">
        <x:f>IF(B858="","", $F$8*COS(B858) - $B$7*$F$6*COS($F$6*B858))</x:f>
      </x:c>
    </x:row>
    <x:row r="859">
      <x:c r="A859" s="13" t="n">
        <x:v>840</x:v>
      </x:c>
      <x:c r="B859" s="14">
        <x:f>IF($B$12&lt;840,"",$B$13+(840-1)*($B$14-$B$13)/($B$12-1))</x:f>
      </x:c>
      <x:c r="C859" s="14">
        <x:f>IF(B859="","",$F$8*COS(B859) + $B$7*COS($F$6*B859))</x:f>
      </x:c>
      <x:c r="D859" s="14">
        <x:f>IF(B859="","",$F$8*SIN(B859) - $B$7*SIN($F$6*B859))</x:f>
      </x:c>
      <x:c r="E859" s="14">
        <x:f>IF(B859="","", C859 + $F$12*$F$9*(-H859)/IF(SQRT(G859^2+H859^2)=0,1,SQRT(G859^2+H859^2)))</x:f>
      </x:c>
      <x:c r="F859" s="14">
        <x:f>IF(B859="","", D859 + $F$12*$F$9*(G859)/IF(SQRT(G859^2+H859^2)=0,1,SQRT(G859^2+H859^2)))</x:f>
      </x:c>
      <x:c r="G859" s="14">
        <x:f>IF(B859="","", -$F$8*SIN(B859) - $B$7*$F$6*SIN($F$6*B859))</x:f>
      </x:c>
      <x:c r="H859" s="14">
        <x:f>IF(B859="","", $F$8*COS(B859) - $B$7*$F$6*COS($F$6*B859))</x:f>
      </x:c>
    </x:row>
    <x:row r="860">
      <x:c r="A860" s="13" t="n">
        <x:v>841</x:v>
      </x:c>
      <x:c r="B860" s="14">
        <x:f>IF($B$12&lt;841,"",$B$13+(841-1)*($B$14-$B$13)/($B$12-1))</x:f>
      </x:c>
      <x:c r="C860" s="14">
        <x:f>IF(B860="","",$F$8*COS(B860) + $B$7*COS($F$6*B860))</x:f>
      </x:c>
      <x:c r="D860" s="14">
        <x:f>IF(B860="","",$F$8*SIN(B860) - $B$7*SIN($F$6*B860))</x:f>
      </x:c>
      <x:c r="E860" s="14">
        <x:f>IF(B860="","", C860 + $F$12*$F$9*(-H860)/IF(SQRT(G860^2+H860^2)=0,1,SQRT(G860^2+H860^2)))</x:f>
      </x:c>
      <x:c r="F860" s="14">
        <x:f>IF(B860="","", D860 + $F$12*$F$9*(G860)/IF(SQRT(G860^2+H860^2)=0,1,SQRT(G860^2+H860^2)))</x:f>
      </x:c>
      <x:c r="G860" s="14">
        <x:f>IF(B860="","", -$F$8*SIN(B860) - $B$7*$F$6*SIN($F$6*B860))</x:f>
      </x:c>
      <x:c r="H860" s="14">
        <x:f>IF(B860="","", $F$8*COS(B860) - $B$7*$F$6*COS($F$6*B860))</x:f>
      </x:c>
    </x:row>
    <x:row r="861">
      <x:c r="A861" s="13" t="n">
        <x:v>842</x:v>
      </x:c>
      <x:c r="B861" s="14">
        <x:f>IF($B$12&lt;842,"",$B$13+(842-1)*($B$14-$B$13)/($B$12-1))</x:f>
      </x:c>
      <x:c r="C861" s="14">
        <x:f>IF(B861="","",$F$8*COS(B861) + $B$7*COS($F$6*B861))</x:f>
      </x:c>
      <x:c r="D861" s="14">
        <x:f>IF(B861="","",$F$8*SIN(B861) - $B$7*SIN($F$6*B861))</x:f>
      </x:c>
      <x:c r="E861" s="14">
        <x:f>IF(B861="","", C861 + $F$12*$F$9*(-H861)/IF(SQRT(G861^2+H861^2)=0,1,SQRT(G861^2+H861^2)))</x:f>
      </x:c>
      <x:c r="F861" s="14">
        <x:f>IF(B861="","", D861 + $F$12*$F$9*(G861)/IF(SQRT(G861^2+H861^2)=0,1,SQRT(G861^2+H861^2)))</x:f>
      </x:c>
      <x:c r="G861" s="14">
        <x:f>IF(B861="","", -$F$8*SIN(B861) - $B$7*$F$6*SIN($F$6*B861))</x:f>
      </x:c>
      <x:c r="H861" s="14">
        <x:f>IF(B861="","", $F$8*COS(B861) - $B$7*$F$6*COS($F$6*B861))</x:f>
      </x:c>
    </x:row>
    <x:row r="862">
      <x:c r="A862" s="13" t="n">
        <x:v>843</x:v>
      </x:c>
      <x:c r="B862" s="14">
        <x:f>IF($B$12&lt;843,"",$B$13+(843-1)*($B$14-$B$13)/($B$12-1))</x:f>
      </x:c>
      <x:c r="C862" s="14">
        <x:f>IF(B862="","",$F$8*COS(B862) + $B$7*COS($F$6*B862))</x:f>
      </x:c>
      <x:c r="D862" s="14">
        <x:f>IF(B862="","",$F$8*SIN(B862) - $B$7*SIN($F$6*B862))</x:f>
      </x:c>
      <x:c r="E862" s="14">
        <x:f>IF(B862="","", C862 + $F$12*$F$9*(-H862)/IF(SQRT(G862^2+H862^2)=0,1,SQRT(G862^2+H862^2)))</x:f>
      </x:c>
      <x:c r="F862" s="14">
        <x:f>IF(B862="","", D862 + $F$12*$F$9*(G862)/IF(SQRT(G862^2+H862^2)=0,1,SQRT(G862^2+H862^2)))</x:f>
      </x:c>
      <x:c r="G862" s="14">
        <x:f>IF(B862="","", -$F$8*SIN(B862) - $B$7*$F$6*SIN($F$6*B862))</x:f>
      </x:c>
      <x:c r="H862" s="14">
        <x:f>IF(B862="","", $F$8*COS(B862) - $B$7*$F$6*COS($F$6*B862))</x:f>
      </x:c>
    </x:row>
    <x:row r="863">
      <x:c r="A863" s="13" t="n">
        <x:v>844</x:v>
      </x:c>
      <x:c r="B863" s="14">
        <x:f>IF($B$12&lt;844,"",$B$13+(844-1)*($B$14-$B$13)/($B$12-1))</x:f>
      </x:c>
      <x:c r="C863" s="14">
        <x:f>IF(B863="","",$F$8*COS(B863) + $B$7*COS($F$6*B863))</x:f>
      </x:c>
      <x:c r="D863" s="14">
        <x:f>IF(B863="","",$F$8*SIN(B863) - $B$7*SIN($F$6*B863))</x:f>
      </x:c>
      <x:c r="E863" s="14">
        <x:f>IF(B863="","", C863 + $F$12*$F$9*(-H863)/IF(SQRT(G863^2+H863^2)=0,1,SQRT(G863^2+H863^2)))</x:f>
      </x:c>
      <x:c r="F863" s="14">
        <x:f>IF(B863="","", D863 + $F$12*$F$9*(G863)/IF(SQRT(G863^2+H863^2)=0,1,SQRT(G863^2+H863^2)))</x:f>
      </x:c>
      <x:c r="G863" s="14">
        <x:f>IF(B863="","", -$F$8*SIN(B863) - $B$7*$F$6*SIN($F$6*B863))</x:f>
      </x:c>
      <x:c r="H863" s="14">
        <x:f>IF(B863="","", $F$8*COS(B863) - $B$7*$F$6*COS($F$6*B863))</x:f>
      </x:c>
    </x:row>
    <x:row r="864">
      <x:c r="A864" s="13" t="n">
        <x:v>845</x:v>
      </x:c>
      <x:c r="B864" s="14">
        <x:f>IF($B$12&lt;845,"",$B$13+(845-1)*($B$14-$B$13)/($B$12-1))</x:f>
      </x:c>
      <x:c r="C864" s="14">
        <x:f>IF(B864="","",$F$8*COS(B864) + $B$7*COS($F$6*B864))</x:f>
      </x:c>
      <x:c r="D864" s="14">
        <x:f>IF(B864="","",$F$8*SIN(B864) - $B$7*SIN($F$6*B864))</x:f>
      </x:c>
      <x:c r="E864" s="14">
        <x:f>IF(B864="","", C864 + $F$12*$F$9*(-H864)/IF(SQRT(G864^2+H864^2)=0,1,SQRT(G864^2+H864^2)))</x:f>
      </x:c>
      <x:c r="F864" s="14">
        <x:f>IF(B864="","", D864 + $F$12*$F$9*(G864)/IF(SQRT(G864^2+H864^2)=0,1,SQRT(G864^2+H864^2)))</x:f>
      </x:c>
      <x:c r="G864" s="14">
        <x:f>IF(B864="","", -$F$8*SIN(B864) - $B$7*$F$6*SIN($F$6*B864))</x:f>
      </x:c>
      <x:c r="H864" s="14">
        <x:f>IF(B864="","", $F$8*COS(B864) - $B$7*$F$6*COS($F$6*B864))</x:f>
      </x:c>
    </x:row>
    <x:row r="865">
      <x:c r="A865" s="13" t="n">
        <x:v>846</x:v>
      </x:c>
      <x:c r="B865" s="14">
        <x:f>IF($B$12&lt;846,"",$B$13+(846-1)*($B$14-$B$13)/($B$12-1))</x:f>
      </x:c>
      <x:c r="C865" s="14">
        <x:f>IF(B865="","",$F$8*COS(B865) + $B$7*COS($F$6*B865))</x:f>
      </x:c>
      <x:c r="D865" s="14">
        <x:f>IF(B865="","",$F$8*SIN(B865) - $B$7*SIN($F$6*B865))</x:f>
      </x:c>
      <x:c r="E865" s="14">
        <x:f>IF(B865="","", C865 + $F$12*$F$9*(-H865)/IF(SQRT(G865^2+H865^2)=0,1,SQRT(G865^2+H865^2)))</x:f>
      </x:c>
      <x:c r="F865" s="14">
        <x:f>IF(B865="","", D865 + $F$12*$F$9*(G865)/IF(SQRT(G865^2+H865^2)=0,1,SQRT(G865^2+H865^2)))</x:f>
      </x:c>
      <x:c r="G865" s="14">
        <x:f>IF(B865="","", -$F$8*SIN(B865) - $B$7*$F$6*SIN($F$6*B865))</x:f>
      </x:c>
      <x:c r="H865" s="14">
        <x:f>IF(B865="","", $F$8*COS(B865) - $B$7*$F$6*COS($F$6*B865))</x:f>
      </x:c>
    </x:row>
    <x:row r="866">
      <x:c r="A866" s="13" t="n">
        <x:v>847</x:v>
      </x:c>
      <x:c r="B866" s="14">
        <x:f>IF($B$12&lt;847,"",$B$13+(847-1)*($B$14-$B$13)/($B$12-1))</x:f>
      </x:c>
      <x:c r="C866" s="14">
        <x:f>IF(B866="","",$F$8*COS(B866) + $B$7*COS($F$6*B866))</x:f>
      </x:c>
      <x:c r="D866" s="14">
        <x:f>IF(B866="","",$F$8*SIN(B866) - $B$7*SIN($F$6*B866))</x:f>
      </x:c>
      <x:c r="E866" s="14">
        <x:f>IF(B866="","", C866 + $F$12*$F$9*(-H866)/IF(SQRT(G866^2+H866^2)=0,1,SQRT(G866^2+H866^2)))</x:f>
      </x:c>
      <x:c r="F866" s="14">
        <x:f>IF(B866="","", D866 + $F$12*$F$9*(G866)/IF(SQRT(G866^2+H866^2)=0,1,SQRT(G866^2+H866^2)))</x:f>
      </x:c>
      <x:c r="G866" s="14">
        <x:f>IF(B866="","", -$F$8*SIN(B866) - $B$7*$F$6*SIN($F$6*B866))</x:f>
      </x:c>
      <x:c r="H866" s="14">
        <x:f>IF(B866="","", $F$8*COS(B866) - $B$7*$F$6*COS($F$6*B866))</x:f>
      </x:c>
    </x:row>
    <x:row r="867">
      <x:c r="A867" s="13" t="n">
        <x:v>848</x:v>
      </x:c>
      <x:c r="B867" s="14">
        <x:f>IF($B$12&lt;848,"",$B$13+(848-1)*($B$14-$B$13)/($B$12-1))</x:f>
      </x:c>
      <x:c r="C867" s="14">
        <x:f>IF(B867="","",$F$8*COS(B867) + $B$7*COS($F$6*B867))</x:f>
      </x:c>
      <x:c r="D867" s="14">
        <x:f>IF(B867="","",$F$8*SIN(B867) - $B$7*SIN($F$6*B867))</x:f>
      </x:c>
      <x:c r="E867" s="14">
        <x:f>IF(B867="","", C867 + $F$12*$F$9*(-H867)/IF(SQRT(G867^2+H867^2)=0,1,SQRT(G867^2+H867^2)))</x:f>
      </x:c>
      <x:c r="F867" s="14">
        <x:f>IF(B867="","", D867 + $F$12*$F$9*(G867)/IF(SQRT(G867^2+H867^2)=0,1,SQRT(G867^2+H867^2)))</x:f>
      </x:c>
      <x:c r="G867" s="14">
        <x:f>IF(B867="","", -$F$8*SIN(B867) - $B$7*$F$6*SIN($F$6*B867))</x:f>
      </x:c>
      <x:c r="H867" s="14">
        <x:f>IF(B867="","", $F$8*COS(B867) - $B$7*$F$6*COS($F$6*B867))</x:f>
      </x:c>
    </x:row>
    <x:row r="868">
      <x:c r="A868" s="13" t="n">
        <x:v>849</x:v>
      </x:c>
      <x:c r="B868" s="14">
        <x:f>IF($B$12&lt;849,"",$B$13+(849-1)*($B$14-$B$13)/($B$12-1))</x:f>
      </x:c>
      <x:c r="C868" s="14">
        <x:f>IF(B868="","",$F$8*COS(B868) + $B$7*COS($F$6*B868))</x:f>
      </x:c>
      <x:c r="D868" s="14">
        <x:f>IF(B868="","",$F$8*SIN(B868) - $B$7*SIN($F$6*B868))</x:f>
      </x:c>
      <x:c r="E868" s="14">
        <x:f>IF(B868="","", C868 + $F$12*$F$9*(-H868)/IF(SQRT(G868^2+H868^2)=0,1,SQRT(G868^2+H868^2)))</x:f>
      </x:c>
      <x:c r="F868" s="14">
        <x:f>IF(B868="","", D868 + $F$12*$F$9*(G868)/IF(SQRT(G868^2+H868^2)=0,1,SQRT(G868^2+H868^2)))</x:f>
      </x:c>
      <x:c r="G868" s="14">
        <x:f>IF(B868="","", -$F$8*SIN(B868) - $B$7*$F$6*SIN($F$6*B868))</x:f>
      </x:c>
      <x:c r="H868" s="14">
        <x:f>IF(B868="","", $F$8*COS(B868) - $B$7*$F$6*COS($F$6*B868))</x:f>
      </x:c>
    </x:row>
    <x:row r="869">
      <x:c r="A869" s="13" t="n">
        <x:v>850</x:v>
      </x:c>
      <x:c r="B869" s="14">
        <x:f>IF($B$12&lt;850,"",$B$13+(850-1)*($B$14-$B$13)/($B$12-1))</x:f>
      </x:c>
      <x:c r="C869" s="14">
        <x:f>IF(B869="","",$F$8*COS(B869) + $B$7*COS($F$6*B869))</x:f>
      </x:c>
      <x:c r="D869" s="14">
        <x:f>IF(B869="","",$F$8*SIN(B869) - $B$7*SIN($F$6*B869))</x:f>
      </x:c>
      <x:c r="E869" s="14">
        <x:f>IF(B869="","", C869 + $F$12*$F$9*(-H869)/IF(SQRT(G869^2+H869^2)=0,1,SQRT(G869^2+H869^2)))</x:f>
      </x:c>
      <x:c r="F869" s="14">
        <x:f>IF(B869="","", D869 + $F$12*$F$9*(G869)/IF(SQRT(G869^2+H869^2)=0,1,SQRT(G869^2+H869^2)))</x:f>
      </x:c>
      <x:c r="G869" s="14">
        <x:f>IF(B869="","", -$F$8*SIN(B869) - $B$7*$F$6*SIN($F$6*B869))</x:f>
      </x:c>
      <x:c r="H869" s="14">
        <x:f>IF(B869="","", $F$8*COS(B869) - $B$7*$F$6*COS($F$6*B869))</x:f>
      </x:c>
    </x:row>
    <x:row r="870">
      <x:c r="A870" s="13" t="n">
        <x:v>851</x:v>
      </x:c>
      <x:c r="B870" s="14">
        <x:f>IF($B$12&lt;851,"",$B$13+(851-1)*($B$14-$B$13)/($B$12-1))</x:f>
      </x:c>
      <x:c r="C870" s="14">
        <x:f>IF(B870="","",$F$8*COS(B870) + $B$7*COS($F$6*B870))</x:f>
      </x:c>
      <x:c r="D870" s="14">
        <x:f>IF(B870="","",$F$8*SIN(B870) - $B$7*SIN($F$6*B870))</x:f>
      </x:c>
      <x:c r="E870" s="14">
        <x:f>IF(B870="","", C870 + $F$12*$F$9*(-H870)/IF(SQRT(G870^2+H870^2)=0,1,SQRT(G870^2+H870^2)))</x:f>
      </x:c>
      <x:c r="F870" s="14">
        <x:f>IF(B870="","", D870 + $F$12*$F$9*(G870)/IF(SQRT(G870^2+H870^2)=0,1,SQRT(G870^2+H870^2)))</x:f>
      </x:c>
      <x:c r="G870" s="14">
        <x:f>IF(B870="","", -$F$8*SIN(B870) - $B$7*$F$6*SIN($F$6*B870))</x:f>
      </x:c>
      <x:c r="H870" s="14">
        <x:f>IF(B870="","", $F$8*COS(B870) - $B$7*$F$6*COS($F$6*B870))</x:f>
      </x:c>
    </x:row>
    <x:row r="871">
      <x:c r="A871" s="13" t="n">
        <x:v>852</x:v>
      </x:c>
      <x:c r="B871" s="14">
        <x:f>IF($B$12&lt;852,"",$B$13+(852-1)*($B$14-$B$13)/($B$12-1))</x:f>
      </x:c>
      <x:c r="C871" s="14">
        <x:f>IF(B871="","",$F$8*COS(B871) + $B$7*COS($F$6*B871))</x:f>
      </x:c>
      <x:c r="D871" s="14">
        <x:f>IF(B871="","",$F$8*SIN(B871) - $B$7*SIN($F$6*B871))</x:f>
      </x:c>
      <x:c r="E871" s="14">
        <x:f>IF(B871="","", C871 + $F$12*$F$9*(-H871)/IF(SQRT(G871^2+H871^2)=0,1,SQRT(G871^2+H871^2)))</x:f>
      </x:c>
      <x:c r="F871" s="14">
        <x:f>IF(B871="","", D871 + $F$12*$F$9*(G871)/IF(SQRT(G871^2+H871^2)=0,1,SQRT(G871^2+H871^2)))</x:f>
      </x:c>
      <x:c r="G871" s="14">
        <x:f>IF(B871="","", -$F$8*SIN(B871) - $B$7*$F$6*SIN($F$6*B871))</x:f>
      </x:c>
      <x:c r="H871" s="14">
        <x:f>IF(B871="","", $F$8*COS(B871) - $B$7*$F$6*COS($F$6*B871))</x:f>
      </x:c>
    </x:row>
    <x:row r="872">
      <x:c r="A872" s="13" t="n">
        <x:v>853</x:v>
      </x:c>
      <x:c r="B872" s="14">
        <x:f>IF($B$12&lt;853,"",$B$13+(853-1)*($B$14-$B$13)/($B$12-1))</x:f>
      </x:c>
      <x:c r="C872" s="14">
        <x:f>IF(B872="","",$F$8*COS(B872) + $B$7*COS($F$6*B872))</x:f>
      </x:c>
      <x:c r="D872" s="14">
        <x:f>IF(B872="","",$F$8*SIN(B872) - $B$7*SIN($F$6*B872))</x:f>
      </x:c>
      <x:c r="E872" s="14">
        <x:f>IF(B872="","", C872 + $F$12*$F$9*(-H872)/IF(SQRT(G872^2+H872^2)=0,1,SQRT(G872^2+H872^2)))</x:f>
      </x:c>
      <x:c r="F872" s="14">
        <x:f>IF(B872="","", D872 + $F$12*$F$9*(G872)/IF(SQRT(G872^2+H872^2)=0,1,SQRT(G872^2+H872^2)))</x:f>
      </x:c>
      <x:c r="G872" s="14">
        <x:f>IF(B872="","", -$F$8*SIN(B872) - $B$7*$F$6*SIN($F$6*B872))</x:f>
      </x:c>
      <x:c r="H872" s="14">
        <x:f>IF(B872="","", $F$8*COS(B872) - $B$7*$F$6*COS($F$6*B872))</x:f>
      </x:c>
    </x:row>
    <x:row r="873">
      <x:c r="A873" s="13" t="n">
        <x:v>854</x:v>
      </x:c>
      <x:c r="B873" s="14">
        <x:f>IF($B$12&lt;854,"",$B$13+(854-1)*($B$14-$B$13)/($B$12-1))</x:f>
      </x:c>
      <x:c r="C873" s="14">
        <x:f>IF(B873="","",$F$8*COS(B873) + $B$7*COS($F$6*B873))</x:f>
      </x:c>
      <x:c r="D873" s="14">
        <x:f>IF(B873="","",$F$8*SIN(B873) - $B$7*SIN($F$6*B873))</x:f>
      </x:c>
      <x:c r="E873" s="14">
        <x:f>IF(B873="","", C873 + $F$12*$F$9*(-H873)/IF(SQRT(G873^2+H873^2)=0,1,SQRT(G873^2+H873^2)))</x:f>
      </x:c>
      <x:c r="F873" s="14">
        <x:f>IF(B873="","", D873 + $F$12*$F$9*(G873)/IF(SQRT(G873^2+H873^2)=0,1,SQRT(G873^2+H873^2)))</x:f>
      </x:c>
      <x:c r="G873" s="14">
        <x:f>IF(B873="","", -$F$8*SIN(B873) - $B$7*$F$6*SIN($F$6*B873))</x:f>
      </x:c>
      <x:c r="H873" s="14">
        <x:f>IF(B873="","", $F$8*COS(B873) - $B$7*$F$6*COS($F$6*B873))</x:f>
      </x:c>
    </x:row>
    <x:row r="874">
      <x:c r="A874" s="13" t="n">
        <x:v>855</x:v>
      </x:c>
      <x:c r="B874" s="14">
        <x:f>IF($B$12&lt;855,"",$B$13+(855-1)*($B$14-$B$13)/($B$12-1))</x:f>
      </x:c>
      <x:c r="C874" s="14">
        <x:f>IF(B874="","",$F$8*COS(B874) + $B$7*COS($F$6*B874))</x:f>
      </x:c>
      <x:c r="D874" s="14">
        <x:f>IF(B874="","",$F$8*SIN(B874) - $B$7*SIN($F$6*B874))</x:f>
      </x:c>
      <x:c r="E874" s="14">
        <x:f>IF(B874="","", C874 + $F$12*$F$9*(-H874)/IF(SQRT(G874^2+H874^2)=0,1,SQRT(G874^2+H874^2)))</x:f>
      </x:c>
      <x:c r="F874" s="14">
        <x:f>IF(B874="","", D874 + $F$12*$F$9*(G874)/IF(SQRT(G874^2+H874^2)=0,1,SQRT(G874^2+H874^2)))</x:f>
      </x:c>
      <x:c r="G874" s="14">
        <x:f>IF(B874="","", -$F$8*SIN(B874) - $B$7*$F$6*SIN($F$6*B874))</x:f>
      </x:c>
      <x:c r="H874" s="14">
        <x:f>IF(B874="","", $F$8*COS(B874) - $B$7*$F$6*COS($F$6*B874))</x:f>
      </x:c>
    </x:row>
    <x:row r="875">
      <x:c r="A875" s="13" t="n">
        <x:v>856</x:v>
      </x:c>
      <x:c r="B875" s="14">
        <x:f>IF($B$12&lt;856,"",$B$13+(856-1)*($B$14-$B$13)/($B$12-1))</x:f>
      </x:c>
      <x:c r="C875" s="14">
        <x:f>IF(B875="","",$F$8*COS(B875) + $B$7*COS($F$6*B875))</x:f>
      </x:c>
      <x:c r="D875" s="14">
        <x:f>IF(B875="","",$F$8*SIN(B875) - $B$7*SIN($F$6*B875))</x:f>
      </x:c>
      <x:c r="E875" s="14">
        <x:f>IF(B875="","", C875 + $F$12*$F$9*(-H875)/IF(SQRT(G875^2+H875^2)=0,1,SQRT(G875^2+H875^2)))</x:f>
      </x:c>
      <x:c r="F875" s="14">
        <x:f>IF(B875="","", D875 + $F$12*$F$9*(G875)/IF(SQRT(G875^2+H875^2)=0,1,SQRT(G875^2+H875^2)))</x:f>
      </x:c>
      <x:c r="G875" s="14">
        <x:f>IF(B875="","", -$F$8*SIN(B875) - $B$7*$F$6*SIN($F$6*B875))</x:f>
      </x:c>
      <x:c r="H875" s="14">
        <x:f>IF(B875="","", $F$8*COS(B875) - $B$7*$F$6*COS($F$6*B875))</x:f>
      </x:c>
    </x:row>
    <x:row r="876">
      <x:c r="A876" s="13" t="n">
        <x:v>857</x:v>
      </x:c>
      <x:c r="B876" s="14">
        <x:f>IF($B$12&lt;857,"",$B$13+(857-1)*($B$14-$B$13)/($B$12-1))</x:f>
      </x:c>
      <x:c r="C876" s="14">
        <x:f>IF(B876="","",$F$8*COS(B876) + $B$7*COS($F$6*B876))</x:f>
      </x:c>
      <x:c r="D876" s="14">
        <x:f>IF(B876="","",$F$8*SIN(B876) - $B$7*SIN($F$6*B876))</x:f>
      </x:c>
      <x:c r="E876" s="14">
        <x:f>IF(B876="","", C876 + $F$12*$F$9*(-H876)/IF(SQRT(G876^2+H876^2)=0,1,SQRT(G876^2+H876^2)))</x:f>
      </x:c>
      <x:c r="F876" s="14">
        <x:f>IF(B876="","", D876 + $F$12*$F$9*(G876)/IF(SQRT(G876^2+H876^2)=0,1,SQRT(G876^2+H876^2)))</x:f>
      </x:c>
      <x:c r="G876" s="14">
        <x:f>IF(B876="","", -$F$8*SIN(B876) - $B$7*$F$6*SIN($F$6*B876))</x:f>
      </x:c>
      <x:c r="H876" s="14">
        <x:f>IF(B876="","", $F$8*COS(B876) - $B$7*$F$6*COS($F$6*B876))</x:f>
      </x:c>
    </x:row>
    <x:row r="877">
      <x:c r="A877" s="13" t="n">
        <x:v>858</x:v>
      </x:c>
      <x:c r="B877" s="14">
        <x:f>IF($B$12&lt;858,"",$B$13+(858-1)*($B$14-$B$13)/($B$12-1))</x:f>
      </x:c>
      <x:c r="C877" s="14">
        <x:f>IF(B877="","",$F$8*COS(B877) + $B$7*COS($F$6*B877))</x:f>
      </x:c>
      <x:c r="D877" s="14">
        <x:f>IF(B877="","",$F$8*SIN(B877) - $B$7*SIN($F$6*B877))</x:f>
      </x:c>
      <x:c r="E877" s="14">
        <x:f>IF(B877="","", C877 + $F$12*$F$9*(-H877)/IF(SQRT(G877^2+H877^2)=0,1,SQRT(G877^2+H877^2)))</x:f>
      </x:c>
      <x:c r="F877" s="14">
        <x:f>IF(B877="","", D877 + $F$12*$F$9*(G877)/IF(SQRT(G877^2+H877^2)=0,1,SQRT(G877^2+H877^2)))</x:f>
      </x:c>
      <x:c r="G877" s="14">
        <x:f>IF(B877="","", -$F$8*SIN(B877) - $B$7*$F$6*SIN($F$6*B877))</x:f>
      </x:c>
      <x:c r="H877" s="14">
        <x:f>IF(B877="","", $F$8*COS(B877) - $B$7*$F$6*COS($F$6*B877))</x:f>
      </x:c>
    </x:row>
    <x:row r="878">
      <x:c r="A878" s="13" t="n">
        <x:v>859</x:v>
      </x:c>
      <x:c r="B878" s="14">
        <x:f>IF($B$12&lt;859,"",$B$13+(859-1)*($B$14-$B$13)/($B$12-1))</x:f>
      </x:c>
      <x:c r="C878" s="14">
        <x:f>IF(B878="","",$F$8*COS(B878) + $B$7*COS($F$6*B878))</x:f>
      </x:c>
      <x:c r="D878" s="14">
        <x:f>IF(B878="","",$F$8*SIN(B878) - $B$7*SIN($F$6*B878))</x:f>
      </x:c>
      <x:c r="E878" s="14">
        <x:f>IF(B878="","", C878 + $F$12*$F$9*(-H878)/IF(SQRT(G878^2+H878^2)=0,1,SQRT(G878^2+H878^2)))</x:f>
      </x:c>
      <x:c r="F878" s="14">
        <x:f>IF(B878="","", D878 + $F$12*$F$9*(G878)/IF(SQRT(G878^2+H878^2)=0,1,SQRT(G878^2+H878^2)))</x:f>
      </x:c>
      <x:c r="G878" s="14">
        <x:f>IF(B878="","", -$F$8*SIN(B878) - $B$7*$F$6*SIN($F$6*B878))</x:f>
      </x:c>
      <x:c r="H878" s="14">
        <x:f>IF(B878="","", $F$8*COS(B878) - $B$7*$F$6*COS($F$6*B878))</x:f>
      </x:c>
    </x:row>
    <x:row r="879">
      <x:c r="A879" s="13" t="n">
        <x:v>860</x:v>
      </x:c>
      <x:c r="B879" s="14">
        <x:f>IF($B$12&lt;860,"",$B$13+(860-1)*($B$14-$B$13)/($B$12-1))</x:f>
      </x:c>
      <x:c r="C879" s="14">
        <x:f>IF(B879="","",$F$8*COS(B879) + $B$7*COS($F$6*B879))</x:f>
      </x:c>
      <x:c r="D879" s="14">
        <x:f>IF(B879="","",$F$8*SIN(B879) - $B$7*SIN($F$6*B879))</x:f>
      </x:c>
      <x:c r="E879" s="14">
        <x:f>IF(B879="","", C879 + $F$12*$F$9*(-H879)/IF(SQRT(G879^2+H879^2)=0,1,SQRT(G879^2+H879^2)))</x:f>
      </x:c>
      <x:c r="F879" s="14">
        <x:f>IF(B879="","", D879 + $F$12*$F$9*(G879)/IF(SQRT(G879^2+H879^2)=0,1,SQRT(G879^2+H879^2)))</x:f>
      </x:c>
      <x:c r="G879" s="14">
        <x:f>IF(B879="","", -$F$8*SIN(B879) - $B$7*$F$6*SIN($F$6*B879))</x:f>
      </x:c>
      <x:c r="H879" s="14">
        <x:f>IF(B879="","", $F$8*COS(B879) - $B$7*$F$6*COS($F$6*B879))</x:f>
      </x:c>
    </x:row>
    <x:row r="880">
      <x:c r="A880" s="13" t="n">
        <x:v>861</x:v>
      </x:c>
      <x:c r="B880" s="14">
        <x:f>IF($B$12&lt;861,"",$B$13+(861-1)*($B$14-$B$13)/($B$12-1))</x:f>
      </x:c>
      <x:c r="C880" s="14">
        <x:f>IF(B880="","",$F$8*COS(B880) + $B$7*COS($F$6*B880))</x:f>
      </x:c>
      <x:c r="D880" s="14">
        <x:f>IF(B880="","",$F$8*SIN(B880) - $B$7*SIN($F$6*B880))</x:f>
      </x:c>
      <x:c r="E880" s="14">
        <x:f>IF(B880="","", C880 + $F$12*$F$9*(-H880)/IF(SQRT(G880^2+H880^2)=0,1,SQRT(G880^2+H880^2)))</x:f>
      </x:c>
      <x:c r="F880" s="14">
        <x:f>IF(B880="","", D880 + $F$12*$F$9*(G880)/IF(SQRT(G880^2+H880^2)=0,1,SQRT(G880^2+H880^2)))</x:f>
      </x:c>
      <x:c r="G880" s="14">
        <x:f>IF(B880="","", -$F$8*SIN(B880) - $B$7*$F$6*SIN($F$6*B880))</x:f>
      </x:c>
      <x:c r="H880" s="14">
        <x:f>IF(B880="","", $F$8*COS(B880) - $B$7*$F$6*COS($F$6*B880))</x:f>
      </x:c>
    </x:row>
    <x:row r="881">
      <x:c r="A881" s="13" t="n">
        <x:v>862</x:v>
      </x:c>
      <x:c r="B881" s="14">
        <x:f>IF($B$12&lt;862,"",$B$13+(862-1)*($B$14-$B$13)/($B$12-1))</x:f>
      </x:c>
      <x:c r="C881" s="14">
        <x:f>IF(B881="","",$F$8*COS(B881) + $B$7*COS($F$6*B881))</x:f>
      </x:c>
      <x:c r="D881" s="14">
        <x:f>IF(B881="","",$F$8*SIN(B881) - $B$7*SIN($F$6*B881))</x:f>
      </x:c>
      <x:c r="E881" s="14">
        <x:f>IF(B881="","", C881 + $F$12*$F$9*(-H881)/IF(SQRT(G881^2+H881^2)=0,1,SQRT(G881^2+H881^2)))</x:f>
      </x:c>
      <x:c r="F881" s="14">
        <x:f>IF(B881="","", D881 + $F$12*$F$9*(G881)/IF(SQRT(G881^2+H881^2)=0,1,SQRT(G881^2+H881^2)))</x:f>
      </x:c>
      <x:c r="G881" s="14">
        <x:f>IF(B881="","", -$F$8*SIN(B881) - $B$7*$F$6*SIN($F$6*B881))</x:f>
      </x:c>
      <x:c r="H881" s="14">
        <x:f>IF(B881="","", $F$8*COS(B881) - $B$7*$F$6*COS($F$6*B881))</x:f>
      </x:c>
    </x:row>
    <x:row r="882">
      <x:c r="A882" s="13" t="n">
        <x:v>863</x:v>
      </x:c>
      <x:c r="B882" s="14">
        <x:f>IF($B$12&lt;863,"",$B$13+(863-1)*($B$14-$B$13)/($B$12-1))</x:f>
      </x:c>
      <x:c r="C882" s="14">
        <x:f>IF(B882="","",$F$8*COS(B882) + $B$7*COS($F$6*B882))</x:f>
      </x:c>
      <x:c r="D882" s="14">
        <x:f>IF(B882="","",$F$8*SIN(B882) - $B$7*SIN($F$6*B882))</x:f>
      </x:c>
      <x:c r="E882" s="14">
        <x:f>IF(B882="","", C882 + $F$12*$F$9*(-H882)/IF(SQRT(G882^2+H882^2)=0,1,SQRT(G882^2+H882^2)))</x:f>
      </x:c>
      <x:c r="F882" s="14">
        <x:f>IF(B882="","", D882 + $F$12*$F$9*(G882)/IF(SQRT(G882^2+H882^2)=0,1,SQRT(G882^2+H882^2)))</x:f>
      </x:c>
      <x:c r="G882" s="14">
        <x:f>IF(B882="","", -$F$8*SIN(B882) - $B$7*$F$6*SIN($F$6*B882))</x:f>
      </x:c>
      <x:c r="H882" s="14">
        <x:f>IF(B882="","", $F$8*COS(B882) - $B$7*$F$6*COS($F$6*B882))</x:f>
      </x:c>
    </x:row>
    <x:row r="883">
      <x:c r="A883" s="13" t="n">
        <x:v>864</x:v>
      </x:c>
      <x:c r="B883" s="14">
        <x:f>IF($B$12&lt;864,"",$B$13+(864-1)*($B$14-$B$13)/($B$12-1))</x:f>
      </x:c>
      <x:c r="C883" s="14">
        <x:f>IF(B883="","",$F$8*COS(B883) + $B$7*COS($F$6*B883))</x:f>
      </x:c>
      <x:c r="D883" s="14">
        <x:f>IF(B883="","",$F$8*SIN(B883) - $B$7*SIN($F$6*B883))</x:f>
      </x:c>
      <x:c r="E883" s="14">
        <x:f>IF(B883="","", C883 + $F$12*$F$9*(-H883)/IF(SQRT(G883^2+H883^2)=0,1,SQRT(G883^2+H883^2)))</x:f>
      </x:c>
      <x:c r="F883" s="14">
        <x:f>IF(B883="","", D883 + $F$12*$F$9*(G883)/IF(SQRT(G883^2+H883^2)=0,1,SQRT(G883^2+H883^2)))</x:f>
      </x:c>
      <x:c r="G883" s="14">
        <x:f>IF(B883="","", -$F$8*SIN(B883) - $B$7*$F$6*SIN($F$6*B883))</x:f>
      </x:c>
      <x:c r="H883" s="14">
        <x:f>IF(B883="","", $F$8*COS(B883) - $B$7*$F$6*COS($F$6*B883))</x:f>
      </x:c>
    </x:row>
    <x:row r="884">
      <x:c r="A884" s="13" t="n">
        <x:v>865</x:v>
      </x:c>
      <x:c r="B884" s="14">
        <x:f>IF($B$12&lt;865,"",$B$13+(865-1)*($B$14-$B$13)/($B$12-1))</x:f>
      </x:c>
      <x:c r="C884" s="14">
        <x:f>IF(B884="","",$F$8*COS(B884) + $B$7*COS($F$6*B884))</x:f>
      </x:c>
      <x:c r="D884" s="14">
        <x:f>IF(B884="","",$F$8*SIN(B884) - $B$7*SIN($F$6*B884))</x:f>
      </x:c>
      <x:c r="E884" s="14">
        <x:f>IF(B884="","", C884 + $F$12*$F$9*(-H884)/IF(SQRT(G884^2+H884^2)=0,1,SQRT(G884^2+H884^2)))</x:f>
      </x:c>
      <x:c r="F884" s="14">
        <x:f>IF(B884="","", D884 + $F$12*$F$9*(G884)/IF(SQRT(G884^2+H884^2)=0,1,SQRT(G884^2+H884^2)))</x:f>
      </x:c>
      <x:c r="G884" s="14">
        <x:f>IF(B884="","", -$F$8*SIN(B884) - $B$7*$F$6*SIN($F$6*B884))</x:f>
      </x:c>
      <x:c r="H884" s="14">
        <x:f>IF(B884="","", $F$8*COS(B884) - $B$7*$F$6*COS($F$6*B884))</x:f>
      </x:c>
    </x:row>
    <x:row r="885">
      <x:c r="A885" s="13" t="n">
        <x:v>866</x:v>
      </x:c>
      <x:c r="B885" s="14">
        <x:f>IF($B$12&lt;866,"",$B$13+(866-1)*($B$14-$B$13)/($B$12-1))</x:f>
      </x:c>
      <x:c r="C885" s="14">
        <x:f>IF(B885="","",$F$8*COS(B885) + $B$7*COS($F$6*B885))</x:f>
      </x:c>
      <x:c r="D885" s="14">
        <x:f>IF(B885="","",$F$8*SIN(B885) - $B$7*SIN($F$6*B885))</x:f>
      </x:c>
      <x:c r="E885" s="14">
        <x:f>IF(B885="","", C885 + $F$12*$F$9*(-H885)/IF(SQRT(G885^2+H885^2)=0,1,SQRT(G885^2+H885^2)))</x:f>
      </x:c>
      <x:c r="F885" s="14">
        <x:f>IF(B885="","", D885 + $F$12*$F$9*(G885)/IF(SQRT(G885^2+H885^2)=0,1,SQRT(G885^2+H885^2)))</x:f>
      </x:c>
      <x:c r="G885" s="14">
        <x:f>IF(B885="","", -$F$8*SIN(B885) - $B$7*$F$6*SIN($F$6*B885))</x:f>
      </x:c>
      <x:c r="H885" s="14">
        <x:f>IF(B885="","", $F$8*COS(B885) - $B$7*$F$6*COS($F$6*B885))</x:f>
      </x:c>
    </x:row>
    <x:row r="886">
      <x:c r="A886" s="13" t="n">
        <x:v>867</x:v>
      </x:c>
      <x:c r="B886" s="14">
        <x:f>IF($B$12&lt;867,"",$B$13+(867-1)*($B$14-$B$13)/($B$12-1))</x:f>
      </x:c>
      <x:c r="C886" s="14">
        <x:f>IF(B886="","",$F$8*COS(B886) + $B$7*COS($F$6*B886))</x:f>
      </x:c>
      <x:c r="D886" s="14">
        <x:f>IF(B886="","",$F$8*SIN(B886) - $B$7*SIN($F$6*B886))</x:f>
      </x:c>
      <x:c r="E886" s="14">
        <x:f>IF(B886="","", C886 + $F$12*$F$9*(-H886)/IF(SQRT(G886^2+H886^2)=0,1,SQRT(G886^2+H886^2)))</x:f>
      </x:c>
      <x:c r="F886" s="14">
        <x:f>IF(B886="","", D886 + $F$12*$F$9*(G886)/IF(SQRT(G886^2+H886^2)=0,1,SQRT(G886^2+H886^2)))</x:f>
      </x:c>
      <x:c r="G886" s="14">
        <x:f>IF(B886="","", -$F$8*SIN(B886) - $B$7*$F$6*SIN($F$6*B886))</x:f>
      </x:c>
      <x:c r="H886" s="14">
        <x:f>IF(B886="","", $F$8*COS(B886) - $B$7*$F$6*COS($F$6*B886))</x:f>
      </x:c>
    </x:row>
    <x:row r="887">
      <x:c r="A887" s="13" t="n">
        <x:v>868</x:v>
      </x:c>
      <x:c r="B887" s="14">
        <x:f>IF($B$12&lt;868,"",$B$13+(868-1)*($B$14-$B$13)/($B$12-1))</x:f>
      </x:c>
      <x:c r="C887" s="14">
        <x:f>IF(B887="","",$F$8*COS(B887) + $B$7*COS($F$6*B887))</x:f>
      </x:c>
      <x:c r="D887" s="14">
        <x:f>IF(B887="","",$F$8*SIN(B887) - $B$7*SIN($F$6*B887))</x:f>
      </x:c>
      <x:c r="E887" s="14">
        <x:f>IF(B887="","", C887 + $F$12*$F$9*(-H887)/IF(SQRT(G887^2+H887^2)=0,1,SQRT(G887^2+H887^2)))</x:f>
      </x:c>
      <x:c r="F887" s="14">
        <x:f>IF(B887="","", D887 + $F$12*$F$9*(G887)/IF(SQRT(G887^2+H887^2)=0,1,SQRT(G887^2+H887^2)))</x:f>
      </x:c>
      <x:c r="G887" s="14">
        <x:f>IF(B887="","", -$F$8*SIN(B887) - $B$7*$F$6*SIN($F$6*B887))</x:f>
      </x:c>
      <x:c r="H887" s="14">
        <x:f>IF(B887="","", $F$8*COS(B887) - $B$7*$F$6*COS($F$6*B887))</x:f>
      </x:c>
    </x:row>
    <x:row r="888">
      <x:c r="A888" s="13" t="n">
        <x:v>869</x:v>
      </x:c>
      <x:c r="B888" s="14">
        <x:f>IF($B$12&lt;869,"",$B$13+(869-1)*($B$14-$B$13)/($B$12-1))</x:f>
      </x:c>
      <x:c r="C888" s="14">
        <x:f>IF(B888="","",$F$8*COS(B888) + $B$7*COS($F$6*B888))</x:f>
      </x:c>
      <x:c r="D888" s="14">
        <x:f>IF(B888="","",$F$8*SIN(B888) - $B$7*SIN($F$6*B888))</x:f>
      </x:c>
      <x:c r="E888" s="14">
        <x:f>IF(B888="","", C888 + $F$12*$F$9*(-H888)/IF(SQRT(G888^2+H888^2)=0,1,SQRT(G888^2+H888^2)))</x:f>
      </x:c>
      <x:c r="F888" s="14">
        <x:f>IF(B888="","", D888 + $F$12*$F$9*(G888)/IF(SQRT(G888^2+H888^2)=0,1,SQRT(G888^2+H888^2)))</x:f>
      </x:c>
      <x:c r="G888" s="14">
        <x:f>IF(B888="","", -$F$8*SIN(B888) - $B$7*$F$6*SIN($F$6*B888))</x:f>
      </x:c>
      <x:c r="H888" s="14">
        <x:f>IF(B888="","", $F$8*COS(B888) - $B$7*$F$6*COS($F$6*B888))</x:f>
      </x:c>
    </x:row>
    <x:row r="889">
      <x:c r="A889" s="13" t="n">
        <x:v>870</x:v>
      </x:c>
      <x:c r="B889" s="14">
        <x:f>IF($B$12&lt;870,"",$B$13+(870-1)*($B$14-$B$13)/($B$12-1))</x:f>
      </x:c>
      <x:c r="C889" s="14">
        <x:f>IF(B889="","",$F$8*COS(B889) + $B$7*COS($F$6*B889))</x:f>
      </x:c>
      <x:c r="D889" s="14">
        <x:f>IF(B889="","",$F$8*SIN(B889) - $B$7*SIN($F$6*B889))</x:f>
      </x:c>
      <x:c r="E889" s="14">
        <x:f>IF(B889="","", C889 + $F$12*$F$9*(-H889)/IF(SQRT(G889^2+H889^2)=0,1,SQRT(G889^2+H889^2)))</x:f>
      </x:c>
      <x:c r="F889" s="14">
        <x:f>IF(B889="","", D889 + $F$12*$F$9*(G889)/IF(SQRT(G889^2+H889^2)=0,1,SQRT(G889^2+H889^2)))</x:f>
      </x:c>
      <x:c r="G889" s="14">
        <x:f>IF(B889="","", -$F$8*SIN(B889) - $B$7*$F$6*SIN($F$6*B889))</x:f>
      </x:c>
      <x:c r="H889" s="14">
        <x:f>IF(B889="","", $F$8*COS(B889) - $B$7*$F$6*COS($F$6*B889))</x:f>
      </x:c>
    </x:row>
    <x:row r="890">
      <x:c r="A890" s="13" t="n">
        <x:v>871</x:v>
      </x:c>
      <x:c r="B890" s="14">
        <x:f>IF($B$12&lt;871,"",$B$13+(871-1)*($B$14-$B$13)/($B$12-1))</x:f>
      </x:c>
      <x:c r="C890" s="14">
        <x:f>IF(B890="","",$F$8*COS(B890) + $B$7*COS($F$6*B890))</x:f>
      </x:c>
      <x:c r="D890" s="14">
        <x:f>IF(B890="","",$F$8*SIN(B890) - $B$7*SIN($F$6*B890))</x:f>
      </x:c>
      <x:c r="E890" s="14">
        <x:f>IF(B890="","", C890 + $F$12*$F$9*(-H890)/IF(SQRT(G890^2+H890^2)=0,1,SQRT(G890^2+H890^2)))</x:f>
      </x:c>
      <x:c r="F890" s="14">
        <x:f>IF(B890="","", D890 + $F$12*$F$9*(G890)/IF(SQRT(G890^2+H890^2)=0,1,SQRT(G890^2+H890^2)))</x:f>
      </x:c>
      <x:c r="G890" s="14">
        <x:f>IF(B890="","", -$F$8*SIN(B890) - $B$7*$F$6*SIN($F$6*B890))</x:f>
      </x:c>
      <x:c r="H890" s="14">
        <x:f>IF(B890="","", $F$8*COS(B890) - $B$7*$F$6*COS($F$6*B890))</x:f>
      </x:c>
    </x:row>
    <x:row r="891">
      <x:c r="A891" s="13" t="n">
        <x:v>872</x:v>
      </x:c>
      <x:c r="B891" s="14">
        <x:f>IF($B$12&lt;872,"",$B$13+(872-1)*($B$14-$B$13)/($B$12-1))</x:f>
      </x:c>
      <x:c r="C891" s="14">
        <x:f>IF(B891="","",$F$8*COS(B891) + $B$7*COS($F$6*B891))</x:f>
      </x:c>
      <x:c r="D891" s="14">
        <x:f>IF(B891="","",$F$8*SIN(B891) - $B$7*SIN($F$6*B891))</x:f>
      </x:c>
      <x:c r="E891" s="14">
        <x:f>IF(B891="","", C891 + $F$12*$F$9*(-H891)/IF(SQRT(G891^2+H891^2)=0,1,SQRT(G891^2+H891^2)))</x:f>
      </x:c>
      <x:c r="F891" s="14">
        <x:f>IF(B891="","", D891 + $F$12*$F$9*(G891)/IF(SQRT(G891^2+H891^2)=0,1,SQRT(G891^2+H891^2)))</x:f>
      </x:c>
      <x:c r="G891" s="14">
        <x:f>IF(B891="","", -$F$8*SIN(B891) - $B$7*$F$6*SIN($F$6*B891))</x:f>
      </x:c>
      <x:c r="H891" s="14">
        <x:f>IF(B891="","", $F$8*COS(B891) - $B$7*$F$6*COS($F$6*B891))</x:f>
      </x:c>
    </x:row>
    <x:row r="892">
      <x:c r="A892" s="13" t="n">
        <x:v>873</x:v>
      </x:c>
      <x:c r="B892" s="14">
        <x:f>IF($B$12&lt;873,"",$B$13+(873-1)*($B$14-$B$13)/($B$12-1))</x:f>
      </x:c>
      <x:c r="C892" s="14">
        <x:f>IF(B892="","",$F$8*COS(B892) + $B$7*COS($F$6*B892))</x:f>
      </x:c>
      <x:c r="D892" s="14">
        <x:f>IF(B892="","",$F$8*SIN(B892) - $B$7*SIN($F$6*B892))</x:f>
      </x:c>
      <x:c r="E892" s="14">
        <x:f>IF(B892="","", C892 + $F$12*$F$9*(-H892)/IF(SQRT(G892^2+H892^2)=0,1,SQRT(G892^2+H892^2)))</x:f>
      </x:c>
      <x:c r="F892" s="14">
        <x:f>IF(B892="","", D892 + $F$12*$F$9*(G892)/IF(SQRT(G892^2+H892^2)=0,1,SQRT(G892^2+H892^2)))</x:f>
      </x:c>
      <x:c r="G892" s="14">
        <x:f>IF(B892="","", -$F$8*SIN(B892) - $B$7*$F$6*SIN($F$6*B892))</x:f>
      </x:c>
      <x:c r="H892" s="14">
        <x:f>IF(B892="","", $F$8*COS(B892) - $B$7*$F$6*COS($F$6*B892))</x:f>
      </x:c>
    </x:row>
    <x:row r="893">
      <x:c r="A893" s="13" t="n">
        <x:v>874</x:v>
      </x:c>
      <x:c r="B893" s="14">
        <x:f>IF($B$12&lt;874,"",$B$13+(874-1)*($B$14-$B$13)/($B$12-1))</x:f>
      </x:c>
      <x:c r="C893" s="14">
        <x:f>IF(B893="","",$F$8*COS(B893) + $B$7*COS($F$6*B893))</x:f>
      </x:c>
      <x:c r="D893" s="14">
        <x:f>IF(B893="","",$F$8*SIN(B893) - $B$7*SIN($F$6*B893))</x:f>
      </x:c>
      <x:c r="E893" s="14">
        <x:f>IF(B893="","", C893 + $F$12*$F$9*(-H893)/IF(SQRT(G893^2+H893^2)=0,1,SQRT(G893^2+H893^2)))</x:f>
      </x:c>
      <x:c r="F893" s="14">
        <x:f>IF(B893="","", D893 + $F$12*$F$9*(G893)/IF(SQRT(G893^2+H893^2)=0,1,SQRT(G893^2+H893^2)))</x:f>
      </x:c>
      <x:c r="G893" s="14">
        <x:f>IF(B893="","", -$F$8*SIN(B893) - $B$7*$F$6*SIN($F$6*B893))</x:f>
      </x:c>
      <x:c r="H893" s="14">
        <x:f>IF(B893="","", $F$8*COS(B893) - $B$7*$F$6*COS($F$6*B893))</x:f>
      </x:c>
    </x:row>
    <x:row r="894">
      <x:c r="A894" s="13" t="n">
        <x:v>875</x:v>
      </x:c>
      <x:c r="B894" s="14">
        <x:f>IF($B$12&lt;875,"",$B$13+(875-1)*($B$14-$B$13)/($B$12-1))</x:f>
      </x:c>
      <x:c r="C894" s="14">
        <x:f>IF(B894="","",$F$8*COS(B894) + $B$7*COS($F$6*B894))</x:f>
      </x:c>
      <x:c r="D894" s="14">
        <x:f>IF(B894="","",$F$8*SIN(B894) - $B$7*SIN($F$6*B894))</x:f>
      </x:c>
      <x:c r="E894" s="14">
        <x:f>IF(B894="","", C894 + $F$12*$F$9*(-H894)/IF(SQRT(G894^2+H894^2)=0,1,SQRT(G894^2+H894^2)))</x:f>
      </x:c>
      <x:c r="F894" s="14">
        <x:f>IF(B894="","", D894 + $F$12*$F$9*(G894)/IF(SQRT(G894^2+H894^2)=0,1,SQRT(G894^2+H894^2)))</x:f>
      </x:c>
      <x:c r="G894" s="14">
        <x:f>IF(B894="","", -$F$8*SIN(B894) - $B$7*$F$6*SIN($F$6*B894))</x:f>
      </x:c>
      <x:c r="H894" s="14">
        <x:f>IF(B894="","", $F$8*COS(B894) - $B$7*$F$6*COS($F$6*B894))</x:f>
      </x:c>
    </x:row>
    <x:row r="895">
      <x:c r="A895" s="13" t="n">
        <x:v>876</x:v>
      </x:c>
      <x:c r="B895" s="14">
        <x:f>IF($B$12&lt;876,"",$B$13+(876-1)*($B$14-$B$13)/($B$12-1))</x:f>
      </x:c>
      <x:c r="C895" s="14">
        <x:f>IF(B895="","",$F$8*COS(B895) + $B$7*COS($F$6*B895))</x:f>
      </x:c>
      <x:c r="D895" s="14">
        <x:f>IF(B895="","",$F$8*SIN(B895) - $B$7*SIN($F$6*B895))</x:f>
      </x:c>
      <x:c r="E895" s="14">
        <x:f>IF(B895="","", C895 + $F$12*$F$9*(-H895)/IF(SQRT(G895^2+H895^2)=0,1,SQRT(G895^2+H895^2)))</x:f>
      </x:c>
      <x:c r="F895" s="14">
        <x:f>IF(B895="","", D895 + $F$12*$F$9*(G895)/IF(SQRT(G895^2+H895^2)=0,1,SQRT(G895^2+H895^2)))</x:f>
      </x:c>
      <x:c r="G895" s="14">
        <x:f>IF(B895="","", -$F$8*SIN(B895) - $B$7*$F$6*SIN($F$6*B895))</x:f>
      </x:c>
      <x:c r="H895" s="14">
        <x:f>IF(B895="","", $F$8*COS(B895) - $B$7*$F$6*COS($F$6*B895))</x:f>
      </x:c>
    </x:row>
    <x:row r="896">
      <x:c r="A896" s="13" t="n">
        <x:v>877</x:v>
      </x:c>
      <x:c r="B896" s="14">
        <x:f>IF($B$12&lt;877,"",$B$13+(877-1)*($B$14-$B$13)/($B$12-1))</x:f>
      </x:c>
      <x:c r="C896" s="14">
        <x:f>IF(B896="","",$F$8*COS(B896) + $B$7*COS($F$6*B896))</x:f>
      </x:c>
      <x:c r="D896" s="14">
        <x:f>IF(B896="","",$F$8*SIN(B896) - $B$7*SIN($F$6*B896))</x:f>
      </x:c>
      <x:c r="E896" s="14">
        <x:f>IF(B896="","", C896 + $F$12*$F$9*(-H896)/IF(SQRT(G896^2+H896^2)=0,1,SQRT(G896^2+H896^2)))</x:f>
      </x:c>
      <x:c r="F896" s="14">
        <x:f>IF(B896="","", D896 + $F$12*$F$9*(G896)/IF(SQRT(G896^2+H896^2)=0,1,SQRT(G896^2+H896^2)))</x:f>
      </x:c>
      <x:c r="G896" s="14">
        <x:f>IF(B896="","", -$F$8*SIN(B896) - $B$7*$F$6*SIN($F$6*B896))</x:f>
      </x:c>
      <x:c r="H896" s="14">
        <x:f>IF(B896="","", $F$8*COS(B896) - $B$7*$F$6*COS($F$6*B896))</x:f>
      </x:c>
    </x:row>
    <x:row r="897">
      <x:c r="A897" s="13" t="n">
        <x:v>878</x:v>
      </x:c>
      <x:c r="B897" s="14">
        <x:f>IF($B$12&lt;878,"",$B$13+(878-1)*($B$14-$B$13)/($B$12-1))</x:f>
      </x:c>
      <x:c r="C897" s="14">
        <x:f>IF(B897="","",$F$8*COS(B897) + $B$7*COS($F$6*B897))</x:f>
      </x:c>
      <x:c r="D897" s="14">
        <x:f>IF(B897="","",$F$8*SIN(B897) - $B$7*SIN($F$6*B897))</x:f>
      </x:c>
      <x:c r="E897" s="14">
        <x:f>IF(B897="","", C897 + $F$12*$F$9*(-H897)/IF(SQRT(G897^2+H897^2)=0,1,SQRT(G897^2+H897^2)))</x:f>
      </x:c>
      <x:c r="F897" s="14">
        <x:f>IF(B897="","", D897 + $F$12*$F$9*(G897)/IF(SQRT(G897^2+H897^2)=0,1,SQRT(G897^2+H897^2)))</x:f>
      </x:c>
      <x:c r="G897" s="14">
        <x:f>IF(B897="","", -$F$8*SIN(B897) - $B$7*$F$6*SIN($F$6*B897))</x:f>
      </x:c>
      <x:c r="H897" s="14">
        <x:f>IF(B897="","", $F$8*COS(B897) - $B$7*$F$6*COS($F$6*B897))</x:f>
      </x:c>
    </x:row>
    <x:row r="898">
      <x:c r="A898" s="13" t="n">
        <x:v>879</x:v>
      </x:c>
      <x:c r="B898" s="14">
        <x:f>IF($B$12&lt;879,"",$B$13+(879-1)*($B$14-$B$13)/($B$12-1))</x:f>
      </x:c>
      <x:c r="C898" s="14">
        <x:f>IF(B898="","",$F$8*COS(B898) + $B$7*COS($F$6*B898))</x:f>
      </x:c>
      <x:c r="D898" s="14">
        <x:f>IF(B898="","",$F$8*SIN(B898) - $B$7*SIN($F$6*B898))</x:f>
      </x:c>
      <x:c r="E898" s="14">
        <x:f>IF(B898="","", C898 + $F$12*$F$9*(-H898)/IF(SQRT(G898^2+H898^2)=0,1,SQRT(G898^2+H898^2)))</x:f>
      </x:c>
      <x:c r="F898" s="14">
        <x:f>IF(B898="","", D898 + $F$12*$F$9*(G898)/IF(SQRT(G898^2+H898^2)=0,1,SQRT(G898^2+H898^2)))</x:f>
      </x:c>
      <x:c r="G898" s="14">
        <x:f>IF(B898="","", -$F$8*SIN(B898) - $B$7*$F$6*SIN($F$6*B898))</x:f>
      </x:c>
      <x:c r="H898" s="14">
        <x:f>IF(B898="","", $F$8*COS(B898) - $B$7*$F$6*COS($F$6*B898))</x:f>
      </x:c>
    </x:row>
    <x:row r="899">
      <x:c r="A899" s="13" t="n">
        <x:v>880</x:v>
      </x:c>
      <x:c r="B899" s="14">
        <x:f>IF($B$12&lt;880,"",$B$13+(880-1)*($B$14-$B$13)/($B$12-1))</x:f>
      </x:c>
      <x:c r="C899" s="14">
        <x:f>IF(B899="","",$F$8*COS(B899) + $B$7*COS($F$6*B899))</x:f>
      </x:c>
      <x:c r="D899" s="14">
        <x:f>IF(B899="","",$F$8*SIN(B899) - $B$7*SIN($F$6*B899))</x:f>
      </x:c>
      <x:c r="E899" s="14">
        <x:f>IF(B899="","", C899 + $F$12*$F$9*(-H899)/IF(SQRT(G899^2+H899^2)=0,1,SQRT(G899^2+H899^2)))</x:f>
      </x:c>
      <x:c r="F899" s="14">
        <x:f>IF(B899="","", D899 + $F$12*$F$9*(G899)/IF(SQRT(G899^2+H899^2)=0,1,SQRT(G899^2+H899^2)))</x:f>
      </x:c>
      <x:c r="G899" s="14">
        <x:f>IF(B899="","", -$F$8*SIN(B899) - $B$7*$F$6*SIN($F$6*B899))</x:f>
      </x:c>
      <x:c r="H899" s="14">
        <x:f>IF(B899="","", $F$8*COS(B899) - $B$7*$F$6*COS($F$6*B899))</x:f>
      </x:c>
    </x:row>
    <x:row r="900">
      <x:c r="A900" s="13" t="n">
        <x:v>881</x:v>
      </x:c>
      <x:c r="B900" s="14">
        <x:f>IF($B$12&lt;881,"",$B$13+(881-1)*($B$14-$B$13)/($B$12-1))</x:f>
      </x:c>
      <x:c r="C900" s="14">
        <x:f>IF(B900="","",$F$8*COS(B900) + $B$7*COS($F$6*B900))</x:f>
      </x:c>
      <x:c r="D900" s="14">
        <x:f>IF(B900="","",$F$8*SIN(B900) - $B$7*SIN($F$6*B900))</x:f>
      </x:c>
      <x:c r="E900" s="14">
        <x:f>IF(B900="","", C900 + $F$12*$F$9*(-H900)/IF(SQRT(G900^2+H900^2)=0,1,SQRT(G900^2+H900^2)))</x:f>
      </x:c>
      <x:c r="F900" s="14">
        <x:f>IF(B900="","", D900 + $F$12*$F$9*(G900)/IF(SQRT(G900^2+H900^2)=0,1,SQRT(G900^2+H900^2)))</x:f>
      </x:c>
      <x:c r="G900" s="14">
        <x:f>IF(B900="","", -$F$8*SIN(B900) - $B$7*$F$6*SIN($F$6*B900))</x:f>
      </x:c>
      <x:c r="H900" s="14">
        <x:f>IF(B900="","", $F$8*COS(B900) - $B$7*$F$6*COS($F$6*B900))</x:f>
      </x:c>
    </x:row>
    <x:row r="901">
      <x:c r="A901" s="13" t="n">
        <x:v>882</x:v>
      </x:c>
      <x:c r="B901" s="14">
        <x:f>IF($B$12&lt;882,"",$B$13+(882-1)*($B$14-$B$13)/($B$12-1))</x:f>
      </x:c>
      <x:c r="C901" s="14">
        <x:f>IF(B901="","",$F$8*COS(B901) + $B$7*COS($F$6*B901))</x:f>
      </x:c>
      <x:c r="D901" s="14">
        <x:f>IF(B901="","",$F$8*SIN(B901) - $B$7*SIN($F$6*B901))</x:f>
      </x:c>
      <x:c r="E901" s="14">
        <x:f>IF(B901="","", C901 + $F$12*$F$9*(-H901)/IF(SQRT(G901^2+H901^2)=0,1,SQRT(G901^2+H901^2)))</x:f>
      </x:c>
      <x:c r="F901" s="14">
        <x:f>IF(B901="","", D901 + $F$12*$F$9*(G901)/IF(SQRT(G901^2+H901^2)=0,1,SQRT(G901^2+H901^2)))</x:f>
      </x:c>
      <x:c r="G901" s="14">
        <x:f>IF(B901="","", -$F$8*SIN(B901) - $B$7*$F$6*SIN($F$6*B901))</x:f>
      </x:c>
      <x:c r="H901" s="14">
        <x:f>IF(B901="","", $F$8*COS(B901) - $B$7*$F$6*COS($F$6*B901))</x:f>
      </x:c>
    </x:row>
    <x:row r="902">
      <x:c r="A902" s="13" t="n">
        <x:v>883</x:v>
      </x:c>
      <x:c r="B902" s="14">
        <x:f>IF($B$12&lt;883,"",$B$13+(883-1)*($B$14-$B$13)/($B$12-1))</x:f>
      </x:c>
      <x:c r="C902" s="14">
        <x:f>IF(B902="","",$F$8*COS(B902) + $B$7*COS($F$6*B902))</x:f>
      </x:c>
      <x:c r="D902" s="14">
        <x:f>IF(B902="","",$F$8*SIN(B902) - $B$7*SIN($F$6*B902))</x:f>
      </x:c>
      <x:c r="E902" s="14">
        <x:f>IF(B902="","", C902 + $F$12*$F$9*(-H902)/IF(SQRT(G902^2+H902^2)=0,1,SQRT(G902^2+H902^2)))</x:f>
      </x:c>
      <x:c r="F902" s="14">
        <x:f>IF(B902="","", D902 + $F$12*$F$9*(G902)/IF(SQRT(G902^2+H902^2)=0,1,SQRT(G902^2+H902^2)))</x:f>
      </x:c>
      <x:c r="G902" s="14">
        <x:f>IF(B902="","", -$F$8*SIN(B902) - $B$7*$F$6*SIN($F$6*B902))</x:f>
      </x:c>
      <x:c r="H902" s="14">
        <x:f>IF(B902="","", $F$8*COS(B902) - $B$7*$F$6*COS($F$6*B902))</x:f>
      </x:c>
    </x:row>
    <x:row r="903">
      <x:c r="A903" s="13" t="n">
        <x:v>884</x:v>
      </x:c>
      <x:c r="B903" s="14">
        <x:f>IF($B$12&lt;884,"",$B$13+(884-1)*($B$14-$B$13)/($B$12-1))</x:f>
      </x:c>
      <x:c r="C903" s="14">
        <x:f>IF(B903="","",$F$8*COS(B903) + $B$7*COS($F$6*B903))</x:f>
      </x:c>
      <x:c r="D903" s="14">
        <x:f>IF(B903="","",$F$8*SIN(B903) - $B$7*SIN($F$6*B903))</x:f>
      </x:c>
      <x:c r="E903" s="14">
        <x:f>IF(B903="","", C903 + $F$12*$F$9*(-H903)/IF(SQRT(G903^2+H903^2)=0,1,SQRT(G903^2+H903^2)))</x:f>
      </x:c>
      <x:c r="F903" s="14">
        <x:f>IF(B903="","", D903 + $F$12*$F$9*(G903)/IF(SQRT(G903^2+H903^2)=0,1,SQRT(G903^2+H903^2)))</x:f>
      </x:c>
      <x:c r="G903" s="14">
        <x:f>IF(B903="","", -$F$8*SIN(B903) - $B$7*$F$6*SIN($F$6*B903))</x:f>
      </x:c>
      <x:c r="H903" s="14">
        <x:f>IF(B903="","", $F$8*COS(B903) - $B$7*$F$6*COS($F$6*B903))</x:f>
      </x:c>
    </x:row>
    <x:row r="904">
      <x:c r="A904" s="13" t="n">
        <x:v>885</x:v>
      </x:c>
      <x:c r="B904" s="14">
        <x:f>IF($B$12&lt;885,"",$B$13+(885-1)*($B$14-$B$13)/($B$12-1))</x:f>
      </x:c>
      <x:c r="C904" s="14">
        <x:f>IF(B904="","",$F$8*COS(B904) + $B$7*COS($F$6*B904))</x:f>
      </x:c>
      <x:c r="D904" s="14">
        <x:f>IF(B904="","",$F$8*SIN(B904) - $B$7*SIN($F$6*B904))</x:f>
      </x:c>
      <x:c r="E904" s="14">
        <x:f>IF(B904="","", C904 + $F$12*$F$9*(-H904)/IF(SQRT(G904^2+H904^2)=0,1,SQRT(G904^2+H904^2)))</x:f>
      </x:c>
      <x:c r="F904" s="14">
        <x:f>IF(B904="","", D904 + $F$12*$F$9*(G904)/IF(SQRT(G904^2+H904^2)=0,1,SQRT(G904^2+H904^2)))</x:f>
      </x:c>
      <x:c r="G904" s="14">
        <x:f>IF(B904="","", -$F$8*SIN(B904) - $B$7*$F$6*SIN($F$6*B904))</x:f>
      </x:c>
      <x:c r="H904" s="14">
        <x:f>IF(B904="","", $F$8*COS(B904) - $B$7*$F$6*COS($F$6*B904))</x:f>
      </x:c>
    </x:row>
    <x:row r="905">
      <x:c r="A905" s="13" t="n">
        <x:v>886</x:v>
      </x:c>
      <x:c r="B905" s="14">
        <x:f>IF($B$12&lt;886,"",$B$13+(886-1)*($B$14-$B$13)/($B$12-1))</x:f>
      </x:c>
      <x:c r="C905" s="14">
        <x:f>IF(B905="","",$F$8*COS(B905) + $B$7*COS($F$6*B905))</x:f>
      </x:c>
      <x:c r="D905" s="14">
        <x:f>IF(B905="","",$F$8*SIN(B905) - $B$7*SIN($F$6*B905))</x:f>
      </x:c>
      <x:c r="E905" s="14">
        <x:f>IF(B905="","", C905 + $F$12*$F$9*(-H905)/IF(SQRT(G905^2+H905^2)=0,1,SQRT(G905^2+H905^2)))</x:f>
      </x:c>
      <x:c r="F905" s="14">
        <x:f>IF(B905="","", D905 + $F$12*$F$9*(G905)/IF(SQRT(G905^2+H905^2)=0,1,SQRT(G905^2+H905^2)))</x:f>
      </x:c>
      <x:c r="G905" s="14">
        <x:f>IF(B905="","", -$F$8*SIN(B905) - $B$7*$F$6*SIN($F$6*B905))</x:f>
      </x:c>
      <x:c r="H905" s="14">
        <x:f>IF(B905="","", $F$8*COS(B905) - $B$7*$F$6*COS($F$6*B905))</x:f>
      </x:c>
    </x:row>
    <x:row r="906">
      <x:c r="A906" s="13" t="n">
        <x:v>887</x:v>
      </x:c>
      <x:c r="B906" s="14">
        <x:f>IF($B$12&lt;887,"",$B$13+(887-1)*($B$14-$B$13)/($B$12-1))</x:f>
      </x:c>
      <x:c r="C906" s="14">
        <x:f>IF(B906="","",$F$8*COS(B906) + $B$7*COS($F$6*B906))</x:f>
      </x:c>
      <x:c r="D906" s="14">
        <x:f>IF(B906="","",$F$8*SIN(B906) - $B$7*SIN($F$6*B906))</x:f>
      </x:c>
      <x:c r="E906" s="14">
        <x:f>IF(B906="","", C906 + $F$12*$F$9*(-H906)/IF(SQRT(G906^2+H906^2)=0,1,SQRT(G906^2+H906^2)))</x:f>
      </x:c>
      <x:c r="F906" s="14">
        <x:f>IF(B906="","", D906 + $F$12*$F$9*(G906)/IF(SQRT(G906^2+H906^2)=0,1,SQRT(G906^2+H906^2)))</x:f>
      </x:c>
      <x:c r="G906" s="14">
        <x:f>IF(B906="","", -$F$8*SIN(B906) - $B$7*$F$6*SIN($F$6*B906))</x:f>
      </x:c>
      <x:c r="H906" s="14">
        <x:f>IF(B906="","", $F$8*COS(B906) - $B$7*$F$6*COS($F$6*B906))</x:f>
      </x:c>
    </x:row>
    <x:row r="907">
      <x:c r="A907" s="13" t="n">
        <x:v>888</x:v>
      </x:c>
      <x:c r="B907" s="14">
        <x:f>IF($B$12&lt;888,"",$B$13+(888-1)*($B$14-$B$13)/($B$12-1))</x:f>
      </x:c>
      <x:c r="C907" s="14">
        <x:f>IF(B907="","",$F$8*COS(B907) + $B$7*COS($F$6*B907))</x:f>
      </x:c>
      <x:c r="D907" s="14">
        <x:f>IF(B907="","",$F$8*SIN(B907) - $B$7*SIN($F$6*B907))</x:f>
      </x:c>
      <x:c r="E907" s="14">
        <x:f>IF(B907="","", C907 + $F$12*$F$9*(-H907)/IF(SQRT(G907^2+H907^2)=0,1,SQRT(G907^2+H907^2)))</x:f>
      </x:c>
      <x:c r="F907" s="14">
        <x:f>IF(B907="","", D907 + $F$12*$F$9*(G907)/IF(SQRT(G907^2+H907^2)=0,1,SQRT(G907^2+H907^2)))</x:f>
      </x:c>
      <x:c r="G907" s="14">
        <x:f>IF(B907="","", -$F$8*SIN(B907) - $B$7*$F$6*SIN($F$6*B907))</x:f>
      </x:c>
      <x:c r="H907" s="14">
        <x:f>IF(B907="","", $F$8*COS(B907) - $B$7*$F$6*COS($F$6*B907))</x:f>
      </x:c>
    </x:row>
    <x:row r="908">
      <x:c r="A908" s="13" t="n">
        <x:v>889</x:v>
      </x:c>
      <x:c r="B908" s="14">
        <x:f>IF($B$12&lt;889,"",$B$13+(889-1)*($B$14-$B$13)/($B$12-1))</x:f>
      </x:c>
      <x:c r="C908" s="14">
        <x:f>IF(B908="","",$F$8*COS(B908) + $B$7*COS($F$6*B908))</x:f>
      </x:c>
      <x:c r="D908" s="14">
        <x:f>IF(B908="","",$F$8*SIN(B908) - $B$7*SIN($F$6*B908))</x:f>
      </x:c>
      <x:c r="E908" s="14">
        <x:f>IF(B908="","", C908 + $F$12*$F$9*(-H908)/IF(SQRT(G908^2+H908^2)=0,1,SQRT(G908^2+H908^2)))</x:f>
      </x:c>
      <x:c r="F908" s="14">
        <x:f>IF(B908="","", D908 + $F$12*$F$9*(G908)/IF(SQRT(G908^2+H908^2)=0,1,SQRT(G908^2+H908^2)))</x:f>
      </x:c>
      <x:c r="G908" s="14">
        <x:f>IF(B908="","", -$F$8*SIN(B908) - $B$7*$F$6*SIN($F$6*B908))</x:f>
      </x:c>
      <x:c r="H908" s="14">
        <x:f>IF(B908="","", $F$8*COS(B908) - $B$7*$F$6*COS($F$6*B908))</x:f>
      </x:c>
    </x:row>
    <x:row r="909">
      <x:c r="A909" s="13" t="n">
        <x:v>890</x:v>
      </x:c>
      <x:c r="B909" s="14">
        <x:f>IF($B$12&lt;890,"",$B$13+(890-1)*($B$14-$B$13)/($B$12-1))</x:f>
      </x:c>
      <x:c r="C909" s="14">
        <x:f>IF(B909="","",$F$8*COS(B909) + $B$7*COS($F$6*B909))</x:f>
      </x:c>
      <x:c r="D909" s="14">
        <x:f>IF(B909="","",$F$8*SIN(B909) - $B$7*SIN($F$6*B909))</x:f>
      </x:c>
      <x:c r="E909" s="14">
        <x:f>IF(B909="","", C909 + $F$12*$F$9*(-H909)/IF(SQRT(G909^2+H909^2)=0,1,SQRT(G909^2+H909^2)))</x:f>
      </x:c>
      <x:c r="F909" s="14">
        <x:f>IF(B909="","", D909 + $F$12*$F$9*(G909)/IF(SQRT(G909^2+H909^2)=0,1,SQRT(G909^2+H909^2)))</x:f>
      </x:c>
      <x:c r="G909" s="14">
        <x:f>IF(B909="","", -$F$8*SIN(B909) - $B$7*$F$6*SIN($F$6*B909))</x:f>
      </x:c>
      <x:c r="H909" s="14">
        <x:f>IF(B909="","", $F$8*COS(B909) - $B$7*$F$6*COS($F$6*B909))</x:f>
      </x:c>
    </x:row>
    <x:row r="910">
      <x:c r="A910" s="13" t="n">
        <x:v>891</x:v>
      </x:c>
      <x:c r="B910" s="14">
        <x:f>IF($B$12&lt;891,"",$B$13+(891-1)*($B$14-$B$13)/($B$12-1))</x:f>
      </x:c>
      <x:c r="C910" s="14">
        <x:f>IF(B910="","",$F$8*COS(B910) + $B$7*COS($F$6*B910))</x:f>
      </x:c>
      <x:c r="D910" s="14">
        <x:f>IF(B910="","",$F$8*SIN(B910) - $B$7*SIN($F$6*B910))</x:f>
      </x:c>
      <x:c r="E910" s="14">
        <x:f>IF(B910="","", C910 + $F$12*$F$9*(-H910)/IF(SQRT(G910^2+H910^2)=0,1,SQRT(G910^2+H910^2)))</x:f>
      </x:c>
      <x:c r="F910" s="14">
        <x:f>IF(B910="","", D910 + $F$12*$F$9*(G910)/IF(SQRT(G910^2+H910^2)=0,1,SQRT(G910^2+H910^2)))</x:f>
      </x:c>
      <x:c r="G910" s="14">
        <x:f>IF(B910="","", -$F$8*SIN(B910) - $B$7*$F$6*SIN($F$6*B910))</x:f>
      </x:c>
      <x:c r="H910" s="14">
        <x:f>IF(B910="","", $F$8*COS(B910) - $B$7*$F$6*COS($F$6*B910))</x:f>
      </x:c>
    </x:row>
    <x:row r="911">
      <x:c r="A911" s="13" t="n">
        <x:v>892</x:v>
      </x:c>
      <x:c r="B911" s="14">
        <x:f>IF($B$12&lt;892,"",$B$13+(892-1)*($B$14-$B$13)/($B$12-1))</x:f>
      </x:c>
      <x:c r="C911" s="14">
        <x:f>IF(B911="","",$F$8*COS(B911) + $B$7*COS($F$6*B911))</x:f>
      </x:c>
      <x:c r="D911" s="14">
        <x:f>IF(B911="","",$F$8*SIN(B911) - $B$7*SIN($F$6*B911))</x:f>
      </x:c>
      <x:c r="E911" s="14">
        <x:f>IF(B911="","", C911 + $F$12*$F$9*(-H911)/IF(SQRT(G911^2+H911^2)=0,1,SQRT(G911^2+H911^2)))</x:f>
      </x:c>
      <x:c r="F911" s="14">
        <x:f>IF(B911="","", D911 + $F$12*$F$9*(G911)/IF(SQRT(G911^2+H911^2)=0,1,SQRT(G911^2+H911^2)))</x:f>
      </x:c>
      <x:c r="G911" s="14">
        <x:f>IF(B911="","", -$F$8*SIN(B911) - $B$7*$F$6*SIN($F$6*B911))</x:f>
      </x:c>
      <x:c r="H911" s="14">
        <x:f>IF(B911="","", $F$8*COS(B911) - $B$7*$F$6*COS($F$6*B911))</x:f>
      </x:c>
    </x:row>
    <x:row r="912">
      <x:c r="A912" s="13" t="n">
        <x:v>893</x:v>
      </x:c>
      <x:c r="B912" s="14">
        <x:f>IF($B$12&lt;893,"",$B$13+(893-1)*($B$14-$B$13)/($B$12-1))</x:f>
      </x:c>
      <x:c r="C912" s="14">
        <x:f>IF(B912="","",$F$8*COS(B912) + $B$7*COS($F$6*B912))</x:f>
      </x:c>
      <x:c r="D912" s="14">
        <x:f>IF(B912="","",$F$8*SIN(B912) - $B$7*SIN($F$6*B912))</x:f>
      </x:c>
      <x:c r="E912" s="14">
        <x:f>IF(B912="","", C912 + $F$12*$F$9*(-H912)/IF(SQRT(G912^2+H912^2)=0,1,SQRT(G912^2+H912^2)))</x:f>
      </x:c>
      <x:c r="F912" s="14">
        <x:f>IF(B912="","", D912 + $F$12*$F$9*(G912)/IF(SQRT(G912^2+H912^2)=0,1,SQRT(G912^2+H912^2)))</x:f>
      </x:c>
      <x:c r="G912" s="14">
        <x:f>IF(B912="","", -$F$8*SIN(B912) - $B$7*$F$6*SIN($F$6*B912))</x:f>
      </x:c>
      <x:c r="H912" s="14">
        <x:f>IF(B912="","", $F$8*COS(B912) - $B$7*$F$6*COS($F$6*B912))</x:f>
      </x:c>
    </x:row>
    <x:row r="913">
      <x:c r="A913" s="13" t="n">
        <x:v>894</x:v>
      </x:c>
      <x:c r="B913" s="14">
        <x:f>IF($B$12&lt;894,"",$B$13+(894-1)*($B$14-$B$13)/($B$12-1))</x:f>
      </x:c>
      <x:c r="C913" s="14">
        <x:f>IF(B913="","",$F$8*COS(B913) + $B$7*COS($F$6*B913))</x:f>
      </x:c>
      <x:c r="D913" s="14">
        <x:f>IF(B913="","",$F$8*SIN(B913) - $B$7*SIN($F$6*B913))</x:f>
      </x:c>
      <x:c r="E913" s="14">
        <x:f>IF(B913="","", C913 + $F$12*$F$9*(-H913)/IF(SQRT(G913^2+H913^2)=0,1,SQRT(G913^2+H913^2)))</x:f>
      </x:c>
      <x:c r="F913" s="14">
        <x:f>IF(B913="","", D913 + $F$12*$F$9*(G913)/IF(SQRT(G913^2+H913^2)=0,1,SQRT(G913^2+H913^2)))</x:f>
      </x:c>
      <x:c r="G913" s="14">
        <x:f>IF(B913="","", -$F$8*SIN(B913) - $B$7*$F$6*SIN($F$6*B913))</x:f>
      </x:c>
      <x:c r="H913" s="14">
        <x:f>IF(B913="","", $F$8*COS(B913) - $B$7*$F$6*COS($F$6*B913))</x:f>
      </x:c>
    </x:row>
    <x:row r="914">
      <x:c r="A914" s="13" t="n">
        <x:v>895</x:v>
      </x:c>
      <x:c r="B914" s="14">
        <x:f>IF($B$12&lt;895,"",$B$13+(895-1)*($B$14-$B$13)/($B$12-1))</x:f>
      </x:c>
      <x:c r="C914" s="14">
        <x:f>IF(B914="","",$F$8*COS(B914) + $B$7*COS($F$6*B914))</x:f>
      </x:c>
      <x:c r="D914" s="14">
        <x:f>IF(B914="","",$F$8*SIN(B914) - $B$7*SIN($F$6*B914))</x:f>
      </x:c>
      <x:c r="E914" s="14">
        <x:f>IF(B914="","", C914 + $F$12*$F$9*(-H914)/IF(SQRT(G914^2+H914^2)=0,1,SQRT(G914^2+H914^2)))</x:f>
      </x:c>
      <x:c r="F914" s="14">
        <x:f>IF(B914="","", D914 + $F$12*$F$9*(G914)/IF(SQRT(G914^2+H914^2)=0,1,SQRT(G914^2+H914^2)))</x:f>
      </x:c>
      <x:c r="G914" s="14">
        <x:f>IF(B914="","", -$F$8*SIN(B914) - $B$7*$F$6*SIN($F$6*B914))</x:f>
      </x:c>
      <x:c r="H914" s="14">
        <x:f>IF(B914="","", $F$8*COS(B914) - $B$7*$F$6*COS($F$6*B914))</x:f>
      </x:c>
    </x:row>
    <x:row r="915">
      <x:c r="A915" s="13" t="n">
        <x:v>896</x:v>
      </x:c>
      <x:c r="B915" s="14">
        <x:f>IF($B$12&lt;896,"",$B$13+(896-1)*($B$14-$B$13)/($B$12-1))</x:f>
      </x:c>
      <x:c r="C915" s="14">
        <x:f>IF(B915="","",$F$8*COS(B915) + $B$7*COS($F$6*B915))</x:f>
      </x:c>
      <x:c r="D915" s="14">
        <x:f>IF(B915="","",$F$8*SIN(B915) - $B$7*SIN($F$6*B915))</x:f>
      </x:c>
      <x:c r="E915" s="14">
        <x:f>IF(B915="","", C915 + $F$12*$F$9*(-H915)/IF(SQRT(G915^2+H915^2)=0,1,SQRT(G915^2+H915^2)))</x:f>
      </x:c>
      <x:c r="F915" s="14">
        <x:f>IF(B915="","", D915 + $F$12*$F$9*(G915)/IF(SQRT(G915^2+H915^2)=0,1,SQRT(G915^2+H915^2)))</x:f>
      </x:c>
      <x:c r="G915" s="14">
        <x:f>IF(B915="","", -$F$8*SIN(B915) - $B$7*$F$6*SIN($F$6*B915))</x:f>
      </x:c>
      <x:c r="H915" s="14">
        <x:f>IF(B915="","", $F$8*COS(B915) - $B$7*$F$6*COS($F$6*B915))</x:f>
      </x:c>
    </x:row>
    <x:row r="916">
      <x:c r="A916" s="13" t="n">
        <x:v>897</x:v>
      </x:c>
      <x:c r="B916" s="14">
        <x:f>IF($B$12&lt;897,"",$B$13+(897-1)*($B$14-$B$13)/($B$12-1))</x:f>
      </x:c>
      <x:c r="C916" s="14">
        <x:f>IF(B916="","",$F$8*COS(B916) + $B$7*COS($F$6*B916))</x:f>
      </x:c>
      <x:c r="D916" s="14">
        <x:f>IF(B916="","",$F$8*SIN(B916) - $B$7*SIN($F$6*B916))</x:f>
      </x:c>
      <x:c r="E916" s="14">
        <x:f>IF(B916="","", C916 + $F$12*$F$9*(-H916)/IF(SQRT(G916^2+H916^2)=0,1,SQRT(G916^2+H916^2)))</x:f>
      </x:c>
      <x:c r="F916" s="14">
        <x:f>IF(B916="","", D916 + $F$12*$F$9*(G916)/IF(SQRT(G916^2+H916^2)=0,1,SQRT(G916^2+H916^2)))</x:f>
      </x:c>
      <x:c r="G916" s="14">
        <x:f>IF(B916="","", -$F$8*SIN(B916) - $B$7*$F$6*SIN($F$6*B916))</x:f>
      </x:c>
      <x:c r="H916" s="14">
        <x:f>IF(B916="","", $F$8*COS(B916) - $B$7*$F$6*COS($F$6*B916))</x:f>
      </x:c>
    </x:row>
    <x:row r="917">
      <x:c r="A917" s="13" t="n">
        <x:v>898</x:v>
      </x:c>
      <x:c r="B917" s="14">
        <x:f>IF($B$12&lt;898,"",$B$13+(898-1)*($B$14-$B$13)/($B$12-1))</x:f>
      </x:c>
      <x:c r="C917" s="14">
        <x:f>IF(B917="","",$F$8*COS(B917) + $B$7*COS($F$6*B917))</x:f>
      </x:c>
      <x:c r="D917" s="14">
        <x:f>IF(B917="","",$F$8*SIN(B917) - $B$7*SIN($F$6*B917))</x:f>
      </x:c>
      <x:c r="E917" s="14">
        <x:f>IF(B917="","", C917 + $F$12*$F$9*(-H917)/IF(SQRT(G917^2+H917^2)=0,1,SQRT(G917^2+H917^2)))</x:f>
      </x:c>
      <x:c r="F917" s="14">
        <x:f>IF(B917="","", D917 + $F$12*$F$9*(G917)/IF(SQRT(G917^2+H917^2)=0,1,SQRT(G917^2+H917^2)))</x:f>
      </x:c>
      <x:c r="G917" s="14">
        <x:f>IF(B917="","", -$F$8*SIN(B917) - $B$7*$F$6*SIN($F$6*B917))</x:f>
      </x:c>
      <x:c r="H917" s="14">
        <x:f>IF(B917="","", $F$8*COS(B917) - $B$7*$F$6*COS($F$6*B917))</x:f>
      </x:c>
    </x:row>
    <x:row r="918">
      <x:c r="A918" s="13" t="n">
        <x:v>899</x:v>
      </x:c>
      <x:c r="B918" s="14">
        <x:f>IF($B$12&lt;899,"",$B$13+(899-1)*($B$14-$B$13)/($B$12-1))</x:f>
      </x:c>
      <x:c r="C918" s="14">
        <x:f>IF(B918="","",$F$8*COS(B918) + $B$7*COS($F$6*B918))</x:f>
      </x:c>
      <x:c r="D918" s="14">
        <x:f>IF(B918="","",$F$8*SIN(B918) - $B$7*SIN($F$6*B918))</x:f>
      </x:c>
      <x:c r="E918" s="14">
        <x:f>IF(B918="","", C918 + $F$12*$F$9*(-H918)/IF(SQRT(G918^2+H918^2)=0,1,SQRT(G918^2+H918^2)))</x:f>
      </x:c>
      <x:c r="F918" s="14">
        <x:f>IF(B918="","", D918 + $F$12*$F$9*(G918)/IF(SQRT(G918^2+H918^2)=0,1,SQRT(G918^2+H918^2)))</x:f>
      </x:c>
      <x:c r="G918" s="14">
        <x:f>IF(B918="","", -$F$8*SIN(B918) - $B$7*$F$6*SIN($F$6*B918))</x:f>
      </x:c>
      <x:c r="H918" s="14">
        <x:f>IF(B918="","", $F$8*COS(B918) - $B$7*$F$6*COS($F$6*B918))</x:f>
      </x:c>
    </x:row>
    <x:row r="919">
      <x:c r="A919" s="13" t="n">
        <x:v>900</x:v>
      </x:c>
      <x:c r="B919" s="14">
        <x:f>IF($B$12&lt;900,"",$B$13+(900-1)*($B$14-$B$13)/($B$12-1))</x:f>
      </x:c>
      <x:c r="C919" s="14">
        <x:f>IF(B919="","",$F$8*COS(B919) + $B$7*COS($F$6*B919))</x:f>
      </x:c>
      <x:c r="D919" s="14">
        <x:f>IF(B919="","",$F$8*SIN(B919) - $B$7*SIN($F$6*B919))</x:f>
      </x:c>
      <x:c r="E919" s="14">
        <x:f>IF(B919="","", C919 + $F$12*$F$9*(-H919)/IF(SQRT(G919^2+H919^2)=0,1,SQRT(G919^2+H919^2)))</x:f>
      </x:c>
      <x:c r="F919" s="14">
        <x:f>IF(B919="","", D919 + $F$12*$F$9*(G919)/IF(SQRT(G919^2+H919^2)=0,1,SQRT(G919^2+H919^2)))</x:f>
      </x:c>
      <x:c r="G919" s="14">
        <x:f>IF(B919="","", -$F$8*SIN(B919) - $B$7*$F$6*SIN($F$6*B919))</x:f>
      </x:c>
      <x:c r="H919" s="14">
        <x:f>IF(B919="","", $F$8*COS(B919) - $B$7*$F$6*COS($F$6*B919))</x:f>
      </x:c>
    </x:row>
    <x:row r="920">
      <x:c r="A920" s="13" t="n">
        <x:v>901</x:v>
      </x:c>
      <x:c r="B920" s="14">
        <x:f>IF($B$12&lt;901,"",$B$13+(901-1)*($B$14-$B$13)/($B$12-1))</x:f>
      </x:c>
      <x:c r="C920" s="14">
        <x:f>IF(B920="","",$F$8*COS(B920) + $B$7*COS($F$6*B920))</x:f>
      </x:c>
      <x:c r="D920" s="14">
        <x:f>IF(B920="","",$F$8*SIN(B920) - $B$7*SIN($F$6*B920))</x:f>
      </x:c>
      <x:c r="E920" s="14">
        <x:f>IF(B920="","", C920 + $F$12*$F$9*(-H920)/IF(SQRT(G920^2+H920^2)=0,1,SQRT(G920^2+H920^2)))</x:f>
      </x:c>
      <x:c r="F920" s="14">
        <x:f>IF(B920="","", D920 + $F$12*$F$9*(G920)/IF(SQRT(G920^2+H920^2)=0,1,SQRT(G920^2+H920^2)))</x:f>
      </x:c>
      <x:c r="G920" s="14">
        <x:f>IF(B920="","", -$F$8*SIN(B920) - $B$7*$F$6*SIN($F$6*B920))</x:f>
      </x:c>
      <x:c r="H920" s="14">
        <x:f>IF(B920="","", $F$8*COS(B920) - $B$7*$F$6*COS($F$6*B920))</x:f>
      </x:c>
    </x:row>
    <x:row r="921">
      <x:c r="A921" s="13" t="n">
        <x:v>902</x:v>
      </x:c>
      <x:c r="B921" s="14">
        <x:f>IF($B$12&lt;902,"",$B$13+(902-1)*($B$14-$B$13)/($B$12-1))</x:f>
      </x:c>
      <x:c r="C921" s="14">
        <x:f>IF(B921="","",$F$8*COS(B921) + $B$7*COS($F$6*B921))</x:f>
      </x:c>
      <x:c r="D921" s="14">
        <x:f>IF(B921="","",$F$8*SIN(B921) - $B$7*SIN($F$6*B921))</x:f>
      </x:c>
      <x:c r="E921" s="14">
        <x:f>IF(B921="","", C921 + $F$12*$F$9*(-H921)/IF(SQRT(G921^2+H921^2)=0,1,SQRT(G921^2+H921^2)))</x:f>
      </x:c>
      <x:c r="F921" s="14">
        <x:f>IF(B921="","", D921 + $F$12*$F$9*(G921)/IF(SQRT(G921^2+H921^2)=0,1,SQRT(G921^2+H921^2)))</x:f>
      </x:c>
      <x:c r="G921" s="14">
        <x:f>IF(B921="","", -$F$8*SIN(B921) - $B$7*$F$6*SIN($F$6*B921))</x:f>
      </x:c>
      <x:c r="H921" s="14">
        <x:f>IF(B921="","", $F$8*COS(B921) - $B$7*$F$6*COS($F$6*B921))</x:f>
      </x:c>
    </x:row>
    <x:row r="922">
      <x:c r="A922" s="13" t="n">
        <x:v>903</x:v>
      </x:c>
      <x:c r="B922" s="14">
        <x:f>IF($B$12&lt;903,"",$B$13+(903-1)*($B$14-$B$13)/($B$12-1))</x:f>
      </x:c>
      <x:c r="C922" s="14">
        <x:f>IF(B922="","",$F$8*COS(B922) + $B$7*COS($F$6*B922))</x:f>
      </x:c>
      <x:c r="D922" s="14">
        <x:f>IF(B922="","",$F$8*SIN(B922) - $B$7*SIN($F$6*B922))</x:f>
      </x:c>
      <x:c r="E922" s="14">
        <x:f>IF(B922="","", C922 + $F$12*$F$9*(-H922)/IF(SQRT(G922^2+H922^2)=0,1,SQRT(G922^2+H922^2)))</x:f>
      </x:c>
      <x:c r="F922" s="14">
        <x:f>IF(B922="","", D922 + $F$12*$F$9*(G922)/IF(SQRT(G922^2+H922^2)=0,1,SQRT(G922^2+H922^2)))</x:f>
      </x:c>
      <x:c r="G922" s="14">
        <x:f>IF(B922="","", -$F$8*SIN(B922) - $B$7*$F$6*SIN($F$6*B922))</x:f>
      </x:c>
      <x:c r="H922" s="14">
        <x:f>IF(B922="","", $F$8*COS(B922) - $B$7*$F$6*COS($F$6*B922))</x:f>
      </x:c>
    </x:row>
    <x:row r="923">
      <x:c r="A923" s="13" t="n">
        <x:v>904</x:v>
      </x:c>
      <x:c r="B923" s="14">
        <x:f>IF($B$12&lt;904,"",$B$13+(904-1)*($B$14-$B$13)/($B$12-1))</x:f>
      </x:c>
      <x:c r="C923" s="14">
        <x:f>IF(B923="","",$F$8*COS(B923) + $B$7*COS($F$6*B923))</x:f>
      </x:c>
      <x:c r="D923" s="14">
        <x:f>IF(B923="","",$F$8*SIN(B923) - $B$7*SIN($F$6*B923))</x:f>
      </x:c>
      <x:c r="E923" s="14">
        <x:f>IF(B923="","", C923 + $F$12*$F$9*(-H923)/IF(SQRT(G923^2+H923^2)=0,1,SQRT(G923^2+H923^2)))</x:f>
      </x:c>
      <x:c r="F923" s="14">
        <x:f>IF(B923="","", D923 + $F$12*$F$9*(G923)/IF(SQRT(G923^2+H923^2)=0,1,SQRT(G923^2+H923^2)))</x:f>
      </x:c>
      <x:c r="G923" s="14">
        <x:f>IF(B923="","", -$F$8*SIN(B923) - $B$7*$F$6*SIN($F$6*B923))</x:f>
      </x:c>
      <x:c r="H923" s="14">
        <x:f>IF(B923="","", $F$8*COS(B923) - $B$7*$F$6*COS($F$6*B923))</x:f>
      </x:c>
    </x:row>
    <x:row r="924">
      <x:c r="A924" s="13" t="n">
        <x:v>905</x:v>
      </x:c>
      <x:c r="B924" s="14">
        <x:f>IF($B$12&lt;905,"",$B$13+(905-1)*($B$14-$B$13)/($B$12-1))</x:f>
      </x:c>
      <x:c r="C924" s="14">
        <x:f>IF(B924="","",$F$8*COS(B924) + $B$7*COS($F$6*B924))</x:f>
      </x:c>
      <x:c r="D924" s="14">
        <x:f>IF(B924="","",$F$8*SIN(B924) - $B$7*SIN($F$6*B924))</x:f>
      </x:c>
      <x:c r="E924" s="14">
        <x:f>IF(B924="","", C924 + $F$12*$F$9*(-H924)/IF(SQRT(G924^2+H924^2)=0,1,SQRT(G924^2+H924^2)))</x:f>
      </x:c>
      <x:c r="F924" s="14">
        <x:f>IF(B924="","", D924 + $F$12*$F$9*(G924)/IF(SQRT(G924^2+H924^2)=0,1,SQRT(G924^2+H924^2)))</x:f>
      </x:c>
      <x:c r="G924" s="14">
        <x:f>IF(B924="","", -$F$8*SIN(B924) - $B$7*$F$6*SIN($F$6*B924))</x:f>
      </x:c>
      <x:c r="H924" s="14">
        <x:f>IF(B924="","", $F$8*COS(B924) - $B$7*$F$6*COS($F$6*B924))</x:f>
      </x:c>
    </x:row>
    <x:row r="925">
      <x:c r="A925" s="13" t="n">
        <x:v>906</x:v>
      </x:c>
      <x:c r="B925" s="14">
        <x:f>IF($B$12&lt;906,"",$B$13+(906-1)*($B$14-$B$13)/($B$12-1))</x:f>
      </x:c>
      <x:c r="C925" s="14">
        <x:f>IF(B925="","",$F$8*COS(B925) + $B$7*COS($F$6*B925))</x:f>
      </x:c>
      <x:c r="D925" s="14">
        <x:f>IF(B925="","",$F$8*SIN(B925) - $B$7*SIN($F$6*B925))</x:f>
      </x:c>
      <x:c r="E925" s="14">
        <x:f>IF(B925="","", C925 + $F$12*$F$9*(-H925)/IF(SQRT(G925^2+H925^2)=0,1,SQRT(G925^2+H925^2)))</x:f>
      </x:c>
      <x:c r="F925" s="14">
        <x:f>IF(B925="","", D925 + $F$12*$F$9*(G925)/IF(SQRT(G925^2+H925^2)=0,1,SQRT(G925^2+H925^2)))</x:f>
      </x:c>
      <x:c r="G925" s="14">
        <x:f>IF(B925="","", -$F$8*SIN(B925) - $B$7*$F$6*SIN($F$6*B925))</x:f>
      </x:c>
      <x:c r="H925" s="14">
        <x:f>IF(B925="","", $F$8*COS(B925) - $B$7*$F$6*COS($F$6*B925))</x:f>
      </x:c>
    </x:row>
    <x:row r="926">
      <x:c r="A926" s="13" t="n">
        <x:v>907</x:v>
      </x:c>
      <x:c r="B926" s="14">
        <x:f>IF($B$12&lt;907,"",$B$13+(907-1)*($B$14-$B$13)/($B$12-1))</x:f>
      </x:c>
      <x:c r="C926" s="14">
        <x:f>IF(B926="","",$F$8*COS(B926) + $B$7*COS($F$6*B926))</x:f>
      </x:c>
      <x:c r="D926" s="14">
        <x:f>IF(B926="","",$F$8*SIN(B926) - $B$7*SIN($F$6*B926))</x:f>
      </x:c>
      <x:c r="E926" s="14">
        <x:f>IF(B926="","", C926 + $F$12*$F$9*(-H926)/IF(SQRT(G926^2+H926^2)=0,1,SQRT(G926^2+H926^2)))</x:f>
      </x:c>
      <x:c r="F926" s="14">
        <x:f>IF(B926="","", D926 + $F$12*$F$9*(G926)/IF(SQRT(G926^2+H926^2)=0,1,SQRT(G926^2+H926^2)))</x:f>
      </x:c>
      <x:c r="G926" s="14">
        <x:f>IF(B926="","", -$F$8*SIN(B926) - $B$7*$F$6*SIN($F$6*B926))</x:f>
      </x:c>
      <x:c r="H926" s="14">
        <x:f>IF(B926="","", $F$8*COS(B926) - $B$7*$F$6*COS($F$6*B926))</x:f>
      </x:c>
    </x:row>
    <x:row r="927">
      <x:c r="A927" s="13" t="n">
        <x:v>908</x:v>
      </x:c>
      <x:c r="B927" s="14">
        <x:f>IF($B$12&lt;908,"",$B$13+(908-1)*($B$14-$B$13)/($B$12-1))</x:f>
      </x:c>
      <x:c r="C927" s="14">
        <x:f>IF(B927="","",$F$8*COS(B927) + $B$7*COS($F$6*B927))</x:f>
      </x:c>
      <x:c r="D927" s="14">
        <x:f>IF(B927="","",$F$8*SIN(B927) - $B$7*SIN($F$6*B927))</x:f>
      </x:c>
      <x:c r="E927" s="14">
        <x:f>IF(B927="","", C927 + $F$12*$F$9*(-H927)/IF(SQRT(G927^2+H927^2)=0,1,SQRT(G927^2+H927^2)))</x:f>
      </x:c>
      <x:c r="F927" s="14">
        <x:f>IF(B927="","", D927 + $F$12*$F$9*(G927)/IF(SQRT(G927^2+H927^2)=0,1,SQRT(G927^2+H927^2)))</x:f>
      </x:c>
      <x:c r="G927" s="14">
        <x:f>IF(B927="","", -$F$8*SIN(B927) - $B$7*$F$6*SIN($F$6*B927))</x:f>
      </x:c>
      <x:c r="H927" s="14">
        <x:f>IF(B927="","", $F$8*COS(B927) - $B$7*$F$6*COS($F$6*B927))</x:f>
      </x:c>
    </x:row>
    <x:row r="928">
      <x:c r="A928" s="13" t="n">
        <x:v>909</x:v>
      </x:c>
      <x:c r="B928" s="14">
        <x:f>IF($B$12&lt;909,"",$B$13+(909-1)*($B$14-$B$13)/($B$12-1))</x:f>
      </x:c>
      <x:c r="C928" s="14">
        <x:f>IF(B928="","",$F$8*COS(B928) + $B$7*COS($F$6*B928))</x:f>
      </x:c>
      <x:c r="D928" s="14">
        <x:f>IF(B928="","",$F$8*SIN(B928) - $B$7*SIN($F$6*B928))</x:f>
      </x:c>
      <x:c r="E928" s="14">
        <x:f>IF(B928="","", C928 + $F$12*$F$9*(-H928)/IF(SQRT(G928^2+H928^2)=0,1,SQRT(G928^2+H928^2)))</x:f>
      </x:c>
      <x:c r="F928" s="14">
        <x:f>IF(B928="","", D928 + $F$12*$F$9*(G928)/IF(SQRT(G928^2+H928^2)=0,1,SQRT(G928^2+H928^2)))</x:f>
      </x:c>
      <x:c r="G928" s="14">
        <x:f>IF(B928="","", -$F$8*SIN(B928) - $B$7*$F$6*SIN($F$6*B928))</x:f>
      </x:c>
      <x:c r="H928" s="14">
        <x:f>IF(B928="","", $F$8*COS(B928) - $B$7*$F$6*COS($F$6*B928))</x:f>
      </x:c>
    </x:row>
    <x:row r="929">
      <x:c r="A929" s="13" t="n">
        <x:v>910</x:v>
      </x:c>
      <x:c r="B929" s="14">
        <x:f>IF($B$12&lt;910,"",$B$13+(910-1)*($B$14-$B$13)/($B$12-1))</x:f>
      </x:c>
      <x:c r="C929" s="14">
        <x:f>IF(B929="","",$F$8*COS(B929) + $B$7*COS($F$6*B929))</x:f>
      </x:c>
      <x:c r="D929" s="14">
        <x:f>IF(B929="","",$F$8*SIN(B929) - $B$7*SIN($F$6*B929))</x:f>
      </x:c>
      <x:c r="E929" s="14">
        <x:f>IF(B929="","", C929 + $F$12*$F$9*(-H929)/IF(SQRT(G929^2+H929^2)=0,1,SQRT(G929^2+H929^2)))</x:f>
      </x:c>
      <x:c r="F929" s="14">
        <x:f>IF(B929="","", D929 + $F$12*$F$9*(G929)/IF(SQRT(G929^2+H929^2)=0,1,SQRT(G929^2+H929^2)))</x:f>
      </x:c>
      <x:c r="G929" s="14">
        <x:f>IF(B929="","", -$F$8*SIN(B929) - $B$7*$F$6*SIN($F$6*B929))</x:f>
      </x:c>
      <x:c r="H929" s="14">
        <x:f>IF(B929="","", $F$8*COS(B929) - $B$7*$F$6*COS($F$6*B929))</x:f>
      </x:c>
    </x:row>
    <x:row r="930">
      <x:c r="A930" s="13" t="n">
        <x:v>911</x:v>
      </x:c>
      <x:c r="B930" s="14">
        <x:f>IF($B$12&lt;911,"",$B$13+(911-1)*($B$14-$B$13)/($B$12-1))</x:f>
      </x:c>
      <x:c r="C930" s="14">
        <x:f>IF(B930="","",$F$8*COS(B930) + $B$7*COS($F$6*B930))</x:f>
      </x:c>
      <x:c r="D930" s="14">
        <x:f>IF(B930="","",$F$8*SIN(B930) - $B$7*SIN($F$6*B930))</x:f>
      </x:c>
      <x:c r="E930" s="14">
        <x:f>IF(B930="","", C930 + $F$12*$F$9*(-H930)/IF(SQRT(G930^2+H930^2)=0,1,SQRT(G930^2+H930^2)))</x:f>
      </x:c>
      <x:c r="F930" s="14">
        <x:f>IF(B930="","", D930 + $F$12*$F$9*(G930)/IF(SQRT(G930^2+H930^2)=0,1,SQRT(G930^2+H930^2)))</x:f>
      </x:c>
      <x:c r="G930" s="14">
        <x:f>IF(B930="","", -$F$8*SIN(B930) - $B$7*$F$6*SIN($F$6*B930))</x:f>
      </x:c>
      <x:c r="H930" s="14">
        <x:f>IF(B930="","", $F$8*COS(B930) - $B$7*$F$6*COS($F$6*B930))</x:f>
      </x:c>
    </x:row>
    <x:row r="931">
      <x:c r="A931" s="13" t="n">
        <x:v>912</x:v>
      </x:c>
      <x:c r="B931" s="14">
        <x:f>IF($B$12&lt;912,"",$B$13+(912-1)*($B$14-$B$13)/($B$12-1))</x:f>
      </x:c>
      <x:c r="C931" s="14">
        <x:f>IF(B931="","",$F$8*COS(B931) + $B$7*COS($F$6*B931))</x:f>
      </x:c>
      <x:c r="D931" s="14">
        <x:f>IF(B931="","",$F$8*SIN(B931) - $B$7*SIN($F$6*B931))</x:f>
      </x:c>
      <x:c r="E931" s="14">
        <x:f>IF(B931="","", C931 + $F$12*$F$9*(-H931)/IF(SQRT(G931^2+H931^2)=0,1,SQRT(G931^2+H931^2)))</x:f>
      </x:c>
      <x:c r="F931" s="14">
        <x:f>IF(B931="","", D931 + $F$12*$F$9*(G931)/IF(SQRT(G931^2+H931^2)=0,1,SQRT(G931^2+H931^2)))</x:f>
      </x:c>
      <x:c r="G931" s="14">
        <x:f>IF(B931="","", -$F$8*SIN(B931) - $B$7*$F$6*SIN($F$6*B931))</x:f>
      </x:c>
      <x:c r="H931" s="14">
        <x:f>IF(B931="","", $F$8*COS(B931) - $B$7*$F$6*COS($F$6*B931))</x:f>
      </x:c>
    </x:row>
    <x:row r="932">
      <x:c r="A932" s="13" t="n">
        <x:v>913</x:v>
      </x:c>
      <x:c r="B932" s="14">
        <x:f>IF($B$12&lt;913,"",$B$13+(913-1)*($B$14-$B$13)/($B$12-1))</x:f>
      </x:c>
      <x:c r="C932" s="14">
        <x:f>IF(B932="","",$F$8*COS(B932) + $B$7*COS($F$6*B932))</x:f>
      </x:c>
      <x:c r="D932" s="14">
        <x:f>IF(B932="","",$F$8*SIN(B932) - $B$7*SIN($F$6*B932))</x:f>
      </x:c>
      <x:c r="E932" s="14">
        <x:f>IF(B932="","", C932 + $F$12*$F$9*(-H932)/IF(SQRT(G932^2+H932^2)=0,1,SQRT(G932^2+H932^2)))</x:f>
      </x:c>
      <x:c r="F932" s="14">
        <x:f>IF(B932="","", D932 + $F$12*$F$9*(G932)/IF(SQRT(G932^2+H932^2)=0,1,SQRT(G932^2+H932^2)))</x:f>
      </x:c>
      <x:c r="G932" s="14">
        <x:f>IF(B932="","", -$F$8*SIN(B932) - $B$7*$F$6*SIN($F$6*B932))</x:f>
      </x:c>
      <x:c r="H932" s="14">
        <x:f>IF(B932="","", $F$8*COS(B932) - $B$7*$F$6*COS($F$6*B932))</x:f>
      </x:c>
    </x:row>
    <x:row r="933">
      <x:c r="A933" s="13" t="n">
        <x:v>914</x:v>
      </x:c>
      <x:c r="B933" s="14">
        <x:f>IF($B$12&lt;914,"",$B$13+(914-1)*($B$14-$B$13)/($B$12-1))</x:f>
      </x:c>
      <x:c r="C933" s="14">
        <x:f>IF(B933="","",$F$8*COS(B933) + $B$7*COS($F$6*B933))</x:f>
      </x:c>
      <x:c r="D933" s="14">
        <x:f>IF(B933="","",$F$8*SIN(B933) - $B$7*SIN($F$6*B933))</x:f>
      </x:c>
      <x:c r="E933" s="14">
        <x:f>IF(B933="","", C933 + $F$12*$F$9*(-H933)/IF(SQRT(G933^2+H933^2)=0,1,SQRT(G933^2+H933^2)))</x:f>
      </x:c>
      <x:c r="F933" s="14">
        <x:f>IF(B933="","", D933 + $F$12*$F$9*(G933)/IF(SQRT(G933^2+H933^2)=0,1,SQRT(G933^2+H933^2)))</x:f>
      </x:c>
      <x:c r="G933" s="14">
        <x:f>IF(B933="","", -$F$8*SIN(B933) - $B$7*$F$6*SIN($F$6*B933))</x:f>
      </x:c>
      <x:c r="H933" s="14">
        <x:f>IF(B933="","", $F$8*COS(B933) - $B$7*$F$6*COS($F$6*B933))</x:f>
      </x:c>
    </x:row>
    <x:row r="934">
      <x:c r="A934" s="13" t="n">
        <x:v>915</x:v>
      </x:c>
      <x:c r="B934" s="14">
        <x:f>IF($B$12&lt;915,"",$B$13+(915-1)*($B$14-$B$13)/($B$12-1))</x:f>
      </x:c>
      <x:c r="C934" s="14">
        <x:f>IF(B934="","",$F$8*COS(B934) + $B$7*COS($F$6*B934))</x:f>
      </x:c>
      <x:c r="D934" s="14">
        <x:f>IF(B934="","",$F$8*SIN(B934) - $B$7*SIN($F$6*B934))</x:f>
      </x:c>
      <x:c r="E934" s="14">
        <x:f>IF(B934="","", C934 + $F$12*$F$9*(-H934)/IF(SQRT(G934^2+H934^2)=0,1,SQRT(G934^2+H934^2)))</x:f>
      </x:c>
      <x:c r="F934" s="14">
        <x:f>IF(B934="","", D934 + $F$12*$F$9*(G934)/IF(SQRT(G934^2+H934^2)=0,1,SQRT(G934^2+H934^2)))</x:f>
      </x:c>
      <x:c r="G934" s="14">
        <x:f>IF(B934="","", -$F$8*SIN(B934) - $B$7*$F$6*SIN($F$6*B934))</x:f>
      </x:c>
      <x:c r="H934" s="14">
        <x:f>IF(B934="","", $F$8*COS(B934) - $B$7*$F$6*COS($F$6*B934))</x:f>
      </x:c>
    </x:row>
    <x:row r="935">
      <x:c r="A935" s="13" t="n">
        <x:v>916</x:v>
      </x:c>
      <x:c r="B935" s="14">
        <x:f>IF($B$12&lt;916,"",$B$13+(916-1)*($B$14-$B$13)/($B$12-1))</x:f>
      </x:c>
      <x:c r="C935" s="14">
        <x:f>IF(B935="","",$F$8*COS(B935) + $B$7*COS($F$6*B935))</x:f>
      </x:c>
      <x:c r="D935" s="14">
        <x:f>IF(B935="","",$F$8*SIN(B935) - $B$7*SIN($F$6*B935))</x:f>
      </x:c>
      <x:c r="E935" s="14">
        <x:f>IF(B935="","", C935 + $F$12*$F$9*(-H935)/IF(SQRT(G935^2+H935^2)=0,1,SQRT(G935^2+H935^2)))</x:f>
      </x:c>
      <x:c r="F935" s="14">
        <x:f>IF(B935="","", D935 + $F$12*$F$9*(G935)/IF(SQRT(G935^2+H935^2)=0,1,SQRT(G935^2+H935^2)))</x:f>
      </x:c>
      <x:c r="G935" s="14">
        <x:f>IF(B935="","", -$F$8*SIN(B935) - $B$7*$F$6*SIN($F$6*B935))</x:f>
      </x:c>
      <x:c r="H935" s="14">
        <x:f>IF(B935="","", $F$8*COS(B935) - $B$7*$F$6*COS($F$6*B935))</x:f>
      </x:c>
    </x:row>
    <x:row r="936">
      <x:c r="A936" s="13" t="n">
        <x:v>917</x:v>
      </x:c>
      <x:c r="B936" s="14">
        <x:f>IF($B$12&lt;917,"",$B$13+(917-1)*($B$14-$B$13)/($B$12-1))</x:f>
      </x:c>
      <x:c r="C936" s="14">
        <x:f>IF(B936="","",$F$8*COS(B936) + $B$7*COS($F$6*B936))</x:f>
      </x:c>
      <x:c r="D936" s="14">
        <x:f>IF(B936="","",$F$8*SIN(B936) - $B$7*SIN($F$6*B936))</x:f>
      </x:c>
      <x:c r="E936" s="14">
        <x:f>IF(B936="","", C936 + $F$12*$F$9*(-H936)/IF(SQRT(G936^2+H936^2)=0,1,SQRT(G936^2+H936^2)))</x:f>
      </x:c>
      <x:c r="F936" s="14">
        <x:f>IF(B936="","", D936 + $F$12*$F$9*(G936)/IF(SQRT(G936^2+H936^2)=0,1,SQRT(G936^2+H936^2)))</x:f>
      </x:c>
      <x:c r="G936" s="14">
        <x:f>IF(B936="","", -$F$8*SIN(B936) - $B$7*$F$6*SIN($F$6*B936))</x:f>
      </x:c>
      <x:c r="H936" s="14">
        <x:f>IF(B936="","", $F$8*COS(B936) - $B$7*$F$6*COS($F$6*B936))</x:f>
      </x:c>
    </x:row>
    <x:row r="937">
      <x:c r="A937" s="13" t="n">
        <x:v>918</x:v>
      </x:c>
      <x:c r="B937" s="14">
        <x:f>IF($B$12&lt;918,"",$B$13+(918-1)*($B$14-$B$13)/($B$12-1))</x:f>
      </x:c>
      <x:c r="C937" s="14">
        <x:f>IF(B937="","",$F$8*COS(B937) + $B$7*COS($F$6*B937))</x:f>
      </x:c>
      <x:c r="D937" s="14">
        <x:f>IF(B937="","",$F$8*SIN(B937) - $B$7*SIN($F$6*B937))</x:f>
      </x:c>
      <x:c r="E937" s="14">
        <x:f>IF(B937="","", C937 + $F$12*$F$9*(-H937)/IF(SQRT(G937^2+H937^2)=0,1,SQRT(G937^2+H937^2)))</x:f>
      </x:c>
      <x:c r="F937" s="14">
        <x:f>IF(B937="","", D937 + $F$12*$F$9*(G937)/IF(SQRT(G937^2+H937^2)=0,1,SQRT(G937^2+H937^2)))</x:f>
      </x:c>
      <x:c r="G937" s="14">
        <x:f>IF(B937="","", -$F$8*SIN(B937) - $B$7*$F$6*SIN($F$6*B937))</x:f>
      </x:c>
      <x:c r="H937" s="14">
        <x:f>IF(B937="","", $F$8*COS(B937) - $B$7*$F$6*COS($F$6*B937))</x:f>
      </x:c>
    </x:row>
    <x:row r="938">
      <x:c r="A938" s="13" t="n">
        <x:v>919</x:v>
      </x:c>
      <x:c r="B938" s="14">
        <x:f>IF($B$12&lt;919,"",$B$13+(919-1)*($B$14-$B$13)/($B$12-1))</x:f>
      </x:c>
      <x:c r="C938" s="14">
        <x:f>IF(B938="","",$F$8*COS(B938) + $B$7*COS($F$6*B938))</x:f>
      </x:c>
      <x:c r="D938" s="14">
        <x:f>IF(B938="","",$F$8*SIN(B938) - $B$7*SIN($F$6*B938))</x:f>
      </x:c>
      <x:c r="E938" s="14">
        <x:f>IF(B938="","", C938 + $F$12*$F$9*(-H938)/IF(SQRT(G938^2+H938^2)=0,1,SQRT(G938^2+H938^2)))</x:f>
      </x:c>
      <x:c r="F938" s="14">
        <x:f>IF(B938="","", D938 + $F$12*$F$9*(G938)/IF(SQRT(G938^2+H938^2)=0,1,SQRT(G938^2+H938^2)))</x:f>
      </x:c>
      <x:c r="G938" s="14">
        <x:f>IF(B938="","", -$F$8*SIN(B938) - $B$7*$F$6*SIN($F$6*B938))</x:f>
      </x:c>
      <x:c r="H938" s="14">
        <x:f>IF(B938="","", $F$8*COS(B938) - $B$7*$F$6*COS($F$6*B938))</x:f>
      </x:c>
    </x:row>
    <x:row r="939">
      <x:c r="A939" s="13" t="n">
        <x:v>920</x:v>
      </x:c>
      <x:c r="B939" s="14">
        <x:f>IF($B$12&lt;920,"",$B$13+(920-1)*($B$14-$B$13)/($B$12-1))</x:f>
      </x:c>
      <x:c r="C939" s="14">
        <x:f>IF(B939="","",$F$8*COS(B939) + $B$7*COS($F$6*B939))</x:f>
      </x:c>
      <x:c r="D939" s="14">
        <x:f>IF(B939="","",$F$8*SIN(B939) - $B$7*SIN($F$6*B939))</x:f>
      </x:c>
      <x:c r="E939" s="14">
        <x:f>IF(B939="","", C939 + $F$12*$F$9*(-H939)/IF(SQRT(G939^2+H939^2)=0,1,SQRT(G939^2+H939^2)))</x:f>
      </x:c>
      <x:c r="F939" s="14">
        <x:f>IF(B939="","", D939 + $F$12*$F$9*(G939)/IF(SQRT(G939^2+H939^2)=0,1,SQRT(G939^2+H939^2)))</x:f>
      </x:c>
      <x:c r="G939" s="14">
        <x:f>IF(B939="","", -$F$8*SIN(B939) - $B$7*$F$6*SIN($F$6*B939))</x:f>
      </x:c>
      <x:c r="H939" s="14">
        <x:f>IF(B939="","", $F$8*COS(B939) - $B$7*$F$6*COS($F$6*B939))</x:f>
      </x:c>
    </x:row>
    <x:row r="940">
      <x:c r="A940" s="13" t="n">
        <x:v>921</x:v>
      </x:c>
      <x:c r="B940" s="14">
        <x:f>IF($B$12&lt;921,"",$B$13+(921-1)*($B$14-$B$13)/($B$12-1))</x:f>
      </x:c>
      <x:c r="C940" s="14">
        <x:f>IF(B940="","",$F$8*COS(B940) + $B$7*COS($F$6*B940))</x:f>
      </x:c>
      <x:c r="D940" s="14">
        <x:f>IF(B940="","",$F$8*SIN(B940) - $B$7*SIN($F$6*B940))</x:f>
      </x:c>
      <x:c r="E940" s="14">
        <x:f>IF(B940="","", C940 + $F$12*$F$9*(-H940)/IF(SQRT(G940^2+H940^2)=0,1,SQRT(G940^2+H940^2)))</x:f>
      </x:c>
      <x:c r="F940" s="14">
        <x:f>IF(B940="","", D940 + $F$12*$F$9*(G940)/IF(SQRT(G940^2+H940^2)=0,1,SQRT(G940^2+H940^2)))</x:f>
      </x:c>
      <x:c r="G940" s="14">
        <x:f>IF(B940="","", -$F$8*SIN(B940) - $B$7*$F$6*SIN($F$6*B940))</x:f>
      </x:c>
      <x:c r="H940" s="14">
        <x:f>IF(B940="","", $F$8*COS(B940) - $B$7*$F$6*COS($F$6*B940))</x:f>
      </x:c>
    </x:row>
    <x:row r="941">
      <x:c r="A941" s="13" t="n">
        <x:v>922</x:v>
      </x:c>
      <x:c r="B941" s="14">
        <x:f>IF($B$12&lt;922,"",$B$13+(922-1)*($B$14-$B$13)/($B$12-1))</x:f>
      </x:c>
      <x:c r="C941" s="14">
        <x:f>IF(B941="","",$F$8*COS(B941) + $B$7*COS($F$6*B941))</x:f>
      </x:c>
      <x:c r="D941" s="14">
        <x:f>IF(B941="","",$F$8*SIN(B941) - $B$7*SIN($F$6*B941))</x:f>
      </x:c>
      <x:c r="E941" s="14">
        <x:f>IF(B941="","", C941 + $F$12*$F$9*(-H941)/IF(SQRT(G941^2+H941^2)=0,1,SQRT(G941^2+H941^2)))</x:f>
      </x:c>
      <x:c r="F941" s="14">
        <x:f>IF(B941="","", D941 + $F$12*$F$9*(G941)/IF(SQRT(G941^2+H941^2)=0,1,SQRT(G941^2+H941^2)))</x:f>
      </x:c>
      <x:c r="G941" s="14">
        <x:f>IF(B941="","", -$F$8*SIN(B941) - $B$7*$F$6*SIN($F$6*B941))</x:f>
      </x:c>
      <x:c r="H941" s="14">
        <x:f>IF(B941="","", $F$8*COS(B941) - $B$7*$F$6*COS($F$6*B941))</x:f>
      </x:c>
    </x:row>
    <x:row r="942">
      <x:c r="A942" s="13" t="n">
        <x:v>923</x:v>
      </x:c>
      <x:c r="B942" s="14">
        <x:f>IF($B$12&lt;923,"",$B$13+(923-1)*($B$14-$B$13)/($B$12-1))</x:f>
      </x:c>
      <x:c r="C942" s="14">
        <x:f>IF(B942="","",$F$8*COS(B942) + $B$7*COS($F$6*B942))</x:f>
      </x:c>
      <x:c r="D942" s="14">
        <x:f>IF(B942="","",$F$8*SIN(B942) - $B$7*SIN($F$6*B942))</x:f>
      </x:c>
      <x:c r="E942" s="14">
        <x:f>IF(B942="","", C942 + $F$12*$F$9*(-H942)/IF(SQRT(G942^2+H942^2)=0,1,SQRT(G942^2+H942^2)))</x:f>
      </x:c>
      <x:c r="F942" s="14">
        <x:f>IF(B942="","", D942 + $F$12*$F$9*(G942)/IF(SQRT(G942^2+H942^2)=0,1,SQRT(G942^2+H942^2)))</x:f>
      </x:c>
      <x:c r="G942" s="14">
        <x:f>IF(B942="","", -$F$8*SIN(B942) - $B$7*$F$6*SIN($F$6*B942))</x:f>
      </x:c>
      <x:c r="H942" s="14">
        <x:f>IF(B942="","", $F$8*COS(B942) - $B$7*$F$6*COS($F$6*B942))</x:f>
      </x:c>
    </x:row>
    <x:row r="943">
      <x:c r="A943" s="13" t="n">
        <x:v>924</x:v>
      </x:c>
      <x:c r="B943" s="14">
        <x:f>IF($B$12&lt;924,"",$B$13+(924-1)*($B$14-$B$13)/($B$12-1))</x:f>
      </x:c>
      <x:c r="C943" s="14">
        <x:f>IF(B943="","",$F$8*COS(B943) + $B$7*COS($F$6*B943))</x:f>
      </x:c>
      <x:c r="D943" s="14">
        <x:f>IF(B943="","",$F$8*SIN(B943) - $B$7*SIN($F$6*B943))</x:f>
      </x:c>
      <x:c r="E943" s="14">
        <x:f>IF(B943="","", C943 + $F$12*$F$9*(-H943)/IF(SQRT(G943^2+H943^2)=0,1,SQRT(G943^2+H943^2)))</x:f>
      </x:c>
      <x:c r="F943" s="14">
        <x:f>IF(B943="","", D943 + $F$12*$F$9*(G943)/IF(SQRT(G943^2+H943^2)=0,1,SQRT(G943^2+H943^2)))</x:f>
      </x:c>
      <x:c r="G943" s="14">
        <x:f>IF(B943="","", -$F$8*SIN(B943) - $B$7*$F$6*SIN($F$6*B943))</x:f>
      </x:c>
      <x:c r="H943" s="14">
        <x:f>IF(B943="","", $F$8*COS(B943) - $B$7*$F$6*COS($F$6*B943))</x:f>
      </x:c>
    </x:row>
    <x:row r="944">
      <x:c r="A944" s="13" t="n">
        <x:v>925</x:v>
      </x:c>
      <x:c r="B944" s="14">
        <x:f>IF($B$12&lt;925,"",$B$13+(925-1)*($B$14-$B$13)/($B$12-1))</x:f>
      </x:c>
      <x:c r="C944" s="14">
        <x:f>IF(B944="","",$F$8*COS(B944) + $B$7*COS($F$6*B944))</x:f>
      </x:c>
      <x:c r="D944" s="14">
        <x:f>IF(B944="","",$F$8*SIN(B944) - $B$7*SIN($F$6*B944))</x:f>
      </x:c>
      <x:c r="E944" s="14">
        <x:f>IF(B944="","", C944 + $F$12*$F$9*(-H944)/IF(SQRT(G944^2+H944^2)=0,1,SQRT(G944^2+H944^2)))</x:f>
      </x:c>
      <x:c r="F944" s="14">
        <x:f>IF(B944="","", D944 + $F$12*$F$9*(G944)/IF(SQRT(G944^2+H944^2)=0,1,SQRT(G944^2+H944^2)))</x:f>
      </x:c>
      <x:c r="G944" s="14">
        <x:f>IF(B944="","", -$F$8*SIN(B944) - $B$7*$F$6*SIN($F$6*B944))</x:f>
      </x:c>
      <x:c r="H944" s="14">
        <x:f>IF(B944="","", $F$8*COS(B944) - $B$7*$F$6*COS($F$6*B944))</x:f>
      </x:c>
    </x:row>
    <x:row r="945">
      <x:c r="A945" s="13" t="n">
        <x:v>926</x:v>
      </x:c>
      <x:c r="B945" s="14">
        <x:f>IF($B$12&lt;926,"",$B$13+(926-1)*($B$14-$B$13)/($B$12-1))</x:f>
      </x:c>
      <x:c r="C945" s="14">
        <x:f>IF(B945="","",$F$8*COS(B945) + $B$7*COS($F$6*B945))</x:f>
      </x:c>
      <x:c r="D945" s="14">
        <x:f>IF(B945="","",$F$8*SIN(B945) - $B$7*SIN($F$6*B945))</x:f>
      </x:c>
      <x:c r="E945" s="14">
        <x:f>IF(B945="","", C945 + $F$12*$F$9*(-H945)/IF(SQRT(G945^2+H945^2)=0,1,SQRT(G945^2+H945^2)))</x:f>
      </x:c>
      <x:c r="F945" s="14">
        <x:f>IF(B945="","", D945 + $F$12*$F$9*(G945)/IF(SQRT(G945^2+H945^2)=0,1,SQRT(G945^2+H945^2)))</x:f>
      </x:c>
      <x:c r="G945" s="14">
        <x:f>IF(B945="","", -$F$8*SIN(B945) - $B$7*$F$6*SIN($F$6*B945))</x:f>
      </x:c>
      <x:c r="H945" s="14">
        <x:f>IF(B945="","", $F$8*COS(B945) - $B$7*$F$6*COS($F$6*B945))</x:f>
      </x:c>
    </x:row>
    <x:row r="946">
      <x:c r="A946" s="13" t="n">
        <x:v>927</x:v>
      </x:c>
      <x:c r="B946" s="14">
        <x:f>IF($B$12&lt;927,"",$B$13+(927-1)*($B$14-$B$13)/($B$12-1))</x:f>
      </x:c>
      <x:c r="C946" s="14">
        <x:f>IF(B946="","",$F$8*COS(B946) + $B$7*COS($F$6*B946))</x:f>
      </x:c>
      <x:c r="D946" s="14">
        <x:f>IF(B946="","",$F$8*SIN(B946) - $B$7*SIN($F$6*B946))</x:f>
      </x:c>
      <x:c r="E946" s="14">
        <x:f>IF(B946="","", C946 + $F$12*$F$9*(-H946)/IF(SQRT(G946^2+H946^2)=0,1,SQRT(G946^2+H946^2)))</x:f>
      </x:c>
      <x:c r="F946" s="14">
        <x:f>IF(B946="","", D946 + $F$12*$F$9*(G946)/IF(SQRT(G946^2+H946^2)=0,1,SQRT(G946^2+H946^2)))</x:f>
      </x:c>
      <x:c r="G946" s="14">
        <x:f>IF(B946="","", -$F$8*SIN(B946) - $B$7*$F$6*SIN($F$6*B946))</x:f>
      </x:c>
      <x:c r="H946" s="14">
        <x:f>IF(B946="","", $F$8*COS(B946) - $B$7*$F$6*COS($F$6*B946))</x:f>
      </x:c>
    </x:row>
    <x:row r="947">
      <x:c r="A947" s="13" t="n">
        <x:v>928</x:v>
      </x:c>
      <x:c r="B947" s="14">
        <x:f>IF($B$12&lt;928,"",$B$13+(928-1)*($B$14-$B$13)/($B$12-1))</x:f>
      </x:c>
      <x:c r="C947" s="14">
        <x:f>IF(B947="","",$F$8*COS(B947) + $B$7*COS($F$6*B947))</x:f>
      </x:c>
      <x:c r="D947" s="14">
        <x:f>IF(B947="","",$F$8*SIN(B947) - $B$7*SIN($F$6*B947))</x:f>
      </x:c>
      <x:c r="E947" s="14">
        <x:f>IF(B947="","", C947 + $F$12*$F$9*(-H947)/IF(SQRT(G947^2+H947^2)=0,1,SQRT(G947^2+H947^2)))</x:f>
      </x:c>
      <x:c r="F947" s="14">
        <x:f>IF(B947="","", D947 + $F$12*$F$9*(G947)/IF(SQRT(G947^2+H947^2)=0,1,SQRT(G947^2+H947^2)))</x:f>
      </x:c>
      <x:c r="G947" s="14">
        <x:f>IF(B947="","", -$F$8*SIN(B947) - $B$7*$F$6*SIN($F$6*B947))</x:f>
      </x:c>
      <x:c r="H947" s="14">
        <x:f>IF(B947="","", $F$8*COS(B947) - $B$7*$F$6*COS($F$6*B947))</x:f>
      </x:c>
    </x:row>
    <x:row r="948">
      <x:c r="A948" s="13" t="n">
        <x:v>929</x:v>
      </x:c>
      <x:c r="B948" s="14">
        <x:f>IF($B$12&lt;929,"",$B$13+(929-1)*($B$14-$B$13)/($B$12-1))</x:f>
      </x:c>
      <x:c r="C948" s="14">
        <x:f>IF(B948="","",$F$8*COS(B948) + $B$7*COS($F$6*B948))</x:f>
      </x:c>
      <x:c r="D948" s="14">
        <x:f>IF(B948="","",$F$8*SIN(B948) - $B$7*SIN($F$6*B948))</x:f>
      </x:c>
      <x:c r="E948" s="14">
        <x:f>IF(B948="","", C948 + $F$12*$F$9*(-H948)/IF(SQRT(G948^2+H948^2)=0,1,SQRT(G948^2+H948^2)))</x:f>
      </x:c>
      <x:c r="F948" s="14">
        <x:f>IF(B948="","", D948 + $F$12*$F$9*(G948)/IF(SQRT(G948^2+H948^2)=0,1,SQRT(G948^2+H948^2)))</x:f>
      </x:c>
      <x:c r="G948" s="14">
        <x:f>IF(B948="","", -$F$8*SIN(B948) - $B$7*$F$6*SIN($F$6*B948))</x:f>
      </x:c>
      <x:c r="H948" s="14">
        <x:f>IF(B948="","", $F$8*COS(B948) - $B$7*$F$6*COS($F$6*B948))</x:f>
      </x:c>
    </x:row>
    <x:row r="949">
      <x:c r="A949" s="13" t="n">
        <x:v>930</x:v>
      </x:c>
      <x:c r="B949" s="14">
        <x:f>IF($B$12&lt;930,"",$B$13+(930-1)*($B$14-$B$13)/($B$12-1))</x:f>
      </x:c>
      <x:c r="C949" s="14">
        <x:f>IF(B949="","",$F$8*COS(B949) + $B$7*COS($F$6*B949))</x:f>
      </x:c>
      <x:c r="D949" s="14">
        <x:f>IF(B949="","",$F$8*SIN(B949) - $B$7*SIN($F$6*B949))</x:f>
      </x:c>
      <x:c r="E949" s="14">
        <x:f>IF(B949="","", C949 + $F$12*$F$9*(-H949)/IF(SQRT(G949^2+H949^2)=0,1,SQRT(G949^2+H949^2)))</x:f>
      </x:c>
      <x:c r="F949" s="14">
        <x:f>IF(B949="","", D949 + $F$12*$F$9*(G949)/IF(SQRT(G949^2+H949^2)=0,1,SQRT(G949^2+H949^2)))</x:f>
      </x:c>
      <x:c r="G949" s="14">
        <x:f>IF(B949="","", -$F$8*SIN(B949) - $B$7*$F$6*SIN($F$6*B949))</x:f>
      </x:c>
      <x:c r="H949" s="14">
        <x:f>IF(B949="","", $F$8*COS(B949) - $B$7*$F$6*COS($F$6*B949))</x:f>
      </x:c>
    </x:row>
    <x:row r="950">
      <x:c r="A950" s="13" t="n">
        <x:v>931</x:v>
      </x:c>
      <x:c r="B950" s="14">
        <x:f>IF($B$12&lt;931,"",$B$13+(931-1)*($B$14-$B$13)/($B$12-1))</x:f>
      </x:c>
      <x:c r="C950" s="14">
        <x:f>IF(B950="","",$F$8*COS(B950) + $B$7*COS($F$6*B950))</x:f>
      </x:c>
      <x:c r="D950" s="14">
        <x:f>IF(B950="","",$F$8*SIN(B950) - $B$7*SIN($F$6*B950))</x:f>
      </x:c>
      <x:c r="E950" s="14">
        <x:f>IF(B950="","", C950 + $F$12*$F$9*(-H950)/IF(SQRT(G950^2+H950^2)=0,1,SQRT(G950^2+H950^2)))</x:f>
      </x:c>
      <x:c r="F950" s="14">
        <x:f>IF(B950="","", D950 + $F$12*$F$9*(G950)/IF(SQRT(G950^2+H950^2)=0,1,SQRT(G950^2+H950^2)))</x:f>
      </x:c>
      <x:c r="G950" s="14">
        <x:f>IF(B950="","", -$F$8*SIN(B950) - $B$7*$F$6*SIN($F$6*B950))</x:f>
      </x:c>
      <x:c r="H950" s="14">
        <x:f>IF(B950="","", $F$8*COS(B950) - $B$7*$F$6*COS($F$6*B950))</x:f>
      </x:c>
    </x:row>
    <x:row r="951">
      <x:c r="A951" s="13" t="n">
        <x:v>932</x:v>
      </x:c>
      <x:c r="B951" s="14">
        <x:f>IF($B$12&lt;932,"",$B$13+(932-1)*($B$14-$B$13)/($B$12-1))</x:f>
      </x:c>
      <x:c r="C951" s="14">
        <x:f>IF(B951="","",$F$8*COS(B951) + $B$7*COS($F$6*B951))</x:f>
      </x:c>
      <x:c r="D951" s="14">
        <x:f>IF(B951="","",$F$8*SIN(B951) - $B$7*SIN($F$6*B951))</x:f>
      </x:c>
      <x:c r="E951" s="14">
        <x:f>IF(B951="","", C951 + $F$12*$F$9*(-H951)/IF(SQRT(G951^2+H951^2)=0,1,SQRT(G951^2+H951^2)))</x:f>
      </x:c>
      <x:c r="F951" s="14">
        <x:f>IF(B951="","", D951 + $F$12*$F$9*(G951)/IF(SQRT(G951^2+H951^2)=0,1,SQRT(G951^2+H951^2)))</x:f>
      </x:c>
      <x:c r="G951" s="14">
        <x:f>IF(B951="","", -$F$8*SIN(B951) - $B$7*$F$6*SIN($F$6*B951))</x:f>
      </x:c>
      <x:c r="H951" s="14">
        <x:f>IF(B951="","", $F$8*COS(B951) - $B$7*$F$6*COS($F$6*B951))</x:f>
      </x:c>
    </x:row>
    <x:row r="952">
      <x:c r="A952" s="13" t="n">
        <x:v>933</x:v>
      </x:c>
      <x:c r="B952" s="14">
        <x:f>IF($B$12&lt;933,"",$B$13+(933-1)*($B$14-$B$13)/($B$12-1))</x:f>
      </x:c>
      <x:c r="C952" s="14">
        <x:f>IF(B952="","",$F$8*COS(B952) + $B$7*COS($F$6*B952))</x:f>
      </x:c>
      <x:c r="D952" s="14">
        <x:f>IF(B952="","",$F$8*SIN(B952) - $B$7*SIN($F$6*B952))</x:f>
      </x:c>
      <x:c r="E952" s="14">
        <x:f>IF(B952="","", C952 + $F$12*$F$9*(-H952)/IF(SQRT(G952^2+H952^2)=0,1,SQRT(G952^2+H952^2)))</x:f>
      </x:c>
      <x:c r="F952" s="14">
        <x:f>IF(B952="","", D952 + $F$12*$F$9*(G952)/IF(SQRT(G952^2+H952^2)=0,1,SQRT(G952^2+H952^2)))</x:f>
      </x:c>
      <x:c r="G952" s="14">
        <x:f>IF(B952="","", -$F$8*SIN(B952) - $B$7*$F$6*SIN($F$6*B952))</x:f>
      </x:c>
      <x:c r="H952" s="14">
        <x:f>IF(B952="","", $F$8*COS(B952) - $B$7*$F$6*COS($F$6*B952))</x:f>
      </x:c>
    </x:row>
    <x:row r="953">
      <x:c r="A953" s="13" t="n">
        <x:v>934</x:v>
      </x:c>
      <x:c r="B953" s="14">
        <x:f>IF($B$12&lt;934,"",$B$13+(934-1)*($B$14-$B$13)/($B$12-1))</x:f>
      </x:c>
      <x:c r="C953" s="14">
        <x:f>IF(B953="","",$F$8*COS(B953) + $B$7*COS($F$6*B953))</x:f>
      </x:c>
      <x:c r="D953" s="14">
        <x:f>IF(B953="","",$F$8*SIN(B953) - $B$7*SIN($F$6*B953))</x:f>
      </x:c>
      <x:c r="E953" s="14">
        <x:f>IF(B953="","", C953 + $F$12*$F$9*(-H953)/IF(SQRT(G953^2+H953^2)=0,1,SQRT(G953^2+H953^2)))</x:f>
      </x:c>
      <x:c r="F953" s="14">
        <x:f>IF(B953="","", D953 + $F$12*$F$9*(G953)/IF(SQRT(G953^2+H953^2)=0,1,SQRT(G953^2+H953^2)))</x:f>
      </x:c>
      <x:c r="G953" s="14">
        <x:f>IF(B953="","", -$F$8*SIN(B953) - $B$7*$F$6*SIN($F$6*B953))</x:f>
      </x:c>
      <x:c r="H953" s="14">
        <x:f>IF(B953="","", $F$8*COS(B953) - $B$7*$F$6*COS($F$6*B953))</x:f>
      </x:c>
    </x:row>
    <x:row r="954">
      <x:c r="A954" s="13" t="n">
        <x:v>935</x:v>
      </x:c>
      <x:c r="B954" s="14">
        <x:f>IF($B$12&lt;935,"",$B$13+(935-1)*($B$14-$B$13)/($B$12-1))</x:f>
      </x:c>
      <x:c r="C954" s="14">
        <x:f>IF(B954="","",$F$8*COS(B954) + $B$7*COS($F$6*B954))</x:f>
      </x:c>
      <x:c r="D954" s="14">
        <x:f>IF(B954="","",$F$8*SIN(B954) - $B$7*SIN($F$6*B954))</x:f>
      </x:c>
      <x:c r="E954" s="14">
        <x:f>IF(B954="","", C954 + $F$12*$F$9*(-H954)/IF(SQRT(G954^2+H954^2)=0,1,SQRT(G954^2+H954^2)))</x:f>
      </x:c>
      <x:c r="F954" s="14">
        <x:f>IF(B954="","", D954 + $F$12*$F$9*(G954)/IF(SQRT(G954^2+H954^2)=0,1,SQRT(G954^2+H954^2)))</x:f>
      </x:c>
      <x:c r="G954" s="14">
        <x:f>IF(B954="","", -$F$8*SIN(B954) - $B$7*$F$6*SIN($F$6*B954))</x:f>
      </x:c>
      <x:c r="H954" s="14">
        <x:f>IF(B954="","", $F$8*COS(B954) - $B$7*$F$6*COS($F$6*B954))</x:f>
      </x:c>
    </x:row>
    <x:row r="955">
      <x:c r="A955" s="13" t="n">
        <x:v>936</x:v>
      </x:c>
      <x:c r="B955" s="14">
        <x:f>IF($B$12&lt;936,"",$B$13+(936-1)*($B$14-$B$13)/($B$12-1))</x:f>
      </x:c>
      <x:c r="C955" s="14">
        <x:f>IF(B955="","",$F$8*COS(B955) + $B$7*COS($F$6*B955))</x:f>
      </x:c>
      <x:c r="D955" s="14">
        <x:f>IF(B955="","",$F$8*SIN(B955) - $B$7*SIN($F$6*B955))</x:f>
      </x:c>
      <x:c r="E955" s="14">
        <x:f>IF(B955="","", C955 + $F$12*$F$9*(-H955)/IF(SQRT(G955^2+H955^2)=0,1,SQRT(G955^2+H955^2)))</x:f>
      </x:c>
      <x:c r="F955" s="14">
        <x:f>IF(B955="","", D955 + $F$12*$F$9*(G955)/IF(SQRT(G955^2+H955^2)=0,1,SQRT(G955^2+H955^2)))</x:f>
      </x:c>
      <x:c r="G955" s="14">
        <x:f>IF(B955="","", -$F$8*SIN(B955) - $B$7*$F$6*SIN($F$6*B955))</x:f>
      </x:c>
      <x:c r="H955" s="14">
        <x:f>IF(B955="","", $F$8*COS(B955) - $B$7*$F$6*COS($F$6*B955))</x:f>
      </x:c>
    </x:row>
    <x:row r="956">
      <x:c r="A956" s="13" t="n">
        <x:v>937</x:v>
      </x:c>
      <x:c r="B956" s="14">
        <x:f>IF($B$12&lt;937,"",$B$13+(937-1)*($B$14-$B$13)/($B$12-1))</x:f>
      </x:c>
      <x:c r="C956" s="14">
        <x:f>IF(B956="","",$F$8*COS(B956) + $B$7*COS($F$6*B956))</x:f>
      </x:c>
      <x:c r="D956" s="14">
        <x:f>IF(B956="","",$F$8*SIN(B956) - $B$7*SIN($F$6*B956))</x:f>
      </x:c>
      <x:c r="E956" s="14">
        <x:f>IF(B956="","", C956 + $F$12*$F$9*(-H956)/IF(SQRT(G956^2+H956^2)=0,1,SQRT(G956^2+H956^2)))</x:f>
      </x:c>
      <x:c r="F956" s="14">
        <x:f>IF(B956="","", D956 + $F$12*$F$9*(G956)/IF(SQRT(G956^2+H956^2)=0,1,SQRT(G956^2+H956^2)))</x:f>
      </x:c>
      <x:c r="G956" s="14">
        <x:f>IF(B956="","", -$F$8*SIN(B956) - $B$7*$F$6*SIN($F$6*B956))</x:f>
      </x:c>
      <x:c r="H956" s="14">
        <x:f>IF(B956="","", $F$8*COS(B956) - $B$7*$F$6*COS($F$6*B956))</x:f>
      </x:c>
    </x:row>
    <x:row r="957">
      <x:c r="A957" s="13" t="n">
        <x:v>938</x:v>
      </x:c>
      <x:c r="B957" s="14">
        <x:f>IF($B$12&lt;938,"",$B$13+(938-1)*($B$14-$B$13)/($B$12-1))</x:f>
      </x:c>
      <x:c r="C957" s="14">
        <x:f>IF(B957="","",$F$8*COS(B957) + $B$7*COS($F$6*B957))</x:f>
      </x:c>
      <x:c r="D957" s="14">
        <x:f>IF(B957="","",$F$8*SIN(B957) - $B$7*SIN($F$6*B957))</x:f>
      </x:c>
      <x:c r="E957" s="14">
        <x:f>IF(B957="","", C957 + $F$12*$F$9*(-H957)/IF(SQRT(G957^2+H957^2)=0,1,SQRT(G957^2+H957^2)))</x:f>
      </x:c>
      <x:c r="F957" s="14">
        <x:f>IF(B957="","", D957 + $F$12*$F$9*(G957)/IF(SQRT(G957^2+H957^2)=0,1,SQRT(G957^2+H957^2)))</x:f>
      </x:c>
      <x:c r="G957" s="14">
        <x:f>IF(B957="","", -$F$8*SIN(B957) - $B$7*$F$6*SIN($F$6*B957))</x:f>
      </x:c>
      <x:c r="H957" s="14">
        <x:f>IF(B957="","", $F$8*COS(B957) - $B$7*$F$6*COS($F$6*B957))</x:f>
      </x:c>
    </x:row>
    <x:row r="958">
      <x:c r="A958" s="13" t="n">
        <x:v>939</x:v>
      </x:c>
      <x:c r="B958" s="14">
        <x:f>IF($B$12&lt;939,"",$B$13+(939-1)*($B$14-$B$13)/($B$12-1))</x:f>
      </x:c>
      <x:c r="C958" s="14">
        <x:f>IF(B958="","",$F$8*COS(B958) + $B$7*COS($F$6*B958))</x:f>
      </x:c>
      <x:c r="D958" s="14">
        <x:f>IF(B958="","",$F$8*SIN(B958) - $B$7*SIN($F$6*B958))</x:f>
      </x:c>
      <x:c r="E958" s="14">
        <x:f>IF(B958="","", C958 + $F$12*$F$9*(-H958)/IF(SQRT(G958^2+H958^2)=0,1,SQRT(G958^2+H958^2)))</x:f>
      </x:c>
      <x:c r="F958" s="14">
        <x:f>IF(B958="","", D958 + $F$12*$F$9*(G958)/IF(SQRT(G958^2+H958^2)=0,1,SQRT(G958^2+H958^2)))</x:f>
      </x:c>
      <x:c r="G958" s="14">
        <x:f>IF(B958="","", -$F$8*SIN(B958) - $B$7*$F$6*SIN($F$6*B958))</x:f>
      </x:c>
      <x:c r="H958" s="14">
        <x:f>IF(B958="","", $F$8*COS(B958) - $B$7*$F$6*COS($F$6*B958))</x:f>
      </x:c>
    </x:row>
    <x:row r="959">
      <x:c r="A959" s="13" t="n">
        <x:v>940</x:v>
      </x:c>
      <x:c r="B959" s="14">
        <x:f>IF($B$12&lt;940,"",$B$13+(940-1)*($B$14-$B$13)/($B$12-1))</x:f>
      </x:c>
      <x:c r="C959" s="14">
        <x:f>IF(B959="","",$F$8*COS(B959) + $B$7*COS($F$6*B959))</x:f>
      </x:c>
      <x:c r="D959" s="14">
        <x:f>IF(B959="","",$F$8*SIN(B959) - $B$7*SIN($F$6*B959))</x:f>
      </x:c>
      <x:c r="E959" s="14">
        <x:f>IF(B959="","", C959 + $F$12*$F$9*(-H959)/IF(SQRT(G959^2+H959^2)=0,1,SQRT(G959^2+H959^2)))</x:f>
      </x:c>
      <x:c r="F959" s="14">
        <x:f>IF(B959="","", D959 + $F$12*$F$9*(G959)/IF(SQRT(G959^2+H959^2)=0,1,SQRT(G959^2+H959^2)))</x:f>
      </x:c>
      <x:c r="G959" s="14">
        <x:f>IF(B959="","", -$F$8*SIN(B959) - $B$7*$F$6*SIN($F$6*B959))</x:f>
      </x:c>
      <x:c r="H959" s="14">
        <x:f>IF(B959="","", $F$8*COS(B959) - $B$7*$F$6*COS($F$6*B959))</x:f>
      </x:c>
    </x:row>
    <x:row r="960">
      <x:c r="A960" s="13" t="n">
        <x:v>941</x:v>
      </x:c>
      <x:c r="B960" s="14">
        <x:f>IF($B$12&lt;941,"",$B$13+(941-1)*($B$14-$B$13)/($B$12-1))</x:f>
      </x:c>
      <x:c r="C960" s="14">
        <x:f>IF(B960="","",$F$8*COS(B960) + $B$7*COS($F$6*B960))</x:f>
      </x:c>
      <x:c r="D960" s="14">
        <x:f>IF(B960="","",$F$8*SIN(B960) - $B$7*SIN($F$6*B960))</x:f>
      </x:c>
      <x:c r="E960" s="14">
        <x:f>IF(B960="","", C960 + $F$12*$F$9*(-H960)/IF(SQRT(G960^2+H960^2)=0,1,SQRT(G960^2+H960^2)))</x:f>
      </x:c>
      <x:c r="F960" s="14">
        <x:f>IF(B960="","", D960 + $F$12*$F$9*(G960)/IF(SQRT(G960^2+H960^2)=0,1,SQRT(G960^2+H960^2)))</x:f>
      </x:c>
      <x:c r="G960" s="14">
        <x:f>IF(B960="","", -$F$8*SIN(B960) - $B$7*$F$6*SIN($F$6*B960))</x:f>
      </x:c>
      <x:c r="H960" s="14">
        <x:f>IF(B960="","", $F$8*COS(B960) - $B$7*$F$6*COS($F$6*B960))</x:f>
      </x:c>
    </x:row>
    <x:row r="961">
      <x:c r="A961" s="13" t="n">
        <x:v>942</x:v>
      </x:c>
      <x:c r="B961" s="14">
        <x:f>IF($B$12&lt;942,"",$B$13+(942-1)*($B$14-$B$13)/($B$12-1))</x:f>
      </x:c>
      <x:c r="C961" s="14">
        <x:f>IF(B961="","",$F$8*COS(B961) + $B$7*COS($F$6*B961))</x:f>
      </x:c>
      <x:c r="D961" s="14">
        <x:f>IF(B961="","",$F$8*SIN(B961) - $B$7*SIN($F$6*B961))</x:f>
      </x:c>
      <x:c r="E961" s="14">
        <x:f>IF(B961="","", C961 + $F$12*$F$9*(-H961)/IF(SQRT(G961^2+H961^2)=0,1,SQRT(G961^2+H961^2)))</x:f>
      </x:c>
      <x:c r="F961" s="14">
        <x:f>IF(B961="","", D961 + $F$12*$F$9*(G961)/IF(SQRT(G961^2+H961^2)=0,1,SQRT(G961^2+H961^2)))</x:f>
      </x:c>
      <x:c r="G961" s="14">
        <x:f>IF(B961="","", -$F$8*SIN(B961) - $B$7*$F$6*SIN($F$6*B961))</x:f>
      </x:c>
      <x:c r="H961" s="14">
        <x:f>IF(B961="","", $F$8*COS(B961) - $B$7*$F$6*COS($F$6*B961))</x:f>
      </x:c>
    </x:row>
    <x:row r="962">
      <x:c r="A962" s="13" t="n">
        <x:v>943</x:v>
      </x:c>
      <x:c r="B962" s="14">
        <x:f>IF($B$12&lt;943,"",$B$13+(943-1)*($B$14-$B$13)/($B$12-1))</x:f>
      </x:c>
      <x:c r="C962" s="14">
        <x:f>IF(B962="","",$F$8*COS(B962) + $B$7*COS($F$6*B962))</x:f>
      </x:c>
      <x:c r="D962" s="14">
        <x:f>IF(B962="","",$F$8*SIN(B962) - $B$7*SIN($F$6*B962))</x:f>
      </x:c>
      <x:c r="E962" s="14">
        <x:f>IF(B962="","", C962 + $F$12*$F$9*(-H962)/IF(SQRT(G962^2+H962^2)=0,1,SQRT(G962^2+H962^2)))</x:f>
      </x:c>
      <x:c r="F962" s="14">
        <x:f>IF(B962="","", D962 + $F$12*$F$9*(G962)/IF(SQRT(G962^2+H962^2)=0,1,SQRT(G962^2+H962^2)))</x:f>
      </x:c>
      <x:c r="G962" s="14">
        <x:f>IF(B962="","", -$F$8*SIN(B962) - $B$7*$F$6*SIN($F$6*B962))</x:f>
      </x:c>
      <x:c r="H962" s="14">
        <x:f>IF(B962="","", $F$8*COS(B962) - $B$7*$F$6*COS($F$6*B962))</x:f>
      </x:c>
    </x:row>
    <x:row r="963">
      <x:c r="A963" s="13" t="n">
        <x:v>944</x:v>
      </x:c>
      <x:c r="B963" s="14">
        <x:f>IF($B$12&lt;944,"",$B$13+(944-1)*($B$14-$B$13)/($B$12-1))</x:f>
      </x:c>
      <x:c r="C963" s="14">
        <x:f>IF(B963="","",$F$8*COS(B963) + $B$7*COS($F$6*B963))</x:f>
      </x:c>
      <x:c r="D963" s="14">
        <x:f>IF(B963="","",$F$8*SIN(B963) - $B$7*SIN($F$6*B963))</x:f>
      </x:c>
      <x:c r="E963" s="14">
        <x:f>IF(B963="","", C963 + $F$12*$F$9*(-H963)/IF(SQRT(G963^2+H963^2)=0,1,SQRT(G963^2+H963^2)))</x:f>
      </x:c>
      <x:c r="F963" s="14">
        <x:f>IF(B963="","", D963 + $F$12*$F$9*(G963)/IF(SQRT(G963^2+H963^2)=0,1,SQRT(G963^2+H963^2)))</x:f>
      </x:c>
      <x:c r="G963" s="14">
        <x:f>IF(B963="","", -$F$8*SIN(B963) - $B$7*$F$6*SIN($F$6*B963))</x:f>
      </x:c>
      <x:c r="H963" s="14">
        <x:f>IF(B963="","", $F$8*COS(B963) - $B$7*$F$6*COS($F$6*B963))</x:f>
      </x:c>
    </x:row>
    <x:row r="964">
      <x:c r="A964" s="13" t="n">
        <x:v>945</x:v>
      </x:c>
      <x:c r="B964" s="14">
        <x:f>IF($B$12&lt;945,"",$B$13+(945-1)*($B$14-$B$13)/($B$12-1))</x:f>
      </x:c>
      <x:c r="C964" s="14">
        <x:f>IF(B964="","",$F$8*COS(B964) + $B$7*COS($F$6*B964))</x:f>
      </x:c>
      <x:c r="D964" s="14">
        <x:f>IF(B964="","",$F$8*SIN(B964) - $B$7*SIN($F$6*B964))</x:f>
      </x:c>
      <x:c r="E964" s="14">
        <x:f>IF(B964="","", C964 + $F$12*$F$9*(-H964)/IF(SQRT(G964^2+H964^2)=0,1,SQRT(G964^2+H964^2)))</x:f>
      </x:c>
      <x:c r="F964" s="14">
        <x:f>IF(B964="","", D964 + $F$12*$F$9*(G964)/IF(SQRT(G964^2+H964^2)=0,1,SQRT(G964^2+H964^2)))</x:f>
      </x:c>
      <x:c r="G964" s="14">
        <x:f>IF(B964="","", -$F$8*SIN(B964) - $B$7*$F$6*SIN($F$6*B964))</x:f>
      </x:c>
      <x:c r="H964" s="14">
        <x:f>IF(B964="","", $F$8*COS(B964) - $B$7*$F$6*COS($F$6*B964))</x:f>
      </x:c>
    </x:row>
    <x:row r="965">
      <x:c r="A965" s="13" t="n">
        <x:v>946</x:v>
      </x:c>
      <x:c r="B965" s="14">
        <x:f>IF($B$12&lt;946,"",$B$13+(946-1)*($B$14-$B$13)/($B$12-1))</x:f>
      </x:c>
      <x:c r="C965" s="14">
        <x:f>IF(B965="","",$F$8*COS(B965) + $B$7*COS($F$6*B965))</x:f>
      </x:c>
      <x:c r="D965" s="14">
        <x:f>IF(B965="","",$F$8*SIN(B965) - $B$7*SIN($F$6*B965))</x:f>
      </x:c>
      <x:c r="E965" s="14">
        <x:f>IF(B965="","", C965 + $F$12*$F$9*(-H965)/IF(SQRT(G965^2+H965^2)=0,1,SQRT(G965^2+H965^2)))</x:f>
      </x:c>
      <x:c r="F965" s="14">
        <x:f>IF(B965="","", D965 + $F$12*$F$9*(G965)/IF(SQRT(G965^2+H965^2)=0,1,SQRT(G965^2+H965^2)))</x:f>
      </x:c>
      <x:c r="G965" s="14">
        <x:f>IF(B965="","", -$F$8*SIN(B965) - $B$7*$F$6*SIN($F$6*B965))</x:f>
      </x:c>
      <x:c r="H965" s="14">
        <x:f>IF(B965="","", $F$8*COS(B965) - $B$7*$F$6*COS($F$6*B965))</x:f>
      </x:c>
    </x:row>
    <x:row r="966">
      <x:c r="A966" s="13" t="n">
        <x:v>947</x:v>
      </x:c>
      <x:c r="B966" s="14">
        <x:f>IF($B$12&lt;947,"",$B$13+(947-1)*($B$14-$B$13)/($B$12-1))</x:f>
      </x:c>
      <x:c r="C966" s="14">
        <x:f>IF(B966="","",$F$8*COS(B966) + $B$7*COS($F$6*B966))</x:f>
      </x:c>
      <x:c r="D966" s="14">
        <x:f>IF(B966="","",$F$8*SIN(B966) - $B$7*SIN($F$6*B966))</x:f>
      </x:c>
      <x:c r="E966" s="14">
        <x:f>IF(B966="","", C966 + $F$12*$F$9*(-H966)/IF(SQRT(G966^2+H966^2)=0,1,SQRT(G966^2+H966^2)))</x:f>
      </x:c>
      <x:c r="F966" s="14">
        <x:f>IF(B966="","", D966 + $F$12*$F$9*(G966)/IF(SQRT(G966^2+H966^2)=0,1,SQRT(G966^2+H966^2)))</x:f>
      </x:c>
      <x:c r="G966" s="14">
        <x:f>IF(B966="","", -$F$8*SIN(B966) - $B$7*$F$6*SIN($F$6*B966))</x:f>
      </x:c>
      <x:c r="H966" s="14">
        <x:f>IF(B966="","", $F$8*COS(B966) - $B$7*$F$6*COS($F$6*B966))</x:f>
      </x:c>
    </x:row>
    <x:row r="967">
      <x:c r="A967" s="13" t="n">
        <x:v>948</x:v>
      </x:c>
      <x:c r="B967" s="14">
        <x:f>IF($B$12&lt;948,"",$B$13+(948-1)*($B$14-$B$13)/($B$12-1))</x:f>
      </x:c>
      <x:c r="C967" s="14">
        <x:f>IF(B967="","",$F$8*COS(B967) + $B$7*COS($F$6*B967))</x:f>
      </x:c>
      <x:c r="D967" s="14">
        <x:f>IF(B967="","",$F$8*SIN(B967) - $B$7*SIN($F$6*B967))</x:f>
      </x:c>
      <x:c r="E967" s="14">
        <x:f>IF(B967="","", C967 + $F$12*$F$9*(-H967)/IF(SQRT(G967^2+H967^2)=0,1,SQRT(G967^2+H967^2)))</x:f>
      </x:c>
      <x:c r="F967" s="14">
        <x:f>IF(B967="","", D967 + $F$12*$F$9*(G967)/IF(SQRT(G967^2+H967^2)=0,1,SQRT(G967^2+H967^2)))</x:f>
      </x:c>
      <x:c r="G967" s="14">
        <x:f>IF(B967="","", -$F$8*SIN(B967) - $B$7*$F$6*SIN($F$6*B967))</x:f>
      </x:c>
      <x:c r="H967" s="14">
        <x:f>IF(B967="","", $F$8*COS(B967) - $B$7*$F$6*COS($F$6*B967))</x:f>
      </x:c>
    </x:row>
    <x:row r="968">
      <x:c r="A968" s="13" t="n">
        <x:v>949</x:v>
      </x:c>
      <x:c r="B968" s="14">
        <x:f>IF($B$12&lt;949,"",$B$13+(949-1)*($B$14-$B$13)/($B$12-1))</x:f>
      </x:c>
      <x:c r="C968" s="14">
        <x:f>IF(B968="","",$F$8*COS(B968) + $B$7*COS($F$6*B968))</x:f>
      </x:c>
      <x:c r="D968" s="14">
        <x:f>IF(B968="","",$F$8*SIN(B968) - $B$7*SIN($F$6*B968))</x:f>
      </x:c>
      <x:c r="E968" s="14">
        <x:f>IF(B968="","", C968 + $F$12*$F$9*(-H968)/IF(SQRT(G968^2+H968^2)=0,1,SQRT(G968^2+H968^2)))</x:f>
      </x:c>
      <x:c r="F968" s="14">
        <x:f>IF(B968="","", D968 + $F$12*$F$9*(G968)/IF(SQRT(G968^2+H968^2)=0,1,SQRT(G968^2+H968^2)))</x:f>
      </x:c>
      <x:c r="G968" s="14">
        <x:f>IF(B968="","", -$F$8*SIN(B968) - $B$7*$F$6*SIN($F$6*B968))</x:f>
      </x:c>
      <x:c r="H968" s="14">
        <x:f>IF(B968="","", $F$8*COS(B968) - $B$7*$F$6*COS($F$6*B968))</x:f>
      </x:c>
    </x:row>
    <x:row r="969">
      <x:c r="A969" s="13" t="n">
        <x:v>950</x:v>
      </x:c>
      <x:c r="B969" s="14">
        <x:f>IF($B$12&lt;950,"",$B$13+(950-1)*($B$14-$B$13)/($B$12-1))</x:f>
      </x:c>
      <x:c r="C969" s="14">
        <x:f>IF(B969="","",$F$8*COS(B969) + $B$7*COS($F$6*B969))</x:f>
      </x:c>
      <x:c r="D969" s="14">
        <x:f>IF(B969="","",$F$8*SIN(B969) - $B$7*SIN($F$6*B969))</x:f>
      </x:c>
      <x:c r="E969" s="14">
        <x:f>IF(B969="","", C969 + $F$12*$F$9*(-H969)/IF(SQRT(G969^2+H969^2)=0,1,SQRT(G969^2+H969^2)))</x:f>
      </x:c>
      <x:c r="F969" s="14">
        <x:f>IF(B969="","", D969 + $F$12*$F$9*(G969)/IF(SQRT(G969^2+H969^2)=0,1,SQRT(G969^2+H969^2)))</x:f>
      </x:c>
      <x:c r="G969" s="14">
        <x:f>IF(B969="","", -$F$8*SIN(B969) - $B$7*$F$6*SIN($F$6*B969))</x:f>
      </x:c>
      <x:c r="H969" s="14">
        <x:f>IF(B969="","", $F$8*COS(B969) - $B$7*$F$6*COS($F$6*B969))</x:f>
      </x:c>
    </x:row>
    <x:row r="970">
      <x:c r="A970" s="13" t="n">
        <x:v>951</x:v>
      </x:c>
      <x:c r="B970" s="14">
        <x:f>IF($B$12&lt;951,"",$B$13+(951-1)*($B$14-$B$13)/($B$12-1))</x:f>
      </x:c>
      <x:c r="C970" s="14">
        <x:f>IF(B970="","",$F$8*COS(B970) + $B$7*COS($F$6*B970))</x:f>
      </x:c>
      <x:c r="D970" s="14">
        <x:f>IF(B970="","",$F$8*SIN(B970) - $B$7*SIN($F$6*B970))</x:f>
      </x:c>
      <x:c r="E970" s="14">
        <x:f>IF(B970="","", C970 + $F$12*$F$9*(-H970)/IF(SQRT(G970^2+H970^2)=0,1,SQRT(G970^2+H970^2)))</x:f>
      </x:c>
      <x:c r="F970" s="14">
        <x:f>IF(B970="","", D970 + $F$12*$F$9*(G970)/IF(SQRT(G970^2+H970^2)=0,1,SQRT(G970^2+H970^2)))</x:f>
      </x:c>
      <x:c r="G970" s="14">
        <x:f>IF(B970="","", -$F$8*SIN(B970) - $B$7*$F$6*SIN($F$6*B970))</x:f>
      </x:c>
      <x:c r="H970" s="14">
        <x:f>IF(B970="","", $F$8*COS(B970) - $B$7*$F$6*COS($F$6*B970))</x:f>
      </x:c>
    </x:row>
    <x:row r="971">
      <x:c r="A971" s="13" t="n">
        <x:v>952</x:v>
      </x:c>
      <x:c r="B971" s="14">
        <x:f>IF($B$12&lt;952,"",$B$13+(952-1)*($B$14-$B$13)/($B$12-1))</x:f>
      </x:c>
      <x:c r="C971" s="14">
        <x:f>IF(B971="","",$F$8*COS(B971) + $B$7*COS($F$6*B971))</x:f>
      </x:c>
      <x:c r="D971" s="14">
        <x:f>IF(B971="","",$F$8*SIN(B971) - $B$7*SIN($F$6*B971))</x:f>
      </x:c>
      <x:c r="E971" s="14">
        <x:f>IF(B971="","", C971 + $F$12*$F$9*(-H971)/IF(SQRT(G971^2+H971^2)=0,1,SQRT(G971^2+H971^2)))</x:f>
      </x:c>
      <x:c r="F971" s="14">
        <x:f>IF(B971="","", D971 + $F$12*$F$9*(G971)/IF(SQRT(G971^2+H971^2)=0,1,SQRT(G971^2+H971^2)))</x:f>
      </x:c>
      <x:c r="G971" s="14">
        <x:f>IF(B971="","", -$F$8*SIN(B971) - $B$7*$F$6*SIN($F$6*B971))</x:f>
      </x:c>
      <x:c r="H971" s="14">
        <x:f>IF(B971="","", $F$8*COS(B971) - $B$7*$F$6*COS($F$6*B971))</x:f>
      </x:c>
    </x:row>
    <x:row r="972">
      <x:c r="A972" s="13" t="n">
        <x:v>953</x:v>
      </x:c>
      <x:c r="B972" s="14">
        <x:f>IF($B$12&lt;953,"",$B$13+(953-1)*($B$14-$B$13)/($B$12-1))</x:f>
      </x:c>
      <x:c r="C972" s="14">
        <x:f>IF(B972="","",$F$8*COS(B972) + $B$7*COS($F$6*B972))</x:f>
      </x:c>
      <x:c r="D972" s="14">
        <x:f>IF(B972="","",$F$8*SIN(B972) - $B$7*SIN($F$6*B972))</x:f>
      </x:c>
      <x:c r="E972" s="14">
        <x:f>IF(B972="","", C972 + $F$12*$F$9*(-H972)/IF(SQRT(G972^2+H972^2)=0,1,SQRT(G972^2+H972^2)))</x:f>
      </x:c>
      <x:c r="F972" s="14">
        <x:f>IF(B972="","", D972 + $F$12*$F$9*(G972)/IF(SQRT(G972^2+H972^2)=0,1,SQRT(G972^2+H972^2)))</x:f>
      </x:c>
      <x:c r="G972" s="14">
        <x:f>IF(B972="","", -$F$8*SIN(B972) - $B$7*$F$6*SIN($F$6*B972))</x:f>
      </x:c>
      <x:c r="H972" s="14">
        <x:f>IF(B972="","", $F$8*COS(B972) - $B$7*$F$6*COS($F$6*B972))</x:f>
      </x:c>
    </x:row>
    <x:row r="973">
      <x:c r="A973" s="13" t="n">
        <x:v>954</x:v>
      </x:c>
      <x:c r="B973" s="14">
        <x:f>IF($B$12&lt;954,"",$B$13+(954-1)*($B$14-$B$13)/($B$12-1))</x:f>
      </x:c>
      <x:c r="C973" s="14">
        <x:f>IF(B973="","",$F$8*COS(B973) + $B$7*COS($F$6*B973))</x:f>
      </x:c>
      <x:c r="D973" s="14">
        <x:f>IF(B973="","",$F$8*SIN(B973) - $B$7*SIN($F$6*B973))</x:f>
      </x:c>
      <x:c r="E973" s="14">
        <x:f>IF(B973="","", C973 + $F$12*$F$9*(-H973)/IF(SQRT(G973^2+H973^2)=0,1,SQRT(G973^2+H973^2)))</x:f>
      </x:c>
      <x:c r="F973" s="14">
        <x:f>IF(B973="","", D973 + $F$12*$F$9*(G973)/IF(SQRT(G973^2+H973^2)=0,1,SQRT(G973^2+H973^2)))</x:f>
      </x:c>
      <x:c r="G973" s="14">
        <x:f>IF(B973="","", -$F$8*SIN(B973) - $B$7*$F$6*SIN($F$6*B973))</x:f>
      </x:c>
      <x:c r="H973" s="14">
        <x:f>IF(B973="","", $F$8*COS(B973) - $B$7*$F$6*COS($F$6*B973))</x:f>
      </x:c>
    </x:row>
    <x:row r="974">
      <x:c r="A974" s="13" t="n">
        <x:v>955</x:v>
      </x:c>
      <x:c r="B974" s="14">
        <x:f>IF($B$12&lt;955,"",$B$13+(955-1)*($B$14-$B$13)/($B$12-1))</x:f>
      </x:c>
      <x:c r="C974" s="14">
        <x:f>IF(B974="","",$F$8*COS(B974) + $B$7*COS($F$6*B974))</x:f>
      </x:c>
      <x:c r="D974" s="14">
        <x:f>IF(B974="","",$F$8*SIN(B974) - $B$7*SIN($F$6*B974))</x:f>
      </x:c>
      <x:c r="E974" s="14">
        <x:f>IF(B974="","", C974 + $F$12*$F$9*(-H974)/IF(SQRT(G974^2+H974^2)=0,1,SQRT(G974^2+H974^2)))</x:f>
      </x:c>
      <x:c r="F974" s="14">
        <x:f>IF(B974="","", D974 + $F$12*$F$9*(G974)/IF(SQRT(G974^2+H974^2)=0,1,SQRT(G974^2+H974^2)))</x:f>
      </x:c>
      <x:c r="G974" s="14">
        <x:f>IF(B974="","", -$F$8*SIN(B974) - $B$7*$F$6*SIN($F$6*B974))</x:f>
      </x:c>
      <x:c r="H974" s="14">
        <x:f>IF(B974="","", $F$8*COS(B974) - $B$7*$F$6*COS($F$6*B974))</x:f>
      </x:c>
    </x:row>
    <x:row r="975">
      <x:c r="A975" s="13" t="n">
        <x:v>956</x:v>
      </x:c>
      <x:c r="B975" s="14">
        <x:f>IF($B$12&lt;956,"",$B$13+(956-1)*($B$14-$B$13)/($B$12-1))</x:f>
      </x:c>
      <x:c r="C975" s="14">
        <x:f>IF(B975="","",$F$8*COS(B975) + $B$7*COS($F$6*B975))</x:f>
      </x:c>
      <x:c r="D975" s="14">
        <x:f>IF(B975="","",$F$8*SIN(B975) - $B$7*SIN($F$6*B975))</x:f>
      </x:c>
      <x:c r="E975" s="14">
        <x:f>IF(B975="","", C975 + $F$12*$F$9*(-H975)/IF(SQRT(G975^2+H975^2)=0,1,SQRT(G975^2+H975^2)))</x:f>
      </x:c>
      <x:c r="F975" s="14">
        <x:f>IF(B975="","", D975 + $F$12*$F$9*(G975)/IF(SQRT(G975^2+H975^2)=0,1,SQRT(G975^2+H975^2)))</x:f>
      </x:c>
      <x:c r="G975" s="14">
        <x:f>IF(B975="","", -$F$8*SIN(B975) - $B$7*$F$6*SIN($F$6*B975))</x:f>
      </x:c>
      <x:c r="H975" s="14">
        <x:f>IF(B975="","", $F$8*COS(B975) - $B$7*$F$6*COS($F$6*B975))</x:f>
      </x:c>
    </x:row>
    <x:row r="976">
      <x:c r="A976" s="13" t="n">
        <x:v>957</x:v>
      </x:c>
      <x:c r="B976" s="14">
        <x:f>IF($B$12&lt;957,"",$B$13+(957-1)*($B$14-$B$13)/($B$12-1))</x:f>
      </x:c>
      <x:c r="C976" s="14">
        <x:f>IF(B976="","",$F$8*COS(B976) + $B$7*COS($F$6*B976))</x:f>
      </x:c>
      <x:c r="D976" s="14">
        <x:f>IF(B976="","",$F$8*SIN(B976) - $B$7*SIN($F$6*B976))</x:f>
      </x:c>
      <x:c r="E976" s="14">
        <x:f>IF(B976="","", C976 + $F$12*$F$9*(-H976)/IF(SQRT(G976^2+H976^2)=0,1,SQRT(G976^2+H976^2)))</x:f>
      </x:c>
      <x:c r="F976" s="14">
        <x:f>IF(B976="","", D976 + $F$12*$F$9*(G976)/IF(SQRT(G976^2+H976^2)=0,1,SQRT(G976^2+H976^2)))</x:f>
      </x:c>
      <x:c r="G976" s="14">
        <x:f>IF(B976="","", -$F$8*SIN(B976) - $B$7*$F$6*SIN($F$6*B976))</x:f>
      </x:c>
      <x:c r="H976" s="14">
        <x:f>IF(B976="","", $F$8*COS(B976) - $B$7*$F$6*COS($F$6*B976))</x:f>
      </x:c>
    </x:row>
    <x:row r="977">
      <x:c r="A977" s="13" t="n">
        <x:v>958</x:v>
      </x:c>
      <x:c r="B977" s="14">
        <x:f>IF($B$12&lt;958,"",$B$13+(958-1)*($B$14-$B$13)/($B$12-1))</x:f>
      </x:c>
      <x:c r="C977" s="14">
        <x:f>IF(B977="","",$F$8*COS(B977) + $B$7*COS($F$6*B977))</x:f>
      </x:c>
      <x:c r="D977" s="14">
        <x:f>IF(B977="","",$F$8*SIN(B977) - $B$7*SIN($F$6*B977))</x:f>
      </x:c>
      <x:c r="E977" s="14">
        <x:f>IF(B977="","", C977 + $F$12*$F$9*(-H977)/IF(SQRT(G977^2+H977^2)=0,1,SQRT(G977^2+H977^2)))</x:f>
      </x:c>
      <x:c r="F977" s="14">
        <x:f>IF(B977="","", D977 + $F$12*$F$9*(G977)/IF(SQRT(G977^2+H977^2)=0,1,SQRT(G977^2+H977^2)))</x:f>
      </x:c>
      <x:c r="G977" s="14">
        <x:f>IF(B977="","", -$F$8*SIN(B977) - $B$7*$F$6*SIN($F$6*B977))</x:f>
      </x:c>
      <x:c r="H977" s="14">
        <x:f>IF(B977="","", $F$8*COS(B977) - $B$7*$F$6*COS($F$6*B977))</x:f>
      </x:c>
    </x:row>
    <x:row r="978">
      <x:c r="A978" s="13" t="n">
        <x:v>959</x:v>
      </x:c>
      <x:c r="B978" s="14">
        <x:f>IF($B$12&lt;959,"",$B$13+(959-1)*($B$14-$B$13)/($B$12-1))</x:f>
      </x:c>
      <x:c r="C978" s="14">
        <x:f>IF(B978="","",$F$8*COS(B978) + $B$7*COS($F$6*B978))</x:f>
      </x:c>
      <x:c r="D978" s="14">
        <x:f>IF(B978="","",$F$8*SIN(B978) - $B$7*SIN($F$6*B978))</x:f>
      </x:c>
      <x:c r="E978" s="14">
        <x:f>IF(B978="","", C978 + $F$12*$F$9*(-H978)/IF(SQRT(G978^2+H978^2)=0,1,SQRT(G978^2+H978^2)))</x:f>
      </x:c>
      <x:c r="F978" s="14">
        <x:f>IF(B978="","", D978 + $F$12*$F$9*(G978)/IF(SQRT(G978^2+H978^2)=0,1,SQRT(G978^2+H978^2)))</x:f>
      </x:c>
      <x:c r="G978" s="14">
        <x:f>IF(B978="","", -$F$8*SIN(B978) - $B$7*$F$6*SIN($F$6*B978))</x:f>
      </x:c>
      <x:c r="H978" s="14">
        <x:f>IF(B978="","", $F$8*COS(B978) - $B$7*$F$6*COS($F$6*B978))</x:f>
      </x:c>
    </x:row>
    <x:row r="979">
      <x:c r="A979" s="13" t="n">
        <x:v>960</x:v>
      </x:c>
      <x:c r="B979" s="14">
        <x:f>IF($B$12&lt;960,"",$B$13+(960-1)*($B$14-$B$13)/($B$12-1))</x:f>
      </x:c>
      <x:c r="C979" s="14">
        <x:f>IF(B979="","",$F$8*COS(B979) + $B$7*COS($F$6*B979))</x:f>
      </x:c>
      <x:c r="D979" s="14">
        <x:f>IF(B979="","",$F$8*SIN(B979) - $B$7*SIN($F$6*B979))</x:f>
      </x:c>
      <x:c r="E979" s="14">
        <x:f>IF(B979="","", C979 + $F$12*$F$9*(-H979)/IF(SQRT(G979^2+H979^2)=0,1,SQRT(G979^2+H979^2)))</x:f>
      </x:c>
      <x:c r="F979" s="14">
        <x:f>IF(B979="","", D979 + $F$12*$F$9*(G979)/IF(SQRT(G979^2+H979^2)=0,1,SQRT(G979^2+H979^2)))</x:f>
      </x:c>
      <x:c r="G979" s="14">
        <x:f>IF(B979="","", -$F$8*SIN(B979) - $B$7*$F$6*SIN($F$6*B979))</x:f>
      </x:c>
      <x:c r="H979" s="14">
        <x:f>IF(B979="","", $F$8*COS(B979) - $B$7*$F$6*COS($F$6*B979))</x:f>
      </x:c>
    </x:row>
    <x:row r="980">
      <x:c r="A980" s="13" t="n">
        <x:v>961</x:v>
      </x:c>
      <x:c r="B980" s="14">
        <x:f>IF($B$12&lt;961,"",$B$13+(961-1)*($B$14-$B$13)/($B$12-1))</x:f>
      </x:c>
      <x:c r="C980" s="14">
        <x:f>IF(B980="","",$F$8*COS(B980) + $B$7*COS($F$6*B980))</x:f>
      </x:c>
      <x:c r="D980" s="14">
        <x:f>IF(B980="","",$F$8*SIN(B980) - $B$7*SIN($F$6*B980))</x:f>
      </x:c>
      <x:c r="E980" s="14">
        <x:f>IF(B980="","", C980 + $F$12*$F$9*(-H980)/IF(SQRT(G980^2+H980^2)=0,1,SQRT(G980^2+H980^2)))</x:f>
      </x:c>
      <x:c r="F980" s="14">
        <x:f>IF(B980="","", D980 + $F$12*$F$9*(G980)/IF(SQRT(G980^2+H980^2)=0,1,SQRT(G980^2+H980^2)))</x:f>
      </x:c>
      <x:c r="G980" s="14">
        <x:f>IF(B980="","", -$F$8*SIN(B980) - $B$7*$F$6*SIN($F$6*B980))</x:f>
      </x:c>
      <x:c r="H980" s="14">
        <x:f>IF(B980="","", $F$8*COS(B980) - $B$7*$F$6*COS($F$6*B980))</x:f>
      </x:c>
    </x:row>
    <x:row r="981">
      <x:c r="A981" s="13" t="n">
        <x:v>962</x:v>
      </x:c>
      <x:c r="B981" s="14">
        <x:f>IF($B$12&lt;962,"",$B$13+(962-1)*($B$14-$B$13)/($B$12-1))</x:f>
      </x:c>
      <x:c r="C981" s="14">
        <x:f>IF(B981="","",$F$8*COS(B981) + $B$7*COS($F$6*B981))</x:f>
      </x:c>
      <x:c r="D981" s="14">
        <x:f>IF(B981="","",$F$8*SIN(B981) - $B$7*SIN($F$6*B981))</x:f>
      </x:c>
      <x:c r="E981" s="14">
        <x:f>IF(B981="","", C981 + $F$12*$F$9*(-H981)/IF(SQRT(G981^2+H981^2)=0,1,SQRT(G981^2+H981^2)))</x:f>
      </x:c>
      <x:c r="F981" s="14">
        <x:f>IF(B981="","", D981 + $F$12*$F$9*(G981)/IF(SQRT(G981^2+H981^2)=0,1,SQRT(G981^2+H981^2)))</x:f>
      </x:c>
      <x:c r="G981" s="14">
        <x:f>IF(B981="","", -$F$8*SIN(B981) - $B$7*$F$6*SIN($F$6*B981))</x:f>
      </x:c>
      <x:c r="H981" s="14">
        <x:f>IF(B981="","", $F$8*COS(B981) - $B$7*$F$6*COS($F$6*B981))</x:f>
      </x:c>
    </x:row>
    <x:row r="982">
      <x:c r="A982" s="13" t="n">
        <x:v>963</x:v>
      </x:c>
      <x:c r="B982" s="14">
        <x:f>IF($B$12&lt;963,"",$B$13+(963-1)*($B$14-$B$13)/($B$12-1))</x:f>
      </x:c>
      <x:c r="C982" s="14">
        <x:f>IF(B982="","",$F$8*COS(B982) + $B$7*COS($F$6*B982))</x:f>
      </x:c>
      <x:c r="D982" s="14">
        <x:f>IF(B982="","",$F$8*SIN(B982) - $B$7*SIN($F$6*B982))</x:f>
      </x:c>
      <x:c r="E982" s="14">
        <x:f>IF(B982="","", C982 + $F$12*$F$9*(-H982)/IF(SQRT(G982^2+H982^2)=0,1,SQRT(G982^2+H982^2)))</x:f>
      </x:c>
      <x:c r="F982" s="14">
        <x:f>IF(B982="","", D982 + $F$12*$F$9*(G982)/IF(SQRT(G982^2+H982^2)=0,1,SQRT(G982^2+H982^2)))</x:f>
      </x:c>
      <x:c r="G982" s="14">
        <x:f>IF(B982="","", -$F$8*SIN(B982) - $B$7*$F$6*SIN($F$6*B982))</x:f>
      </x:c>
      <x:c r="H982" s="14">
        <x:f>IF(B982="","", $F$8*COS(B982) - $B$7*$F$6*COS($F$6*B982))</x:f>
      </x:c>
    </x:row>
    <x:row r="983">
      <x:c r="A983" s="13" t="n">
        <x:v>964</x:v>
      </x:c>
      <x:c r="B983" s="14">
        <x:f>IF($B$12&lt;964,"",$B$13+(964-1)*($B$14-$B$13)/($B$12-1))</x:f>
      </x:c>
      <x:c r="C983" s="14">
        <x:f>IF(B983="","",$F$8*COS(B983) + $B$7*COS($F$6*B983))</x:f>
      </x:c>
      <x:c r="D983" s="14">
        <x:f>IF(B983="","",$F$8*SIN(B983) - $B$7*SIN($F$6*B983))</x:f>
      </x:c>
      <x:c r="E983" s="14">
        <x:f>IF(B983="","", C983 + $F$12*$F$9*(-H983)/IF(SQRT(G983^2+H983^2)=0,1,SQRT(G983^2+H983^2)))</x:f>
      </x:c>
      <x:c r="F983" s="14">
        <x:f>IF(B983="","", D983 + $F$12*$F$9*(G983)/IF(SQRT(G983^2+H983^2)=0,1,SQRT(G983^2+H983^2)))</x:f>
      </x:c>
      <x:c r="G983" s="14">
        <x:f>IF(B983="","", -$F$8*SIN(B983) - $B$7*$F$6*SIN($F$6*B983))</x:f>
      </x:c>
      <x:c r="H983" s="14">
        <x:f>IF(B983="","", $F$8*COS(B983) - $B$7*$F$6*COS($F$6*B983))</x:f>
      </x:c>
    </x:row>
    <x:row r="984">
      <x:c r="A984" s="13" t="n">
        <x:v>965</x:v>
      </x:c>
      <x:c r="B984" s="14">
        <x:f>IF($B$12&lt;965,"",$B$13+(965-1)*($B$14-$B$13)/($B$12-1))</x:f>
      </x:c>
      <x:c r="C984" s="14">
        <x:f>IF(B984="","",$F$8*COS(B984) + $B$7*COS($F$6*B984))</x:f>
      </x:c>
      <x:c r="D984" s="14">
        <x:f>IF(B984="","",$F$8*SIN(B984) - $B$7*SIN($F$6*B984))</x:f>
      </x:c>
      <x:c r="E984" s="14">
        <x:f>IF(B984="","", C984 + $F$12*$F$9*(-H984)/IF(SQRT(G984^2+H984^2)=0,1,SQRT(G984^2+H984^2)))</x:f>
      </x:c>
      <x:c r="F984" s="14">
        <x:f>IF(B984="","", D984 + $F$12*$F$9*(G984)/IF(SQRT(G984^2+H984^2)=0,1,SQRT(G984^2+H984^2)))</x:f>
      </x:c>
      <x:c r="G984" s="14">
        <x:f>IF(B984="","", -$F$8*SIN(B984) - $B$7*$F$6*SIN($F$6*B984))</x:f>
      </x:c>
      <x:c r="H984" s="14">
        <x:f>IF(B984="","", $F$8*COS(B984) - $B$7*$F$6*COS($F$6*B984))</x:f>
      </x:c>
    </x:row>
    <x:row r="985">
      <x:c r="A985" s="13" t="n">
        <x:v>966</x:v>
      </x:c>
      <x:c r="B985" s="14">
        <x:f>IF($B$12&lt;966,"",$B$13+(966-1)*($B$14-$B$13)/($B$12-1))</x:f>
      </x:c>
      <x:c r="C985" s="14">
        <x:f>IF(B985="","",$F$8*COS(B985) + $B$7*COS($F$6*B985))</x:f>
      </x:c>
      <x:c r="D985" s="14">
        <x:f>IF(B985="","",$F$8*SIN(B985) - $B$7*SIN($F$6*B985))</x:f>
      </x:c>
      <x:c r="E985" s="14">
        <x:f>IF(B985="","", C985 + $F$12*$F$9*(-H985)/IF(SQRT(G985^2+H985^2)=0,1,SQRT(G985^2+H985^2)))</x:f>
      </x:c>
      <x:c r="F985" s="14">
        <x:f>IF(B985="","", D985 + $F$12*$F$9*(G985)/IF(SQRT(G985^2+H985^2)=0,1,SQRT(G985^2+H985^2)))</x:f>
      </x:c>
      <x:c r="G985" s="14">
        <x:f>IF(B985="","", -$F$8*SIN(B985) - $B$7*$F$6*SIN($F$6*B985))</x:f>
      </x:c>
      <x:c r="H985" s="14">
        <x:f>IF(B985="","", $F$8*COS(B985) - $B$7*$F$6*COS($F$6*B985))</x:f>
      </x:c>
    </x:row>
    <x:row r="986">
      <x:c r="A986" s="13" t="n">
        <x:v>967</x:v>
      </x:c>
      <x:c r="B986" s="14">
        <x:f>IF($B$12&lt;967,"",$B$13+(967-1)*($B$14-$B$13)/($B$12-1))</x:f>
      </x:c>
      <x:c r="C986" s="14">
        <x:f>IF(B986="","",$F$8*COS(B986) + $B$7*COS($F$6*B986))</x:f>
      </x:c>
      <x:c r="D986" s="14">
        <x:f>IF(B986="","",$F$8*SIN(B986) - $B$7*SIN($F$6*B986))</x:f>
      </x:c>
      <x:c r="E986" s="14">
        <x:f>IF(B986="","", C986 + $F$12*$F$9*(-H986)/IF(SQRT(G986^2+H986^2)=0,1,SQRT(G986^2+H986^2)))</x:f>
      </x:c>
      <x:c r="F986" s="14">
        <x:f>IF(B986="","", D986 + $F$12*$F$9*(G986)/IF(SQRT(G986^2+H986^2)=0,1,SQRT(G986^2+H986^2)))</x:f>
      </x:c>
      <x:c r="G986" s="14">
        <x:f>IF(B986="","", -$F$8*SIN(B986) - $B$7*$F$6*SIN($F$6*B986))</x:f>
      </x:c>
      <x:c r="H986" s="14">
        <x:f>IF(B986="","", $F$8*COS(B986) - $B$7*$F$6*COS($F$6*B986))</x:f>
      </x:c>
    </x:row>
    <x:row r="987">
      <x:c r="A987" s="13" t="n">
        <x:v>968</x:v>
      </x:c>
      <x:c r="B987" s="14">
        <x:f>IF($B$12&lt;968,"",$B$13+(968-1)*($B$14-$B$13)/($B$12-1))</x:f>
      </x:c>
      <x:c r="C987" s="14">
        <x:f>IF(B987="","",$F$8*COS(B987) + $B$7*COS($F$6*B987))</x:f>
      </x:c>
      <x:c r="D987" s="14">
        <x:f>IF(B987="","",$F$8*SIN(B987) - $B$7*SIN($F$6*B987))</x:f>
      </x:c>
      <x:c r="E987" s="14">
        <x:f>IF(B987="","", C987 + $F$12*$F$9*(-H987)/IF(SQRT(G987^2+H987^2)=0,1,SQRT(G987^2+H987^2)))</x:f>
      </x:c>
      <x:c r="F987" s="14">
        <x:f>IF(B987="","", D987 + $F$12*$F$9*(G987)/IF(SQRT(G987^2+H987^2)=0,1,SQRT(G987^2+H987^2)))</x:f>
      </x:c>
      <x:c r="G987" s="14">
        <x:f>IF(B987="","", -$F$8*SIN(B987) - $B$7*$F$6*SIN($F$6*B987))</x:f>
      </x:c>
      <x:c r="H987" s="14">
        <x:f>IF(B987="","", $F$8*COS(B987) - $B$7*$F$6*COS($F$6*B987))</x:f>
      </x:c>
    </x:row>
    <x:row r="988">
      <x:c r="A988" s="13" t="n">
        <x:v>969</x:v>
      </x:c>
      <x:c r="B988" s="14">
        <x:f>IF($B$12&lt;969,"",$B$13+(969-1)*($B$14-$B$13)/($B$12-1))</x:f>
      </x:c>
      <x:c r="C988" s="14">
        <x:f>IF(B988="","",$F$8*COS(B988) + $B$7*COS($F$6*B988))</x:f>
      </x:c>
      <x:c r="D988" s="14">
        <x:f>IF(B988="","",$F$8*SIN(B988) - $B$7*SIN($F$6*B988))</x:f>
      </x:c>
      <x:c r="E988" s="14">
        <x:f>IF(B988="","", C988 + $F$12*$F$9*(-H988)/IF(SQRT(G988^2+H988^2)=0,1,SQRT(G988^2+H988^2)))</x:f>
      </x:c>
      <x:c r="F988" s="14">
        <x:f>IF(B988="","", D988 + $F$12*$F$9*(G988)/IF(SQRT(G988^2+H988^2)=0,1,SQRT(G988^2+H988^2)))</x:f>
      </x:c>
      <x:c r="G988" s="14">
        <x:f>IF(B988="","", -$F$8*SIN(B988) - $B$7*$F$6*SIN($F$6*B988))</x:f>
      </x:c>
      <x:c r="H988" s="14">
        <x:f>IF(B988="","", $F$8*COS(B988) - $B$7*$F$6*COS($F$6*B988))</x:f>
      </x:c>
    </x:row>
    <x:row r="989">
      <x:c r="A989" s="13" t="n">
        <x:v>970</x:v>
      </x:c>
      <x:c r="B989" s="14">
        <x:f>IF($B$12&lt;970,"",$B$13+(970-1)*($B$14-$B$13)/($B$12-1))</x:f>
      </x:c>
      <x:c r="C989" s="14">
        <x:f>IF(B989="","",$F$8*COS(B989) + $B$7*COS($F$6*B989))</x:f>
      </x:c>
      <x:c r="D989" s="14">
        <x:f>IF(B989="","",$F$8*SIN(B989) - $B$7*SIN($F$6*B989))</x:f>
      </x:c>
      <x:c r="E989" s="14">
        <x:f>IF(B989="","", C989 + $F$12*$F$9*(-H989)/IF(SQRT(G989^2+H989^2)=0,1,SQRT(G989^2+H989^2)))</x:f>
      </x:c>
      <x:c r="F989" s="14">
        <x:f>IF(B989="","", D989 + $F$12*$F$9*(G989)/IF(SQRT(G989^2+H989^2)=0,1,SQRT(G989^2+H989^2)))</x:f>
      </x:c>
      <x:c r="G989" s="14">
        <x:f>IF(B989="","", -$F$8*SIN(B989) - $B$7*$F$6*SIN($F$6*B989))</x:f>
      </x:c>
      <x:c r="H989" s="14">
        <x:f>IF(B989="","", $F$8*COS(B989) - $B$7*$F$6*COS($F$6*B989))</x:f>
      </x:c>
    </x:row>
    <x:row r="990">
      <x:c r="A990" s="13" t="n">
        <x:v>971</x:v>
      </x:c>
      <x:c r="B990" s="14">
        <x:f>IF($B$12&lt;971,"",$B$13+(971-1)*($B$14-$B$13)/($B$12-1))</x:f>
      </x:c>
      <x:c r="C990" s="14">
        <x:f>IF(B990="","",$F$8*COS(B990) + $B$7*COS($F$6*B990))</x:f>
      </x:c>
      <x:c r="D990" s="14">
        <x:f>IF(B990="","",$F$8*SIN(B990) - $B$7*SIN($F$6*B990))</x:f>
      </x:c>
      <x:c r="E990" s="14">
        <x:f>IF(B990="","", C990 + $F$12*$F$9*(-H990)/IF(SQRT(G990^2+H990^2)=0,1,SQRT(G990^2+H990^2)))</x:f>
      </x:c>
      <x:c r="F990" s="14">
        <x:f>IF(B990="","", D990 + $F$12*$F$9*(G990)/IF(SQRT(G990^2+H990^2)=0,1,SQRT(G990^2+H990^2)))</x:f>
      </x:c>
      <x:c r="G990" s="14">
        <x:f>IF(B990="","", -$F$8*SIN(B990) - $B$7*$F$6*SIN($F$6*B990))</x:f>
      </x:c>
      <x:c r="H990" s="14">
        <x:f>IF(B990="","", $F$8*COS(B990) - $B$7*$F$6*COS($F$6*B990))</x:f>
      </x:c>
    </x:row>
    <x:row r="991">
      <x:c r="A991" s="13" t="n">
        <x:v>972</x:v>
      </x:c>
      <x:c r="B991" s="14">
        <x:f>IF($B$12&lt;972,"",$B$13+(972-1)*($B$14-$B$13)/($B$12-1))</x:f>
      </x:c>
      <x:c r="C991" s="14">
        <x:f>IF(B991="","",$F$8*COS(B991) + $B$7*COS($F$6*B991))</x:f>
      </x:c>
      <x:c r="D991" s="14">
        <x:f>IF(B991="","",$F$8*SIN(B991) - $B$7*SIN($F$6*B991))</x:f>
      </x:c>
      <x:c r="E991" s="14">
        <x:f>IF(B991="","", C991 + $F$12*$F$9*(-H991)/IF(SQRT(G991^2+H991^2)=0,1,SQRT(G991^2+H991^2)))</x:f>
      </x:c>
      <x:c r="F991" s="14">
        <x:f>IF(B991="","", D991 + $F$12*$F$9*(G991)/IF(SQRT(G991^2+H991^2)=0,1,SQRT(G991^2+H991^2)))</x:f>
      </x:c>
      <x:c r="G991" s="14">
        <x:f>IF(B991="","", -$F$8*SIN(B991) - $B$7*$F$6*SIN($F$6*B991))</x:f>
      </x:c>
      <x:c r="H991" s="14">
        <x:f>IF(B991="","", $F$8*COS(B991) - $B$7*$F$6*COS($F$6*B991))</x:f>
      </x:c>
    </x:row>
    <x:row r="992">
      <x:c r="A992" s="13" t="n">
        <x:v>973</x:v>
      </x:c>
      <x:c r="B992" s="14">
        <x:f>IF($B$12&lt;973,"",$B$13+(973-1)*($B$14-$B$13)/($B$12-1))</x:f>
      </x:c>
      <x:c r="C992" s="14">
        <x:f>IF(B992="","",$F$8*COS(B992) + $B$7*COS($F$6*B992))</x:f>
      </x:c>
      <x:c r="D992" s="14">
        <x:f>IF(B992="","",$F$8*SIN(B992) - $B$7*SIN($F$6*B992))</x:f>
      </x:c>
      <x:c r="E992" s="14">
        <x:f>IF(B992="","", C992 + $F$12*$F$9*(-H992)/IF(SQRT(G992^2+H992^2)=0,1,SQRT(G992^2+H992^2)))</x:f>
      </x:c>
      <x:c r="F992" s="14">
        <x:f>IF(B992="","", D992 + $F$12*$F$9*(G992)/IF(SQRT(G992^2+H992^2)=0,1,SQRT(G992^2+H992^2)))</x:f>
      </x:c>
      <x:c r="G992" s="14">
        <x:f>IF(B992="","", -$F$8*SIN(B992) - $B$7*$F$6*SIN($F$6*B992))</x:f>
      </x:c>
      <x:c r="H992" s="14">
        <x:f>IF(B992="","", $F$8*COS(B992) - $B$7*$F$6*COS($F$6*B992))</x:f>
      </x:c>
    </x:row>
    <x:row r="993">
      <x:c r="A993" s="13" t="n">
        <x:v>974</x:v>
      </x:c>
      <x:c r="B993" s="14">
        <x:f>IF($B$12&lt;974,"",$B$13+(974-1)*($B$14-$B$13)/($B$12-1))</x:f>
      </x:c>
      <x:c r="C993" s="14">
        <x:f>IF(B993="","",$F$8*COS(B993) + $B$7*COS($F$6*B993))</x:f>
      </x:c>
      <x:c r="D993" s="14">
        <x:f>IF(B993="","",$F$8*SIN(B993) - $B$7*SIN($F$6*B993))</x:f>
      </x:c>
      <x:c r="E993" s="14">
        <x:f>IF(B993="","", C993 + $F$12*$F$9*(-H993)/IF(SQRT(G993^2+H993^2)=0,1,SQRT(G993^2+H993^2)))</x:f>
      </x:c>
      <x:c r="F993" s="14">
        <x:f>IF(B993="","", D993 + $F$12*$F$9*(G993)/IF(SQRT(G993^2+H993^2)=0,1,SQRT(G993^2+H993^2)))</x:f>
      </x:c>
      <x:c r="G993" s="14">
        <x:f>IF(B993="","", -$F$8*SIN(B993) - $B$7*$F$6*SIN($F$6*B993))</x:f>
      </x:c>
      <x:c r="H993" s="14">
        <x:f>IF(B993="","", $F$8*COS(B993) - $B$7*$F$6*COS($F$6*B993))</x:f>
      </x:c>
    </x:row>
    <x:row r="994">
      <x:c r="A994" s="13" t="n">
        <x:v>975</x:v>
      </x:c>
      <x:c r="B994" s="14">
        <x:f>IF($B$12&lt;975,"",$B$13+(975-1)*($B$14-$B$13)/($B$12-1))</x:f>
      </x:c>
      <x:c r="C994" s="14">
        <x:f>IF(B994="","",$F$8*COS(B994) + $B$7*COS($F$6*B994))</x:f>
      </x:c>
      <x:c r="D994" s="14">
        <x:f>IF(B994="","",$F$8*SIN(B994) - $B$7*SIN($F$6*B994))</x:f>
      </x:c>
      <x:c r="E994" s="14">
        <x:f>IF(B994="","", C994 + $F$12*$F$9*(-H994)/IF(SQRT(G994^2+H994^2)=0,1,SQRT(G994^2+H994^2)))</x:f>
      </x:c>
      <x:c r="F994" s="14">
        <x:f>IF(B994="","", D994 + $F$12*$F$9*(G994)/IF(SQRT(G994^2+H994^2)=0,1,SQRT(G994^2+H994^2)))</x:f>
      </x:c>
      <x:c r="G994" s="14">
        <x:f>IF(B994="","", -$F$8*SIN(B994) - $B$7*$F$6*SIN($F$6*B994))</x:f>
      </x:c>
      <x:c r="H994" s="14">
        <x:f>IF(B994="","", $F$8*COS(B994) - $B$7*$F$6*COS($F$6*B994))</x:f>
      </x:c>
    </x:row>
    <x:row r="995">
      <x:c r="A995" s="13" t="n">
        <x:v>976</x:v>
      </x:c>
      <x:c r="B995" s="14">
        <x:f>IF($B$12&lt;976,"",$B$13+(976-1)*($B$14-$B$13)/($B$12-1))</x:f>
      </x:c>
      <x:c r="C995" s="14">
        <x:f>IF(B995="","",$F$8*COS(B995) + $B$7*COS($F$6*B995))</x:f>
      </x:c>
      <x:c r="D995" s="14">
        <x:f>IF(B995="","",$F$8*SIN(B995) - $B$7*SIN($F$6*B995))</x:f>
      </x:c>
      <x:c r="E995" s="14">
        <x:f>IF(B995="","", C995 + $F$12*$F$9*(-H995)/IF(SQRT(G995^2+H995^2)=0,1,SQRT(G995^2+H995^2)))</x:f>
      </x:c>
      <x:c r="F995" s="14">
        <x:f>IF(B995="","", D995 + $F$12*$F$9*(G995)/IF(SQRT(G995^2+H995^2)=0,1,SQRT(G995^2+H995^2)))</x:f>
      </x:c>
      <x:c r="G995" s="14">
        <x:f>IF(B995="","", -$F$8*SIN(B995) - $B$7*$F$6*SIN($F$6*B995))</x:f>
      </x:c>
      <x:c r="H995" s="14">
        <x:f>IF(B995="","", $F$8*COS(B995) - $B$7*$F$6*COS($F$6*B995))</x:f>
      </x:c>
    </x:row>
    <x:row r="996">
      <x:c r="A996" s="13" t="n">
        <x:v>977</x:v>
      </x:c>
      <x:c r="B996" s="14">
        <x:f>IF($B$12&lt;977,"",$B$13+(977-1)*($B$14-$B$13)/($B$12-1))</x:f>
      </x:c>
      <x:c r="C996" s="14">
        <x:f>IF(B996="","",$F$8*COS(B996) + $B$7*COS($F$6*B996))</x:f>
      </x:c>
      <x:c r="D996" s="14">
        <x:f>IF(B996="","",$F$8*SIN(B996) - $B$7*SIN($F$6*B996))</x:f>
      </x:c>
      <x:c r="E996" s="14">
        <x:f>IF(B996="","", C996 + $F$12*$F$9*(-H996)/IF(SQRT(G996^2+H996^2)=0,1,SQRT(G996^2+H996^2)))</x:f>
      </x:c>
      <x:c r="F996" s="14">
        <x:f>IF(B996="","", D996 + $F$12*$F$9*(G996)/IF(SQRT(G996^2+H996^2)=0,1,SQRT(G996^2+H996^2)))</x:f>
      </x:c>
      <x:c r="G996" s="14">
        <x:f>IF(B996="","", -$F$8*SIN(B996) - $B$7*$F$6*SIN($F$6*B996))</x:f>
      </x:c>
      <x:c r="H996" s="14">
        <x:f>IF(B996="","", $F$8*COS(B996) - $B$7*$F$6*COS($F$6*B996))</x:f>
      </x:c>
    </x:row>
    <x:row r="997">
      <x:c r="A997" s="13" t="n">
        <x:v>978</x:v>
      </x:c>
      <x:c r="B997" s="14">
        <x:f>IF($B$12&lt;978,"",$B$13+(978-1)*($B$14-$B$13)/($B$12-1))</x:f>
      </x:c>
      <x:c r="C997" s="14">
        <x:f>IF(B997="","",$F$8*COS(B997) + $B$7*COS($F$6*B997))</x:f>
      </x:c>
      <x:c r="D997" s="14">
        <x:f>IF(B997="","",$F$8*SIN(B997) - $B$7*SIN($F$6*B997))</x:f>
      </x:c>
      <x:c r="E997" s="14">
        <x:f>IF(B997="","", C997 + $F$12*$F$9*(-H997)/IF(SQRT(G997^2+H997^2)=0,1,SQRT(G997^2+H997^2)))</x:f>
      </x:c>
      <x:c r="F997" s="14">
        <x:f>IF(B997="","", D997 + $F$12*$F$9*(G997)/IF(SQRT(G997^2+H997^2)=0,1,SQRT(G997^2+H997^2)))</x:f>
      </x:c>
      <x:c r="G997" s="14">
        <x:f>IF(B997="","", -$F$8*SIN(B997) - $B$7*$F$6*SIN($F$6*B997))</x:f>
      </x:c>
      <x:c r="H997" s="14">
        <x:f>IF(B997="","", $F$8*COS(B997) - $B$7*$F$6*COS($F$6*B997))</x:f>
      </x:c>
    </x:row>
    <x:row r="998">
      <x:c r="A998" s="13" t="n">
        <x:v>979</x:v>
      </x:c>
      <x:c r="B998" s="14">
        <x:f>IF($B$12&lt;979,"",$B$13+(979-1)*($B$14-$B$13)/($B$12-1))</x:f>
      </x:c>
      <x:c r="C998" s="14">
        <x:f>IF(B998="","",$F$8*COS(B998) + $B$7*COS($F$6*B998))</x:f>
      </x:c>
      <x:c r="D998" s="14">
        <x:f>IF(B998="","",$F$8*SIN(B998) - $B$7*SIN($F$6*B998))</x:f>
      </x:c>
      <x:c r="E998" s="14">
        <x:f>IF(B998="","", C998 + $F$12*$F$9*(-H998)/IF(SQRT(G998^2+H998^2)=0,1,SQRT(G998^2+H998^2)))</x:f>
      </x:c>
      <x:c r="F998" s="14">
        <x:f>IF(B998="","", D998 + $F$12*$F$9*(G998)/IF(SQRT(G998^2+H998^2)=0,1,SQRT(G998^2+H998^2)))</x:f>
      </x:c>
      <x:c r="G998" s="14">
        <x:f>IF(B998="","", -$F$8*SIN(B998) - $B$7*$F$6*SIN($F$6*B998))</x:f>
      </x:c>
      <x:c r="H998" s="14">
        <x:f>IF(B998="","", $F$8*COS(B998) - $B$7*$F$6*COS($F$6*B998))</x:f>
      </x:c>
    </x:row>
    <x:row r="999">
      <x:c r="A999" s="13" t="n">
        <x:v>980</x:v>
      </x:c>
      <x:c r="B999" s="14">
        <x:f>IF($B$12&lt;980,"",$B$13+(980-1)*($B$14-$B$13)/($B$12-1))</x:f>
      </x:c>
      <x:c r="C999" s="14">
        <x:f>IF(B999="","",$F$8*COS(B999) + $B$7*COS($F$6*B999))</x:f>
      </x:c>
      <x:c r="D999" s="14">
        <x:f>IF(B999="","",$F$8*SIN(B999) - $B$7*SIN($F$6*B999))</x:f>
      </x:c>
      <x:c r="E999" s="14">
        <x:f>IF(B999="","", C999 + $F$12*$F$9*(-H999)/IF(SQRT(G999^2+H999^2)=0,1,SQRT(G999^2+H999^2)))</x:f>
      </x:c>
      <x:c r="F999" s="14">
        <x:f>IF(B999="","", D999 + $F$12*$F$9*(G999)/IF(SQRT(G999^2+H999^2)=0,1,SQRT(G999^2+H999^2)))</x:f>
      </x:c>
      <x:c r="G999" s="14">
        <x:f>IF(B999="","", -$F$8*SIN(B999) - $B$7*$F$6*SIN($F$6*B999))</x:f>
      </x:c>
      <x:c r="H999" s="14">
        <x:f>IF(B999="","", $F$8*COS(B999) - $B$7*$F$6*COS($F$6*B999))</x:f>
      </x:c>
    </x:row>
    <x:row r="1000">
      <x:c r="A1000" s="13" t="n">
        <x:v>981</x:v>
      </x:c>
      <x:c r="B1000" s="14">
        <x:f>IF($B$12&lt;981,"",$B$13+(981-1)*($B$14-$B$13)/($B$12-1))</x:f>
      </x:c>
      <x:c r="C1000" s="14">
        <x:f>IF(B1000="","",$F$8*COS(B1000) + $B$7*COS($F$6*B1000))</x:f>
      </x:c>
      <x:c r="D1000" s="14">
        <x:f>IF(B1000="","",$F$8*SIN(B1000) - $B$7*SIN($F$6*B1000))</x:f>
      </x:c>
      <x:c r="E1000" s="14">
        <x:f>IF(B1000="","", C1000 + $F$12*$F$9*(-H1000)/IF(SQRT(G1000^2+H1000^2)=0,1,SQRT(G1000^2+H1000^2)))</x:f>
      </x:c>
      <x:c r="F1000" s="14">
        <x:f>IF(B1000="","", D1000 + $F$12*$F$9*(G1000)/IF(SQRT(G1000^2+H1000^2)=0,1,SQRT(G1000^2+H1000^2)))</x:f>
      </x:c>
      <x:c r="G1000" s="14">
        <x:f>IF(B1000="","", -$F$8*SIN(B1000) - $B$7*$F$6*SIN($F$6*B1000))</x:f>
      </x:c>
      <x:c r="H1000" s="14">
        <x:f>IF(B1000="","", $F$8*COS(B1000) - $B$7*$F$6*COS($F$6*B1000))</x:f>
      </x:c>
    </x:row>
    <x:row r="1001">
      <x:c r="A1001" s="13" t="n">
        <x:v>982</x:v>
      </x:c>
      <x:c r="B1001" s="14">
        <x:f>IF($B$12&lt;982,"",$B$13+(982-1)*($B$14-$B$13)/($B$12-1))</x:f>
      </x:c>
      <x:c r="C1001" s="14">
        <x:f>IF(B1001="","",$F$8*COS(B1001) + $B$7*COS($F$6*B1001))</x:f>
      </x:c>
      <x:c r="D1001" s="14">
        <x:f>IF(B1001="","",$F$8*SIN(B1001) - $B$7*SIN($F$6*B1001))</x:f>
      </x:c>
      <x:c r="E1001" s="14">
        <x:f>IF(B1001="","", C1001 + $F$12*$F$9*(-H1001)/IF(SQRT(G1001^2+H1001^2)=0,1,SQRT(G1001^2+H1001^2)))</x:f>
      </x:c>
      <x:c r="F1001" s="14">
        <x:f>IF(B1001="","", D1001 + $F$12*$F$9*(G1001)/IF(SQRT(G1001^2+H1001^2)=0,1,SQRT(G1001^2+H1001^2)))</x:f>
      </x:c>
      <x:c r="G1001" s="14">
        <x:f>IF(B1001="","", -$F$8*SIN(B1001) - $B$7*$F$6*SIN($F$6*B1001))</x:f>
      </x:c>
      <x:c r="H1001" s="14">
        <x:f>IF(B1001="","", $F$8*COS(B1001) - $B$7*$F$6*COS($F$6*B1001))</x:f>
      </x:c>
    </x:row>
    <x:row r="1002">
      <x:c r="A1002" s="13" t="n">
        <x:v>983</x:v>
      </x:c>
      <x:c r="B1002" s="14">
        <x:f>IF($B$12&lt;983,"",$B$13+(983-1)*($B$14-$B$13)/($B$12-1))</x:f>
      </x:c>
      <x:c r="C1002" s="14">
        <x:f>IF(B1002="","",$F$8*COS(B1002) + $B$7*COS($F$6*B1002))</x:f>
      </x:c>
      <x:c r="D1002" s="14">
        <x:f>IF(B1002="","",$F$8*SIN(B1002) - $B$7*SIN($F$6*B1002))</x:f>
      </x:c>
      <x:c r="E1002" s="14">
        <x:f>IF(B1002="","", C1002 + $F$12*$F$9*(-H1002)/IF(SQRT(G1002^2+H1002^2)=0,1,SQRT(G1002^2+H1002^2)))</x:f>
      </x:c>
      <x:c r="F1002" s="14">
        <x:f>IF(B1002="","", D1002 + $F$12*$F$9*(G1002)/IF(SQRT(G1002^2+H1002^2)=0,1,SQRT(G1002^2+H1002^2)))</x:f>
      </x:c>
      <x:c r="G1002" s="14">
        <x:f>IF(B1002="","", -$F$8*SIN(B1002) - $B$7*$F$6*SIN($F$6*B1002))</x:f>
      </x:c>
      <x:c r="H1002" s="14">
        <x:f>IF(B1002="","", $F$8*COS(B1002) - $B$7*$F$6*COS($F$6*B1002))</x:f>
      </x:c>
    </x:row>
    <x:row r="1003">
      <x:c r="A1003" s="13" t="n">
        <x:v>984</x:v>
      </x:c>
      <x:c r="B1003" s="14">
        <x:f>IF($B$12&lt;984,"",$B$13+(984-1)*($B$14-$B$13)/($B$12-1))</x:f>
      </x:c>
      <x:c r="C1003" s="14">
        <x:f>IF(B1003="","",$F$8*COS(B1003) + $B$7*COS($F$6*B1003))</x:f>
      </x:c>
      <x:c r="D1003" s="14">
        <x:f>IF(B1003="","",$F$8*SIN(B1003) - $B$7*SIN($F$6*B1003))</x:f>
      </x:c>
      <x:c r="E1003" s="14">
        <x:f>IF(B1003="","", C1003 + $F$12*$F$9*(-H1003)/IF(SQRT(G1003^2+H1003^2)=0,1,SQRT(G1003^2+H1003^2)))</x:f>
      </x:c>
      <x:c r="F1003" s="14">
        <x:f>IF(B1003="","", D1003 + $F$12*$F$9*(G1003)/IF(SQRT(G1003^2+H1003^2)=0,1,SQRT(G1003^2+H1003^2)))</x:f>
      </x:c>
      <x:c r="G1003" s="14">
        <x:f>IF(B1003="","", -$F$8*SIN(B1003) - $B$7*$F$6*SIN($F$6*B1003))</x:f>
      </x:c>
      <x:c r="H1003" s="14">
        <x:f>IF(B1003="","", $F$8*COS(B1003) - $B$7*$F$6*COS($F$6*B1003))</x:f>
      </x:c>
    </x:row>
    <x:row r="1004">
      <x:c r="A1004" s="13" t="n">
        <x:v>985</x:v>
      </x:c>
      <x:c r="B1004" s="14">
        <x:f>IF($B$12&lt;985,"",$B$13+(985-1)*($B$14-$B$13)/($B$12-1))</x:f>
      </x:c>
      <x:c r="C1004" s="14">
        <x:f>IF(B1004="","",$F$8*COS(B1004) + $B$7*COS($F$6*B1004))</x:f>
      </x:c>
      <x:c r="D1004" s="14">
        <x:f>IF(B1004="","",$F$8*SIN(B1004) - $B$7*SIN($F$6*B1004))</x:f>
      </x:c>
      <x:c r="E1004" s="14">
        <x:f>IF(B1004="","", C1004 + $F$12*$F$9*(-H1004)/IF(SQRT(G1004^2+H1004^2)=0,1,SQRT(G1004^2+H1004^2)))</x:f>
      </x:c>
      <x:c r="F1004" s="14">
        <x:f>IF(B1004="","", D1004 + $F$12*$F$9*(G1004)/IF(SQRT(G1004^2+H1004^2)=0,1,SQRT(G1004^2+H1004^2)))</x:f>
      </x:c>
      <x:c r="G1004" s="14">
        <x:f>IF(B1004="","", -$F$8*SIN(B1004) - $B$7*$F$6*SIN($F$6*B1004))</x:f>
      </x:c>
      <x:c r="H1004" s="14">
        <x:f>IF(B1004="","", $F$8*COS(B1004) - $B$7*$F$6*COS($F$6*B1004))</x:f>
      </x:c>
    </x:row>
    <x:row r="1005">
      <x:c r="A1005" s="13" t="n">
        <x:v>986</x:v>
      </x:c>
      <x:c r="B1005" s="14">
        <x:f>IF($B$12&lt;986,"",$B$13+(986-1)*($B$14-$B$13)/($B$12-1))</x:f>
      </x:c>
      <x:c r="C1005" s="14">
        <x:f>IF(B1005="","",$F$8*COS(B1005) + $B$7*COS($F$6*B1005))</x:f>
      </x:c>
      <x:c r="D1005" s="14">
        <x:f>IF(B1005="","",$F$8*SIN(B1005) - $B$7*SIN($F$6*B1005))</x:f>
      </x:c>
      <x:c r="E1005" s="14">
        <x:f>IF(B1005="","", C1005 + $F$12*$F$9*(-H1005)/IF(SQRT(G1005^2+H1005^2)=0,1,SQRT(G1005^2+H1005^2)))</x:f>
      </x:c>
      <x:c r="F1005" s="14">
        <x:f>IF(B1005="","", D1005 + $F$12*$F$9*(G1005)/IF(SQRT(G1005^2+H1005^2)=0,1,SQRT(G1005^2+H1005^2)))</x:f>
      </x:c>
      <x:c r="G1005" s="14">
        <x:f>IF(B1005="","", -$F$8*SIN(B1005) - $B$7*$F$6*SIN($F$6*B1005))</x:f>
      </x:c>
      <x:c r="H1005" s="14">
        <x:f>IF(B1005="","", $F$8*COS(B1005) - $B$7*$F$6*COS($F$6*B1005))</x:f>
      </x:c>
    </x:row>
    <x:row r="1006">
      <x:c r="A1006" s="13" t="n">
        <x:v>987</x:v>
      </x:c>
      <x:c r="B1006" s="14">
        <x:f>IF($B$12&lt;987,"",$B$13+(987-1)*($B$14-$B$13)/($B$12-1))</x:f>
      </x:c>
      <x:c r="C1006" s="14">
        <x:f>IF(B1006="","",$F$8*COS(B1006) + $B$7*COS($F$6*B1006))</x:f>
      </x:c>
      <x:c r="D1006" s="14">
        <x:f>IF(B1006="","",$F$8*SIN(B1006) - $B$7*SIN($F$6*B1006))</x:f>
      </x:c>
      <x:c r="E1006" s="14">
        <x:f>IF(B1006="","", C1006 + $F$12*$F$9*(-H1006)/IF(SQRT(G1006^2+H1006^2)=0,1,SQRT(G1006^2+H1006^2)))</x:f>
      </x:c>
      <x:c r="F1006" s="14">
        <x:f>IF(B1006="","", D1006 + $F$12*$F$9*(G1006)/IF(SQRT(G1006^2+H1006^2)=0,1,SQRT(G1006^2+H1006^2)))</x:f>
      </x:c>
      <x:c r="G1006" s="14">
        <x:f>IF(B1006="","", -$F$8*SIN(B1006) - $B$7*$F$6*SIN($F$6*B1006))</x:f>
      </x:c>
      <x:c r="H1006" s="14">
        <x:f>IF(B1006="","", $F$8*COS(B1006) - $B$7*$F$6*COS($F$6*B1006))</x:f>
      </x:c>
    </x:row>
    <x:row r="1007">
      <x:c r="A1007" s="13" t="n">
        <x:v>988</x:v>
      </x:c>
      <x:c r="B1007" s="14">
        <x:f>IF($B$12&lt;988,"",$B$13+(988-1)*($B$14-$B$13)/($B$12-1))</x:f>
      </x:c>
      <x:c r="C1007" s="14">
        <x:f>IF(B1007="","",$F$8*COS(B1007) + $B$7*COS($F$6*B1007))</x:f>
      </x:c>
      <x:c r="D1007" s="14">
        <x:f>IF(B1007="","",$F$8*SIN(B1007) - $B$7*SIN($F$6*B1007))</x:f>
      </x:c>
      <x:c r="E1007" s="14">
        <x:f>IF(B1007="","", C1007 + $F$12*$F$9*(-H1007)/IF(SQRT(G1007^2+H1007^2)=0,1,SQRT(G1007^2+H1007^2)))</x:f>
      </x:c>
      <x:c r="F1007" s="14">
        <x:f>IF(B1007="","", D1007 + $F$12*$F$9*(G1007)/IF(SQRT(G1007^2+H1007^2)=0,1,SQRT(G1007^2+H1007^2)))</x:f>
      </x:c>
      <x:c r="G1007" s="14">
        <x:f>IF(B1007="","", -$F$8*SIN(B1007) - $B$7*$F$6*SIN($F$6*B1007))</x:f>
      </x:c>
      <x:c r="H1007" s="14">
        <x:f>IF(B1007="","", $F$8*COS(B1007) - $B$7*$F$6*COS($F$6*B1007))</x:f>
      </x:c>
    </x:row>
    <x:row r="1008">
      <x:c r="A1008" s="13" t="n">
        <x:v>989</x:v>
      </x:c>
      <x:c r="B1008" s="14">
        <x:f>IF($B$12&lt;989,"",$B$13+(989-1)*($B$14-$B$13)/($B$12-1))</x:f>
      </x:c>
      <x:c r="C1008" s="14">
        <x:f>IF(B1008="","",$F$8*COS(B1008) + $B$7*COS($F$6*B1008))</x:f>
      </x:c>
      <x:c r="D1008" s="14">
        <x:f>IF(B1008="","",$F$8*SIN(B1008) - $B$7*SIN($F$6*B1008))</x:f>
      </x:c>
      <x:c r="E1008" s="14">
        <x:f>IF(B1008="","", C1008 + $F$12*$F$9*(-H1008)/IF(SQRT(G1008^2+H1008^2)=0,1,SQRT(G1008^2+H1008^2)))</x:f>
      </x:c>
      <x:c r="F1008" s="14">
        <x:f>IF(B1008="","", D1008 + $F$12*$F$9*(G1008)/IF(SQRT(G1008^2+H1008^2)=0,1,SQRT(G1008^2+H1008^2)))</x:f>
      </x:c>
      <x:c r="G1008" s="14">
        <x:f>IF(B1008="","", -$F$8*SIN(B1008) - $B$7*$F$6*SIN($F$6*B1008))</x:f>
      </x:c>
      <x:c r="H1008" s="14">
        <x:f>IF(B1008="","", $F$8*COS(B1008) - $B$7*$F$6*COS($F$6*B1008))</x:f>
      </x:c>
    </x:row>
    <x:row r="1009">
      <x:c r="A1009" s="13" t="n">
        <x:v>990</x:v>
      </x:c>
      <x:c r="B1009" s="14">
        <x:f>IF($B$12&lt;990,"",$B$13+(990-1)*($B$14-$B$13)/($B$12-1))</x:f>
      </x:c>
      <x:c r="C1009" s="14">
        <x:f>IF(B1009="","",$F$8*COS(B1009) + $B$7*COS($F$6*B1009))</x:f>
      </x:c>
      <x:c r="D1009" s="14">
        <x:f>IF(B1009="","",$F$8*SIN(B1009) - $B$7*SIN($F$6*B1009))</x:f>
      </x:c>
      <x:c r="E1009" s="14">
        <x:f>IF(B1009="","", C1009 + $F$12*$F$9*(-H1009)/IF(SQRT(G1009^2+H1009^2)=0,1,SQRT(G1009^2+H1009^2)))</x:f>
      </x:c>
      <x:c r="F1009" s="14">
        <x:f>IF(B1009="","", D1009 + $F$12*$F$9*(G1009)/IF(SQRT(G1009^2+H1009^2)=0,1,SQRT(G1009^2+H1009^2)))</x:f>
      </x:c>
      <x:c r="G1009" s="14">
        <x:f>IF(B1009="","", -$F$8*SIN(B1009) - $B$7*$F$6*SIN($F$6*B1009))</x:f>
      </x:c>
      <x:c r="H1009" s="14">
        <x:f>IF(B1009="","", $F$8*COS(B1009) - $B$7*$F$6*COS($F$6*B1009))</x:f>
      </x:c>
    </x:row>
    <x:row r="1010">
      <x:c r="A1010" s="13" t="n">
        <x:v>991</x:v>
      </x:c>
      <x:c r="B1010" s="14">
        <x:f>IF($B$12&lt;991,"",$B$13+(991-1)*($B$14-$B$13)/($B$12-1))</x:f>
      </x:c>
      <x:c r="C1010" s="14">
        <x:f>IF(B1010="","",$F$8*COS(B1010) + $B$7*COS($F$6*B1010))</x:f>
      </x:c>
      <x:c r="D1010" s="14">
        <x:f>IF(B1010="","",$F$8*SIN(B1010) - $B$7*SIN($F$6*B1010))</x:f>
      </x:c>
      <x:c r="E1010" s="14">
        <x:f>IF(B1010="","", C1010 + $F$12*$F$9*(-H1010)/IF(SQRT(G1010^2+H1010^2)=0,1,SQRT(G1010^2+H1010^2)))</x:f>
      </x:c>
      <x:c r="F1010" s="14">
        <x:f>IF(B1010="","", D1010 + $F$12*$F$9*(G1010)/IF(SQRT(G1010^2+H1010^2)=0,1,SQRT(G1010^2+H1010^2)))</x:f>
      </x:c>
      <x:c r="G1010" s="14">
        <x:f>IF(B1010="","", -$F$8*SIN(B1010) - $B$7*$F$6*SIN($F$6*B1010))</x:f>
      </x:c>
      <x:c r="H1010" s="14">
        <x:f>IF(B1010="","", $F$8*COS(B1010) - $B$7*$F$6*COS($F$6*B1010))</x:f>
      </x:c>
    </x:row>
    <x:row r="1011">
      <x:c r="A1011" s="13" t="n">
        <x:v>992</x:v>
      </x:c>
      <x:c r="B1011" s="14">
        <x:f>IF($B$12&lt;992,"",$B$13+(992-1)*($B$14-$B$13)/($B$12-1))</x:f>
      </x:c>
      <x:c r="C1011" s="14">
        <x:f>IF(B1011="","",$F$8*COS(B1011) + $B$7*COS($F$6*B1011))</x:f>
      </x:c>
      <x:c r="D1011" s="14">
        <x:f>IF(B1011="","",$F$8*SIN(B1011) - $B$7*SIN($F$6*B1011))</x:f>
      </x:c>
      <x:c r="E1011" s="14">
        <x:f>IF(B1011="","", C1011 + $F$12*$F$9*(-H1011)/IF(SQRT(G1011^2+H1011^2)=0,1,SQRT(G1011^2+H1011^2)))</x:f>
      </x:c>
      <x:c r="F1011" s="14">
        <x:f>IF(B1011="","", D1011 + $F$12*$F$9*(G1011)/IF(SQRT(G1011^2+H1011^2)=0,1,SQRT(G1011^2+H1011^2)))</x:f>
      </x:c>
      <x:c r="G1011" s="14">
        <x:f>IF(B1011="","", -$F$8*SIN(B1011) - $B$7*$F$6*SIN($F$6*B1011))</x:f>
      </x:c>
      <x:c r="H1011" s="14">
        <x:f>IF(B1011="","", $F$8*COS(B1011) - $B$7*$F$6*COS($F$6*B1011))</x:f>
      </x:c>
    </x:row>
    <x:row r="1012">
      <x:c r="A1012" s="13" t="n">
        <x:v>993</x:v>
      </x:c>
      <x:c r="B1012" s="14">
        <x:f>IF($B$12&lt;993,"",$B$13+(993-1)*($B$14-$B$13)/($B$12-1))</x:f>
      </x:c>
      <x:c r="C1012" s="14">
        <x:f>IF(B1012="","",$F$8*COS(B1012) + $B$7*COS($F$6*B1012))</x:f>
      </x:c>
      <x:c r="D1012" s="14">
        <x:f>IF(B1012="","",$F$8*SIN(B1012) - $B$7*SIN($F$6*B1012))</x:f>
      </x:c>
      <x:c r="E1012" s="14">
        <x:f>IF(B1012="","", C1012 + $F$12*$F$9*(-H1012)/IF(SQRT(G1012^2+H1012^2)=0,1,SQRT(G1012^2+H1012^2)))</x:f>
      </x:c>
      <x:c r="F1012" s="14">
        <x:f>IF(B1012="","", D1012 + $F$12*$F$9*(G1012)/IF(SQRT(G1012^2+H1012^2)=0,1,SQRT(G1012^2+H1012^2)))</x:f>
      </x:c>
      <x:c r="G1012" s="14">
        <x:f>IF(B1012="","", -$F$8*SIN(B1012) - $B$7*$F$6*SIN($F$6*B1012))</x:f>
      </x:c>
      <x:c r="H1012" s="14">
        <x:f>IF(B1012="","", $F$8*COS(B1012) - $B$7*$F$6*COS($F$6*B1012))</x:f>
      </x:c>
    </x:row>
    <x:row r="1013">
      <x:c r="A1013" s="13" t="n">
        <x:v>994</x:v>
      </x:c>
      <x:c r="B1013" s="14">
        <x:f>IF($B$12&lt;994,"",$B$13+(994-1)*($B$14-$B$13)/($B$12-1))</x:f>
      </x:c>
      <x:c r="C1013" s="14">
        <x:f>IF(B1013="","",$F$8*COS(B1013) + $B$7*COS($F$6*B1013))</x:f>
      </x:c>
      <x:c r="D1013" s="14">
        <x:f>IF(B1013="","",$F$8*SIN(B1013) - $B$7*SIN($F$6*B1013))</x:f>
      </x:c>
      <x:c r="E1013" s="14">
        <x:f>IF(B1013="","", C1013 + $F$12*$F$9*(-H1013)/IF(SQRT(G1013^2+H1013^2)=0,1,SQRT(G1013^2+H1013^2)))</x:f>
      </x:c>
      <x:c r="F1013" s="14">
        <x:f>IF(B1013="","", D1013 + $F$12*$F$9*(G1013)/IF(SQRT(G1013^2+H1013^2)=0,1,SQRT(G1013^2+H1013^2)))</x:f>
      </x:c>
      <x:c r="G1013" s="14">
        <x:f>IF(B1013="","", -$F$8*SIN(B1013) - $B$7*$F$6*SIN($F$6*B1013))</x:f>
      </x:c>
      <x:c r="H1013" s="14">
        <x:f>IF(B1013="","", $F$8*COS(B1013) - $B$7*$F$6*COS($F$6*B1013))</x:f>
      </x:c>
    </x:row>
    <x:row r="1014">
      <x:c r="A1014" s="13" t="n">
        <x:v>995</x:v>
      </x:c>
      <x:c r="B1014" s="14">
        <x:f>IF($B$12&lt;995,"",$B$13+(995-1)*($B$14-$B$13)/($B$12-1))</x:f>
      </x:c>
      <x:c r="C1014" s="14">
        <x:f>IF(B1014="","",$F$8*COS(B1014) + $B$7*COS($F$6*B1014))</x:f>
      </x:c>
      <x:c r="D1014" s="14">
        <x:f>IF(B1014="","",$F$8*SIN(B1014) - $B$7*SIN($F$6*B1014))</x:f>
      </x:c>
      <x:c r="E1014" s="14">
        <x:f>IF(B1014="","", C1014 + $F$12*$F$9*(-H1014)/IF(SQRT(G1014^2+H1014^2)=0,1,SQRT(G1014^2+H1014^2)))</x:f>
      </x:c>
      <x:c r="F1014" s="14">
        <x:f>IF(B1014="","", D1014 + $F$12*$F$9*(G1014)/IF(SQRT(G1014^2+H1014^2)=0,1,SQRT(G1014^2+H1014^2)))</x:f>
      </x:c>
      <x:c r="G1014" s="14">
        <x:f>IF(B1014="","", -$F$8*SIN(B1014) - $B$7*$F$6*SIN($F$6*B1014))</x:f>
      </x:c>
      <x:c r="H1014" s="14">
        <x:f>IF(B1014="","", $F$8*COS(B1014) - $B$7*$F$6*COS($F$6*B1014))</x:f>
      </x:c>
    </x:row>
    <x:row r="1015">
      <x:c r="A1015" s="13" t="n">
        <x:v>996</x:v>
      </x:c>
      <x:c r="B1015" s="14">
        <x:f>IF($B$12&lt;996,"",$B$13+(996-1)*($B$14-$B$13)/($B$12-1))</x:f>
      </x:c>
      <x:c r="C1015" s="14">
        <x:f>IF(B1015="","",$F$8*COS(B1015) + $B$7*COS($F$6*B1015))</x:f>
      </x:c>
      <x:c r="D1015" s="14">
        <x:f>IF(B1015="","",$F$8*SIN(B1015) - $B$7*SIN($F$6*B1015))</x:f>
      </x:c>
      <x:c r="E1015" s="14">
        <x:f>IF(B1015="","", C1015 + $F$12*$F$9*(-H1015)/IF(SQRT(G1015^2+H1015^2)=0,1,SQRT(G1015^2+H1015^2)))</x:f>
      </x:c>
      <x:c r="F1015" s="14">
        <x:f>IF(B1015="","", D1015 + $F$12*$F$9*(G1015)/IF(SQRT(G1015^2+H1015^2)=0,1,SQRT(G1015^2+H1015^2)))</x:f>
      </x:c>
      <x:c r="G1015" s="14">
        <x:f>IF(B1015="","", -$F$8*SIN(B1015) - $B$7*$F$6*SIN($F$6*B1015))</x:f>
      </x:c>
      <x:c r="H1015" s="14">
        <x:f>IF(B1015="","", $F$8*COS(B1015) - $B$7*$F$6*COS($F$6*B1015))</x:f>
      </x:c>
    </x:row>
    <x:row r="1016">
      <x:c r="A1016" s="13" t="n">
        <x:v>997</x:v>
      </x:c>
      <x:c r="B1016" s="14">
        <x:f>IF($B$12&lt;997,"",$B$13+(997-1)*($B$14-$B$13)/($B$12-1))</x:f>
      </x:c>
      <x:c r="C1016" s="14">
        <x:f>IF(B1016="","",$F$8*COS(B1016) + $B$7*COS($F$6*B1016))</x:f>
      </x:c>
      <x:c r="D1016" s="14">
        <x:f>IF(B1016="","",$F$8*SIN(B1016) - $B$7*SIN($F$6*B1016))</x:f>
      </x:c>
      <x:c r="E1016" s="14">
        <x:f>IF(B1016="","", C1016 + $F$12*$F$9*(-H1016)/IF(SQRT(G1016^2+H1016^2)=0,1,SQRT(G1016^2+H1016^2)))</x:f>
      </x:c>
      <x:c r="F1016" s="14">
        <x:f>IF(B1016="","", D1016 + $F$12*$F$9*(G1016)/IF(SQRT(G1016^2+H1016^2)=0,1,SQRT(G1016^2+H1016^2)))</x:f>
      </x:c>
      <x:c r="G1016" s="14">
        <x:f>IF(B1016="","", -$F$8*SIN(B1016) - $B$7*$F$6*SIN($F$6*B1016))</x:f>
      </x:c>
      <x:c r="H1016" s="14">
        <x:f>IF(B1016="","", $F$8*COS(B1016) - $B$7*$F$6*COS($F$6*B1016))</x:f>
      </x:c>
    </x:row>
    <x:row r="1017">
      <x:c r="A1017" s="13" t="n">
        <x:v>998</x:v>
      </x:c>
      <x:c r="B1017" s="14">
        <x:f>IF($B$12&lt;998,"",$B$13+(998-1)*($B$14-$B$13)/($B$12-1))</x:f>
      </x:c>
      <x:c r="C1017" s="14">
        <x:f>IF(B1017="","",$F$8*COS(B1017) + $B$7*COS($F$6*B1017))</x:f>
      </x:c>
      <x:c r="D1017" s="14">
        <x:f>IF(B1017="","",$F$8*SIN(B1017) - $B$7*SIN($F$6*B1017))</x:f>
      </x:c>
      <x:c r="E1017" s="14">
        <x:f>IF(B1017="","", C1017 + $F$12*$F$9*(-H1017)/IF(SQRT(G1017^2+H1017^2)=0,1,SQRT(G1017^2+H1017^2)))</x:f>
      </x:c>
      <x:c r="F1017" s="14">
        <x:f>IF(B1017="","", D1017 + $F$12*$F$9*(G1017)/IF(SQRT(G1017^2+H1017^2)=0,1,SQRT(G1017^2+H1017^2)))</x:f>
      </x:c>
      <x:c r="G1017" s="14">
        <x:f>IF(B1017="","", -$F$8*SIN(B1017) - $B$7*$F$6*SIN($F$6*B1017))</x:f>
      </x:c>
      <x:c r="H1017" s="14">
        <x:f>IF(B1017="","", $F$8*COS(B1017) - $B$7*$F$6*COS($F$6*B1017))</x:f>
      </x:c>
    </x:row>
    <x:row r="1018">
      <x:c r="A1018" s="13" t="n">
        <x:v>999</x:v>
      </x:c>
      <x:c r="B1018" s="14">
        <x:f>IF($B$12&lt;999,"",$B$13+(999-1)*($B$14-$B$13)/($B$12-1))</x:f>
      </x:c>
      <x:c r="C1018" s="14">
        <x:f>IF(B1018="","",$F$8*COS(B1018) + $B$7*COS($F$6*B1018))</x:f>
      </x:c>
      <x:c r="D1018" s="14">
        <x:f>IF(B1018="","",$F$8*SIN(B1018) - $B$7*SIN($F$6*B1018))</x:f>
      </x:c>
      <x:c r="E1018" s="14">
        <x:f>IF(B1018="","", C1018 + $F$12*$F$9*(-H1018)/IF(SQRT(G1018^2+H1018^2)=0,1,SQRT(G1018^2+H1018^2)))</x:f>
      </x:c>
      <x:c r="F1018" s="14">
        <x:f>IF(B1018="","", D1018 + $F$12*$F$9*(G1018)/IF(SQRT(G1018^2+H1018^2)=0,1,SQRT(G1018^2+H1018^2)))</x:f>
      </x:c>
      <x:c r="G1018" s="14">
        <x:f>IF(B1018="","", -$F$8*SIN(B1018) - $B$7*$F$6*SIN($F$6*B1018))</x:f>
      </x:c>
      <x:c r="H1018" s="14">
        <x:f>IF(B1018="","", $F$8*COS(B1018) - $B$7*$F$6*COS($F$6*B1018))</x:f>
      </x:c>
    </x:row>
    <x:row r="1019">
      <x:c r="A1019" s="13" t="n">
        <x:v>1000</x:v>
      </x:c>
      <x:c r="B1019" s="14">
        <x:f>IF($B$12&lt;1000,"",$B$13+(1000-1)*($B$14-$B$13)/($B$12-1))</x:f>
      </x:c>
      <x:c r="C1019" s="14">
        <x:f>IF(B1019="","",$F$8*COS(B1019) + $B$7*COS($F$6*B1019))</x:f>
      </x:c>
      <x:c r="D1019" s="14">
        <x:f>IF(B1019="","",$F$8*SIN(B1019) - $B$7*SIN($F$6*B1019))</x:f>
      </x:c>
      <x:c r="E1019" s="14">
        <x:f>IF(B1019="","", C1019 + $F$12*$F$9*(-H1019)/IF(SQRT(G1019^2+H1019^2)=0,1,SQRT(G1019^2+H1019^2)))</x:f>
      </x:c>
      <x:c r="F1019" s="14">
        <x:f>IF(B1019="","", D1019 + $F$12*$F$9*(G1019)/IF(SQRT(G1019^2+H1019^2)=0,1,SQRT(G1019^2+H1019^2)))</x:f>
      </x:c>
      <x:c r="G1019" s="14">
        <x:f>IF(B1019="","", -$F$8*SIN(B1019) - $B$7*$F$6*SIN($F$6*B1019))</x:f>
      </x:c>
      <x:c r="H1019" s="14">
        <x:f>IF(B1019="","", $F$8*COS(B1019) - $B$7*$F$6*COS($F$6*B1019))</x:f>
      </x:c>
    </x:row>
    <x:row r="1020">
      <x:c r="A1020" s="13" t="n">
        <x:v>1001</x:v>
      </x:c>
      <x:c r="B1020" s="14">
        <x:f>IF($B$12&lt;1001,"",$B$13+(1001-1)*($B$14-$B$13)/($B$12-1))</x:f>
      </x:c>
      <x:c r="C1020" s="14">
        <x:f>IF(B1020="","",$F$8*COS(B1020) + $B$7*COS($F$6*B1020))</x:f>
      </x:c>
      <x:c r="D1020" s="14">
        <x:f>IF(B1020="","",$F$8*SIN(B1020) - $B$7*SIN($F$6*B1020))</x:f>
      </x:c>
      <x:c r="E1020" s="14">
        <x:f>IF(B1020="","", C1020 + $F$12*$F$9*(-H1020)/IF(SQRT(G1020^2+H1020^2)=0,1,SQRT(G1020^2+H1020^2)))</x:f>
      </x:c>
      <x:c r="F1020" s="14">
        <x:f>IF(B1020="","", D1020 + $F$12*$F$9*(G1020)/IF(SQRT(G1020^2+H1020^2)=0,1,SQRT(G1020^2+H1020^2)))</x:f>
      </x:c>
      <x:c r="G1020" s="14">
        <x:f>IF(B1020="","", -$F$8*SIN(B1020) - $B$7*$F$6*SIN($F$6*B1020))</x:f>
      </x:c>
      <x:c r="H1020" s="14">
        <x:f>IF(B1020="","", $F$8*COS(B1020) - $B$7*$F$6*COS($F$6*B1020))</x:f>
      </x:c>
    </x:row>
    <x:row r="1021">
      <x:c r="A1021" s="13" t="n">
        <x:v>1002</x:v>
      </x:c>
      <x:c r="B1021" s="14">
        <x:f>IF($B$12&lt;1002,"",$B$13+(1002-1)*($B$14-$B$13)/($B$12-1))</x:f>
      </x:c>
      <x:c r="C1021" s="14">
        <x:f>IF(B1021="","",$F$8*COS(B1021) + $B$7*COS($F$6*B1021))</x:f>
      </x:c>
      <x:c r="D1021" s="14">
        <x:f>IF(B1021="","",$F$8*SIN(B1021) - $B$7*SIN($F$6*B1021))</x:f>
      </x:c>
      <x:c r="E1021" s="14">
        <x:f>IF(B1021="","", C1021 + $F$12*$F$9*(-H1021)/IF(SQRT(G1021^2+H1021^2)=0,1,SQRT(G1021^2+H1021^2)))</x:f>
      </x:c>
      <x:c r="F1021" s="14">
        <x:f>IF(B1021="","", D1021 + $F$12*$F$9*(G1021)/IF(SQRT(G1021^2+H1021^2)=0,1,SQRT(G1021^2+H1021^2)))</x:f>
      </x:c>
      <x:c r="G1021" s="14">
        <x:f>IF(B1021="","", -$F$8*SIN(B1021) - $B$7*$F$6*SIN($F$6*B1021))</x:f>
      </x:c>
      <x:c r="H1021" s="14">
        <x:f>IF(B1021="","", $F$8*COS(B1021) - $B$7*$F$6*COS($F$6*B1021))</x:f>
      </x:c>
    </x:row>
    <x:row r="1022">
      <x:c r="A1022" s="13" t="n">
        <x:v>1003</x:v>
      </x:c>
      <x:c r="B1022" s="14">
        <x:f>IF($B$12&lt;1003,"",$B$13+(1003-1)*($B$14-$B$13)/($B$12-1))</x:f>
      </x:c>
      <x:c r="C1022" s="14">
        <x:f>IF(B1022="","",$F$8*COS(B1022) + $B$7*COS($F$6*B1022))</x:f>
      </x:c>
      <x:c r="D1022" s="14">
        <x:f>IF(B1022="","",$F$8*SIN(B1022) - $B$7*SIN($F$6*B1022))</x:f>
      </x:c>
      <x:c r="E1022" s="14">
        <x:f>IF(B1022="","", C1022 + $F$12*$F$9*(-H1022)/IF(SQRT(G1022^2+H1022^2)=0,1,SQRT(G1022^2+H1022^2)))</x:f>
      </x:c>
      <x:c r="F1022" s="14">
        <x:f>IF(B1022="","", D1022 + $F$12*$F$9*(G1022)/IF(SQRT(G1022^2+H1022^2)=0,1,SQRT(G1022^2+H1022^2)))</x:f>
      </x:c>
      <x:c r="G1022" s="14">
        <x:f>IF(B1022="","", -$F$8*SIN(B1022) - $B$7*$F$6*SIN($F$6*B1022))</x:f>
      </x:c>
      <x:c r="H1022" s="14">
        <x:f>IF(B1022="","", $F$8*COS(B1022) - $B$7*$F$6*COS($F$6*B1022))</x:f>
      </x:c>
    </x:row>
    <x:row r="1023">
      <x:c r="A1023" s="13" t="n">
        <x:v>1004</x:v>
      </x:c>
      <x:c r="B1023" s="14">
        <x:f>IF($B$12&lt;1004,"",$B$13+(1004-1)*($B$14-$B$13)/($B$12-1))</x:f>
      </x:c>
      <x:c r="C1023" s="14">
        <x:f>IF(B1023="","",$F$8*COS(B1023) + $B$7*COS($F$6*B1023))</x:f>
      </x:c>
      <x:c r="D1023" s="14">
        <x:f>IF(B1023="","",$F$8*SIN(B1023) - $B$7*SIN($F$6*B1023))</x:f>
      </x:c>
      <x:c r="E1023" s="14">
        <x:f>IF(B1023="","", C1023 + $F$12*$F$9*(-H1023)/IF(SQRT(G1023^2+H1023^2)=0,1,SQRT(G1023^2+H1023^2)))</x:f>
      </x:c>
      <x:c r="F1023" s="14">
        <x:f>IF(B1023="","", D1023 + $F$12*$F$9*(G1023)/IF(SQRT(G1023^2+H1023^2)=0,1,SQRT(G1023^2+H1023^2)))</x:f>
      </x:c>
      <x:c r="G1023" s="14">
        <x:f>IF(B1023="","", -$F$8*SIN(B1023) - $B$7*$F$6*SIN($F$6*B1023))</x:f>
      </x:c>
      <x:c r="H1023" s="14">
        <x:f>IF(B1023="","", $F$8*COS(B1023) - $B$7*$F$6*COS($F$6*B1023))</x:f>
      </x:c>
    </x:row>
    <x:row r="1024">
      <x:c r="A1024" s="13" t="n">
        <x:v>1005</x:v>
      </x:c>
      <x:c r="B1024" s="14">
        <x:f>IF($B$12&lt;1005,"",$B$13+(1005-1)*($B$14-$B$13)/($B$12-1))</x:f>
      </x:c>
      <x:c r="C1024" s="14">
        <x:f>IF(B1024="","",$F$8*COS(B1024) + $B$7*COS($F$6*B1024))</x:f>
      </x:c>
      <x:c r="D1024" s="14">
        <x:f>IF(B1024="","",$F$8*SIN(B1024) - $B$7*SIN($F$6*B1024))</x:f>
      </x:c>
      <x:c r="E1024" s="14">
        <x:f>IF(B1024="","", C1024 + $F$12*$F$9*(-H1024)/IF(SQRT(G1024^2+H1024^2)=0,1,SQRT(G1024^2+H1024^2)))</x:f>
      </x:c>
      <x:c r="F1024" s="14">
        <x:f>IF(B1024="","", D1024 + $F$12*$F$9*(G1024)/IF(SQRT(G1024^2+H1024^2)=0,1,SQRT(G1024^2+H1024^2)))</x:f>
      </x:c>
      <x:c r="G1024" s="14">
        <x:f>IF(B1024="","", -$F$8*SIN(B1024) - $B$7*$F$6*SIN($F$6*B1024))</x:f>
      </x:c>
      <x:c r="H1024" s="14">
        <x:f>IF(B1024="","", $F$8*COS(B1024) - $B$7*$F$6*COS($F$6*B1024))</x:f>
      </x:c>
    </x:row>
    <x:row r="1025">
      <x:c r="A1025" s="13" t="n">
        <x:v>1006</x:v>
      </x:c>
      <x:c r="B1025" s="14">
        <x:f>IF($B$12&lt;1006,"",$B$13+(1006-1)*($B$14-$B$13)/($B$12-1))</x:f>
      </x:c>
      <x:c r="C1025" s="14">
        <x:f>IF(B1025="","",$F$8*COS(B1025) + $B$7*COS($F$6*B1025))</x:f>
      </x:c>
      <x:c r="D1025" s="14">
        <x:f>IF(B1025="","",$F$8*SIN(B1025) - $B$7*SIN($F$6*B1025))</x:f>
      </x:c>
      <x:c r="E1025" s="14">
        <x:f>IF(B1025="","", C1025 + $F$12*$F$9*(-H1025)/IF(SQRT(G1025^2+H1025^2)=0,1,SQRT(G1025^2+H1025^2)))</x:f>
      </x:c>
      <x:c r="F1025" s="14">
        <x:f>IF(B1025="","", D1025 + $F$12*$F$9*(G1025)/IF(SQRT(G1025^2+H1025^2)=0,1,SQRT(G1025^2+H1025^2)))</x:f>
      </x:c>
      <x:c r="G1025" s="14">
        <x:f>IF(B1025="","", -$F$8*SIN(B1025) - $B$7*$F$6*SIN($F$6*B1025))</x:f>
      </x:c>
      <x:c r="H1025" s="14">
        <x:f>IF(B1025="","", $F$8*COS(B1025) - $B$7*$F$6*COS($F$6*B1025))</x:f>
      </x:c>
    </x:row>
    <x:row r="1026">
      <x:c r="A1026" s="13" t="n">
        <x:v>1007</x:v>
      </x:c>
      <x:c r="B1026" s="14">
        <x:f>IF($B$12&lt;1007,"",$B$13+(1007-1)*($B$14-$B$13)/($B$12-1))</x:f>
      </x:c>
      <x:c r="C1026" s="14">
        <x:f>IF(B1026="","",$F$8*COS(B1026) + $B$7*COS($F$6*B1026))</x:f>
      </x:c>
      <x:c r="D1026" s="14">
        <x:f>IF(B1026="","",$F$8*SIN(B1026) - $B$7*SIN($F$6*B1026))</x:f>
      </x:c>
      <x:c r="E1026" s="14">
        <x:f>IF(B1026="","", C1026 + $F$12*$F$9*(-H1026)/IF(SQRT(G1026^2+H1026^2)=0,1,SQRT(G1026^2+H1026^2)))</x:f>
      </x:c>
      <x:c r="F1026" s="14">
        <x:f>IF(B1026="","", D1026 + $F$12*$F$9*(G1026)/IF(SQRT(G1026^2+H1026^2)=0,1,SQRT(G1026^2+H1026^2)))</x:f>
      </x:c>
      <x:c r="G1026" s="14">
        <x:f>IF(B1026="","", -$F$8*SIN(B1026) - $B$7*$F$6*SIN($F$6*B1026))</x:f>
      </x:c>
      <x:c r="H1026" s="14">
        <x:f>IF(B1026="","", $F$8*COS(B1026) - $B$7*$F$6*COS($F$6*B1026))</x:f>
      </x:c>
    </x:row>
    <x:row r="1027">
      <x:c r="A1027" s="13" t="n">
        <x:v>1008</x:v>
      </x:c>
      <x:c r="B1027" s="14">
        <x:f>IF($B$12&lt;1008,"",$B$13+(1008-1)*($B$14-$B$13)/($B$12-1))</x:f>
      </x:c>
      <x:c r="C1027" s="14">
        <x:f>IF(B1027="","",$F$8*COS(B1027) + $B$7*COS($F$6*B1027))</x:f>
      </x:c>
      <x:c r="D1027" s="14">
        <x:f>IF(B1027="","",$F$8*SIN(B1027) - $B$7*SIN($F$6*B1027))</x:f>
      </x:c>
      <x:c r="E1027" s="14">
        <x:f>IF(B1027="","", C1027 + $F$12*$F$9*(-H1027)/IF(SQRT(G1027^2+H1027^2)=0,1,SQRT(G1027^2+H1027^2)))</x:f>
      </x:c>
      <x:c r="F1027" s="14">
        <x:f>IF(B1027="","", D1027 + $F$12*$F$9*(G1027)/IF(SQRT(G1027^2+H1027^2)=0,1,SQRT(G1027^2+H1027^2)))</x:f>
      </x:c>
      <x:c r="G1027" s="14">
        <x:f>IF(B1027="","", -$F$8*SIN(B1027) - $B$7*$F$6*SIN($F$6*B1027))</x:f>
      </x:c>
      <x:c r="H1027" s="14">
        <x:f>IF(B1027="","", $F$8*COS(B1027) - $B$7*$F$6*COS($F$6*B1027))</x:f>
      </x:c>
    </x:row>
    <x:row r="1028">
      <x:c r="A1028" s="13" t="n">
        <x:v>1009</x:v>
      </x:c>
      <x:c r="B1028" s="14">
        <x:f>IF($B$12&lt;1009,"",$B$13+(1009-1)*($B$14-$B$13)/($B$12-1))</x:f>
      </x:c>
      <x:c r="C1028" s="14">
        <x:f>IF(B1028="","",$F$8*COS(B1028) + $B$7*COS($F$6*B1028))</x:f>
      </x:c>
      <x:c r="D1028" s="14">
        <x:f>IF(B1028="","",$F$8*SIN(B1028) - $B$7*SIN($F$6*B1028))</x:f>
      </x:c>
      <x:c r="E1028" s="14">
        <x:f>IF(B1028="","", C1028 + $F$12*$F$9*(-H1028)/IF(SQRT(G1028^2+H1028^2)=0,1,SQRT(G1028^2+H1028^2)))</x:f>
      </x:c>
      <x:c r="F1028" s="14">
        <x:f>IF(B1028="","", D1028 + $F$12*$F$9*(G1028)/IF(SQRT(G1028^2+H1028^2)=0,1,SQRT(G1028^2+H1028^2)))</x:f>
      </x:c>
      <x:c r="G1028" s="14">
        <x:f>IF(B1028="","", -$F$8*SIN(B1028) - $B$7*$F$6*SIN($F$6*B1028))</x:f>
      </x:c>
      <x:c r="H1028" s="14">
        <x:f>IF(B1028="","", $F$8*COS(B1028) - $B$7*$F$6*COS($F$6*B1028))</x:f>
      </x:c>
    </x:row>
    <x:row r="1029">
      <x:c r="A1029" s="13" t="n">
        <x:v>1010</x:v>
      </x:c>
      <x:c r="B1029" s="14">
        <x:f>IF($B$12&lt;1010,"",$B$13+(1010-1)*($B$14-$B$13)/($B$12-1))</x:f>
      </x:c>
      <x:c r="C1029" s="14">
        <x:f>IF(B1029="","",$F$8*COS(B1029) + $B$7*COS($F$6*B1029))</x:f>
      </x:c>
      <x:c r="D1029" s="14">
        <x:f>IF(B1029="","",$F$8*SIN(B1029) - $B$7*SIN($F$6*B1029))</x:f>
      </x:c>
      <x:c r="E1029" s="14">
        <x:f>IF(B1029="","", C1029 + $F$12*$F$9*(-H1029)/IF(SQRT(G1029^2+H1029^2)=0,1,SQRT(G1029^2+H1029^2)))</x:f>
      </x:c>
      <x:c r="F1029" s="14">
        <x:f>IF(B1029="","", D1029 + $F$12*$F$9*(G1029)/IF(SQRT(G1029^2+H1029^2)=0,1,SQRT(G1029^2+H1029^2)))</x:f>
      </x:c>
      <x:c r="G1029" s="14">
        <x:f>IF(B1029="","", -$F$8*SIN(B1029) - $B$7*$F$6*SIN($F$6*B1029))</x:f>
      </x:c>
      <x:c r="H1029" s="14">
        <x:f>IF(B1029="","", $F$8*COS(B1029) - $B$7*$F$6*COS($F$6*B1029))</x:f>
      </x:c>
    </x:row>
    <x:row r="1030">
      <x:c r="A1030" s="13" t="n">
        <x:v>1011</x:v>
      </x:c>
      <x:c r="B1030" s="14">
        <x:f>IF($B$12&lt;1011,"",$B$13+(1011-1)*($B$14-$B$13)/($B$12-1))</x:f>
      </x:c>
      <x:c r="C1030" s="14">
        <x:f>IF(B1030="","",$F$8*COS(B1030) + $B$7*COS($F$6*B1030))</x:f>
      </x:c>
      <x:c r="D1030" s="14">
        <x:f>IF(B1030="","",$F$8*SIN(B1030) - $B$7*SIN($F$6*B1030))</x:f>
      </x:c>
      <x:c r="E1030" s="14">
        <x:f>IF(B1030="","", C1030 + $F$12*$F$9*(-H1030)/IF(SQRT(G1030^2+H1030^2)=0,1,SQRT(G1030^2+H1030^2)))</x:f>
      </x:c>
      <x:c r="F1030" s="14">
        <x:f>IF(B1030="","", D1030 + $F$12*$F$9*(G1030)/IF(SQRT(G1030^2+H1030^2)=0,1,SQRT(G1030^2+H1030^2)))</x:f>
      </x:c>
      <x:c r="G1030" s="14">
        <x:f>IF(B1030="","", -$F$8*SIN(B1030) - $B$7*$F$6*SIN($F$6*B1030))</x:f>
      </x:c>
      <x:c r="H1030" s="14">
        <x:f>IF(B1030="","", $F$8*COS(B1030) - $B$7*$F$6*COS($F$6*B1030))</x:f>
      </x:c>
    </x:row>
    <x:row r="1031">
      <x:c r="A1031" s="13" t="n">
        <x:v>1012</x:v>
      </x:c>
      <x:c r="B1031" s="14">
        <x:f>IF($B$12&lt;1012,"",$B$13+(1012-1)*($B$14-$B$13)/($B$12-1))</x:f>
      </x:c>
      <x:c r="C1031" s="14">
        <x:f>IF(B1031="","",$F$8*COS(B1031) + $B$7*COS($F$6*B1031))</x:f>
      </x:c>
      <x:c r="D1031" s="14">
        <x:f>IF(B1031="","",$F$8*SIN(B1031) - $B$7*SIN($F$6*B1031))</x:f>
      </x:c>
      <x:c r="E1031" s="14">
        <x:f>IF(B1031="","", C1031 + $F$12*$F$9*(-H1031)/IF(SQRT(G1031^2+H1031^2)=0,1,SQRT(G1031^2+H1031^2)))</x:f>
      </x:c>
      <x:c r="F1031" s="14">
        <x:f>IF(B1031="","", D1031 + $F$12*$F$9*(G1031)/IF(SQRT(G1031^2+H1031^2)=0,1,SQRT(G1031^2+H1031^2)))</x:f>
      </x:c>
      <x:c r="G1031" s="14">
        <x:f>IF(B1031="","", -$F$8*SIN(B1031) - $B$7*$F$6*SIN($F$6*B1031))</x:f>
      </x:c>
      <x:c r="H1031" s="14">
        <x:f>IF(B1031="","", $F$8*COS(B1031) - $B$7*$F$6*COS($F$6*B1031))</x:f>
      </x:c>
    </x:row>
    <x:row r="1032">
      <x:c r="A1032" s="13" t="n">
        <x:v>1013</x:v>
      </x:c>
      <x:c r="B1032" s="14">
        <x:f>IF($B$12&lt;1013,"",$B$13+(1013-1)*($B$14-$B$13)/($B$12-1))</x:f>
      </x:c>
      <x:c r="C1032" s="14">
        <x:f>IF(B1032="","",$F$8*COS(B1032) + $B$7*COS($F$6*B1032))</x:f>
      </x:c>
      <x:c r="D1032" s="14">
        <x:f>IF(B1032="","",$F$8*SIN(B1032) - $B$7*SIN($F$6*B1032))</x:f>
      </x:c>
      <x:c r="E1032" s="14">
        <x:f>IF(B1032="","", C1032 + $F$12*$F$9*(-H1032)/IF(SQRT(G1032^2+H1032^2)=0,1,SQRT(G1032^2+H1032^2)))</x:f>
      </x:c>
      <x:c r="F1032" s="14">
        <x:f>IF(B1032="","", D1032 + $F$12*$F$9*(G1032)/IF(SQRT(G1032^2+H1032^2)=0,1,SQRT(G1032^2+H1032^2)))</x:f>
      </x:c>
      <x:c r="G1032" s="14">
        <x:f>IF(B1032="","", -$F$8*SIN(B1032) - $B$7*$F$6*SIN($F$6*B1032))</x:f>
      </x:c>
      <x:c r="H1032" s="14">
        <x:f>IF(B1032="","", $F$8*COS(B1032) - $B$7*$F$6*COS($F$6*B1032))</x:f>
      </x:c>
    </x:row>
    <x:row r="1033">
      <x:c r="A1033" s="13" t="n">
        <x:v>1014</x:v>
      </x:c>
      <x:c r="B1033" s="14">
        <x:f>IF($B$12&lt;1014,"",$B$13+(1014-1)*($B$14-$B$13)/($B$12-1))</x:f>
      </x:c>
      <x:c r="C1033" s="14">
        <x:f>IF(B1033="","",$F$8*COS(B1033) + $B$7*COS($F$6*B1033))</x:f>
      </x:c>
      <x:c r="D1033" s="14">
        <x:f>IF(B1033="","",$F$8*SIN(B1033) - $B$7*SIN($F$6*B1033))</x:f>
      </x:c>
      <x:c r="E1033" s="14">
        <x:f>IF(B1033="","", C1033 + $F$12*$F$9*(-H1033)/IF(SQRT(G1033^2+H1033^2)=0,1,SQRT(G1033^2+H1033^2)))</x:f>
      </x:c>
      <x:c r="F1033" s="14">
        <x:f>IF(B1033="","", D1033 + $F$12*$F$9*(G1033)/IF(SQRT(G1033^2+H1033^2)=0,1,SQRT(G1033^2+H1033^2)))</x:f>
      </x:c>
      <x:c r="G1033" s="14">
        <x:f>IF(B1033="","", -$F$8*SIN(B1033) - $B$7*$F$6*SIN($F$6*B1033))</x:f>
      </x:c>
      <x:c r="H1033" s="14">
        <x:f>IF(B1033="","", $F$8*COS(B1033) - $B$7*$F$6*COS($F$6*B1033))</x:f>
      </x:c>
    </x:row>
    <x:row r="1034">
      <x:c r="A1034" s="13" t="n">
        <x:v>1015</x:v>
      </x:c>
      <x:c r="B1034" s="14">
        <x:f>IF($B$12&lt;1015,"",$B$13+(1015-1)*($B$14-$B$13)/($B$12-1))</x:f>
      </x:c>
      <x:c r="C1034" s="14">
        <x:f>IF(B1034="","",$F$8*COS(B1034) + $B$7*COS($F$6*B1034))</x:f>
      </x:c>
      <x:c r="D1034" s="14">
        <x:f>IF(B1034="","",$F$8*SIN(B1034) - $B$7*SIN($F$6*B1034))</x:f>
      </x:c>
      <x:c r="E1034" s="14">
        <x:f>IF(B1034="","", C1034 + $F$12*$F$9*(-H1034)/IF(SQRT(G1034^2+H1034^2)=0,1,SQRT(G1034^2+H1034^2)))</x:f>
      </x:c>
      <x:c r="F1034" s="14">
        <x:f>IF(B1034="","", D1034 + $F$12*$F$9*(G1034)/IF(SQRT(G1034^2+H1034^2)=0,1,SQRT(G1034^2+H1034^2)))</x:f>
      </x:c>
      <x:c r="G1034" s="14">
        <x:f>IF(B1034="","", -$F$8*SIN(B1034) - $B$7*$F$6*SIN($F$6*B1034))</x:f>
      </x:c>
      <x:c r="H1034" s="14">
        <x:f>IF(B1034="","", $F$8*COS(B1034) - $B$7*$F$6*COS($F$6*B1034))</x:f>
      </x:c>
    </x:row>
    <x:row r="1035">
      <x:c r="A1035" s="13" t="n">
        <x:v>1016</x:v>
      </x:c>
      <x:c r="B1035" s="14">
        <x:f>IF($B$12&lt;1016,"",$B$13+(1016-1)*($B$14-$B$13)/($B$12-1))</x:f>
      </x:c>
      <x:c r="C1035" s="14">
        <x:f>IF(B1035="","",$F$8*COS(B1035) + $B$7*COS($F$6*B1035))</x:f>
      </x:c>
      <x:c r="D1035" s="14">
        <x:f>IF(B1035="","",$F$8*SIN(B1035) - $B$7*SIN($F$6*B1035))</x:f>
      </x:c>
      <x:c r="E1035" s="14">
        <x:f>IF(B1035="","", C1035 + $F$12*$F$9*(-H1035)/IF(SQRT(G1035^2+H1035^2)=0,1,SQRT(G1035^2+H1035^2)))</x:f>
      </x:c>
      <x:c r="F1035" s="14">
        <x:f>IF(B1035="","", D1035 + $F$12*$F$9*(G1035)/IF(SQRT(G1035^2+H1035^2)=0,1,SQRT(G1035^2+H1035^2)))</x:f>
      </x:c>
      <x:c r="G1035" s="14">
        <x:f>IF(B1035="","", -$F$8*SIN(B1035) - $B$7*$F$6*SIN($F$6*B1035))</x:f>
      </x:c>
      <x:c r="H1035" s="14">
        <x:f>IF(B1035="","", $F$8*COS(B1035) - $B$7*$F$6*COS($F$6*B1035))</x:f>
      </x:c>
    </x:row>
    <x:row r="1036">
      <x:c r="A1036" s="13" t="n">
        <x:v>1017</x:v>
      </x:c>
      <x:c r="B1036" s="14">
        <x:f>IF($B$12&lt;1017,"",$B$13+(1017-1)*($B$14-$B$13)/($B$12-1))</x:f>
      </x:c>
      <x:c r="C1036" s="14">
        <x:f>IF(B1036="","",$F$8*COS(B1036) + $B$7*COS($F$6*B1036))</x:f>
      </x:c>
      <x:c r="D1036" s="14">
        <x:f>IF(B1036="","",$F$8*SIN(B1036) - $B$7*SIN($F$6*B1036))</x:f>
      </x:c>
      <x:c r="E1036" s="14">
        <x:f>IF(B1036="","", C1036 + $F$12*$F$9*(-H1036)/IF(SQRT(G1036^2+H1036^2)=0,1,SQRT(G1036^2+H1036^2)))</x:f>
      </x:c>
      <x:c r="F1036" s="14">
        <x:f>IF(B1036="","", D1036 + $F$12*$F$9*(G1036)/IF(SQRT(G1036^2+H1036^2)=0,1,SQRT(G1036^2+H1036^2)))</x:f>
      </x:c>
      <x:c r="G1036" s="14">
        <x:f>IF(B1036="","", -$F$8*SIN(B1036) - $B$7*$F$6*SIN($F$6*B1036))</x:f>
      </x:c>
      <x:c r="H1036" s="14">
        <x:f>IF(B1036="","", $F$8*COS(B1036) - $B$7*$F$6*COS($F$6*B1036))</x:f>
      </x:c>
    </x:row>
    <x:row r="1037">
      <x:c r="A1037" s="13" t="n">
        <x:v>1018</x:v>
      </x:c>
      <x:c r="B1037" s="14">
        <x:f>IF($B$12&lt;1018,"",$B$13+(1018-1)*($B$14-$B$13)/($B$12-1))</x:f>
      </x:c>
      <x:c r="C1037" s="14">
        <x:f>IF(B1037="","",$F$8*COS(B1037) + $B$7*COS($F$6*B1037))</x:f>
      </x:c>
      <x:c r="D1037" s="14">
        <x:f>IF(B1037="","",$F$8*SIN(B1037) - $B$7*SIN($F$6*B1037))</x:f>
      </x:c>
      <x:c r="E1037" s="14">
        <x:f>IF(B1037="","", C1037 + $F$12*$F$9*(-H1037)/IF(SQRT(G1037^2+H1037^2)=0,1,SQRT(G1037^2+H1037^2)))</x:f>
      </x:c>
      <x:c r="F1037" s="14">
        <x:f>IF(B1037="","", D1037 + $F$12*$F$9*(G1037)/IF(SQRT(G1037^2+H1037^2)=0,1,SQRT(G1037^2+H1037^2)))</x:f>
      </x:c>
      <x:c r="G1037" s="14">
        <x:f>IF(B1037="","", -$F$8*SIN(B1037) - $B$7*$F$6*SIN($F$6*B1037))</x:f>
      </x:c>
      <x:c r="H1037" s="14">
        <x:f>IF(B1037="","", $F$8*COS(B1037) - $B$7*$F$6*COS($F$6*B1037))</x:f>
      </x:c>
    </x:row>
    <x:row r="1038">
      <x:c r="A1038" s="13" t="n">
        <x:v>1019</x:v>
      </x:c>
      <x:c r="B1038" s="14">
        <x:f>IF($B$12&lt;1019,"",$B$13+(1019-1)*($B$14-$B$13)/($B$12-1))</x:f>
      </x:c>
      <x:c r="C1038" s="14">
        <x:f>IF(B1038="","",$F$8*COS(B1038) + $B$7*COS($F$6*B1038))</x:f>
      </x:c>
      <x:c r="D1038" s="14">
        <x:f>IF(B1038="","",$F$8*SIN(B1038) - $B$7*SIN($F$6*B1038))</x:f>
      </x:c>
      <x:c r="E1038" s="14">
        <x:f>IF(B1038="","", C1038 + $F$12*$F$9*(-H1038)/IF(SQRT(G1038^2+H1038^2)=0,1,SQRT(G1038^2+H1038^2)))</x:f>
      </x:c>
      <x:c r="F1038" s="14">
        <x:f>IF(B1038="","", D1038 + $F$12*$F$9*(G1038)/IF(SQRT(G1038^2+H1038^2)=0,1,SQRT(G1038^2+H1038^2)))</x:f>
      </x:c>
      <x:c r="G1038" s="14">
        <x:f>IF(B1038="","", -$F$8*SIN(B1038) - $B$7*$F$6*SIN($F$6*B1038))</x:f>
      </x:c>
      <x:c r="H1038" s="14">
        <x:f>IF(B1038="","", $F$8*COS(B1038) - $B$7*$F$6*COS($F$6*B1038))</x:f>
      </x:c>
    </x:row>
    <x:row r="1039">
      <x:c r="A1039" s="13" t="n">
        <x:v>1020</x:v>
      </x:c>
      <x:c r="B1039" s="14">
        <x:f>IF($B$12&lt;1020,"",$B$13+(1020-1)*($B$14-$B$13)/($B$12-1))</x:f>
      </x:c>
      <x:c r="C1039" s="14">
        <x:f>IF(B1039="","",$F$8*COS(B1039) + $B$7*COS($F$6*B1039))</x:f>
      </x:c>
      <x:c r="D1039" s="14">
        <x:f>IF(B1039="","",$F$8*SIN(B1039) - $B$7*SIN($F$6*B1039))</x:f>
      </x:c>
      <x:c r="E1039" s="14">
        <x:f>IF(B1039="","", C1039 + $F$12*$F$9*(-H1039)/IF(SQRT(G1039^2+H1039^2)=0,1,SQRT(G1039^2+H1039^2)))</x:f>
      </x:c>
      <x:c r="F1039" s="14">
        <x:f>IF(B1039="","", D1039 + $F$12*$F$9*(G1039)/IF(SQRT(G1039^2+H1039^2)=0,1,SQRT(G1039^2+H1039^2)))</x:f>
      </x:c>
      <x:c r="G1039" s="14">
        <x:f>IF(B1039="","", -$F$8*SIN(B1039) - $B$7*$F$6*SIN($F$6*B1039))</x:f>
      </x:c>
      <x:c r="H1039" s="14">
        <x:f>IF(B1039="","", $F$8*COS(B1039) - $B$7*$F$6*COS($F$6*B1039))</x:f>
      </x:c>
    </x:row>
    <x:row r="1040">
      <x:c r="A1040" s="13" t="n">
        <x:v>1021</x:v>
      </x:c>
      <x:c r="B1040" s="14">
        <x:f>IF($B$12&lt;1021,"",$B$13+(1021-1)*($B$14-$B$13)/($B$12-1))</x:f>
      </x:c>
      <x:c r="C1040" s="14">
        <x:f>IF(B1040="","",$F$8*COS(B1040) + $B$7*COS($F$6*B1040))</x:f>
      </x:c>
      <x:c r="D1040" s="14">
        <x:f>IF(B1040="","",$F$8*SIN(B1040) - $B$7*SIN($F$6*B1040))</x:f>
      </x:c>
      <x:c r="E1040" s="14">
        <x:f>IF(B1040="","", C1040 + $F$12*$F$9*(-H1040)/IF(SQRT(G1040^2+H1040^2)=0,1,SQRT(G1040^2+H1040^2)))</x:f>
      </x:c>
      <x:c r="F1040" s="14">
        <x:f>IF(B1040="","", D1040 + $F$12*$F$9*(G1040)/IF(SQRT(G1040^2+H1040^2)=0,1,SQRT(G1040^2+H1040^2)))</x:f>
      </x:c>
      <x:c r="G1040" s="14">
        <x:f>IF(B1040="","", -$F$8*SIN(B1040) - $B$7*$F$6*SIN($F$6*B1040))</x:f>
      </x:c>
      <x:c r="H1040" s="14">
        <x:f>IF(B1040="","", $F$8*COS(B1040) - $B$7*$F$6*COS($F$6*B1040))</x:f>
      </x:c>
    </x:row>
    <x:row r="1041">
      <x:c r="A1041" s="13" t="n">
        <x:v>1022</x:v>
      </x:c>
      <x:c r="B1041" s="14">
        <x:f>IF($B$12&lt;1022,"",$B$13+(1022-1)*($B$14-$B$13)/($B$12-1))</x:f>
      </x:c>
      <x:c r="C1041" s="14">
        <x:f>IF(B1041="","",$F$8*COS(B1041) + $B$7*COS($F$6*B1041))</x:f>
      </x:c>
      <x:c r="D1041" s="14">
        <x:f>IF(B1041="","",$F$8*SIN(B1041) - $B$7*SIN($F$6*B1041))</x:f>
      </x:c>
      <x:c r="E1041" s="14">
        <x:f>IF(B1041="","", C1041 + $F$12*$F$9*(-H1041)/IF(SQRT(G1041^2+H1041^2)=0,1,SQRT(G1041^2+H1041^2)))</x:f>
      </x:c>
      <x:c r="F1041" s="14">
        <x:f>IF(B1041="","", D1041 + $F$12*$F$9*(G1041)/IF(SQRT(G1041^2+H1041^2)=0,1,SQRT(G1041^2+H1041^2)))</x:f>
      </x:c>
      <x:c r="G1041" s="14">
        <x:f>IF(B1041="","", -$F$8*SIN(B1041) - $B$7*$F$6*SIN($F$6*B1041))</x:f>
      </x:c>
      <x:c r="H1041" s="14">
        <x:f>IF(B1041="","", $F$8*COS(B1041) - $B$7*$F$6*COS($F$6*B1041))</x:f>
      </x:c>
    </x:row>
    <x:row r="1042">
      <x:c r="A1042" s="13" t="n">
        <x:v>1023</x:v>
      </x:c>
      <x:c r="B1042" s="14">
        <x:f>IF($B$12&lt;1023,"",$B$13+(1023-1)*($B$14-$B$13)/($B$12-1))</x:f>
      </x:c>
      <x:c r="C1042" s="14">
        <x:f>IF(B1042="","",$F$8*COS(B1042) + $B$7*COS($F$6*B1042))</x:f>
      </x:c>
      <x:c r="D1042" s="14">
        <x:f>IF(B1042="","",$F$8*SIN(B1042) - $B$7*SIN($F$6*B1042))</x:f>
      </x:c>
      <x:c r="E1042" s="14">
        <x:f>IF(B1042="","", C1042 + $F$12*$F$9*(-H1042)/IF(SQRT(G1042^2+H1042^2)=0,1,SQRT(G1042^2+H1042^2)))</x:f>
      </x:c>
      <x:c r="F1042" s="14">
        <x:f>IF(B1042="","", D1042 + $F$12*$F$9*(G1042)/IF(SQRT(G1042^2+H1042^2)=0,1,SQRT(G1042^2+H1042^2)))</x:f>
      </x:c>
      <x:c r="G1042" s="14">
        <x:f>IF(B1042="","", -$F$8*SIN(B1042) - $B$7*$F$6*SIN($F$6*B1042))</x:f>
      </x:c>
      <x:c r="H1042" s="14">
        <x:f>IF(B1042="","", $F$8*COS(B1042) - $B$7*$F$6*COS($F$6*B1042))</x:f>
      </x:c>
    </x:row>
    <x:row r="1043">
      <x:c r="A1043" s="13" t="n">
        <x:v>1024</x:v>
      </x:c>
      <x:c r="B1043" s="14">
        <x:f>IF($B$12&lt;1024,"",$B$13+(1024-1)*($B$14-$B$13)/($B$12-1))</x:f>
      </x:c>
      <x:c r="C1043" s="14">
        <x:f>IF(B1043="","",$F$8*COS(B1043) + $B$7*COS($F$6*B1043))</x:f>
      </x:c>
      <x:c r="D1043" s="14">
        <x:f>IF(B1043="","",$F$8*SIN(B1043) - $B$7*SIN($F$6*B1043))</x:f>
      </x:c>
      <x:c r="E1043" s="14">
        <x:f>IF(B1043="","", C1043 + $F$12*$F$9*(-H1043)/IF(SQRT(G1043^2+H1043^2)=0,1,SQRT(G1043^2+H1043^2)))</x:f>
      </x:c>
      <x:c r="F1043" s="14">
        <x:f>IF(B1043="","", D1043 + $F$12*$F$9*(G1043)/IF(SQRT(G1043^2+H1043^2)=0,1,SQRT(G1043^2+H1043^2)))</x:f>
      </x:c>
      <x:c r="G1043" s="14">
        <x:f>IF(B1043="","", -$F$8*SIN(B1043) - $B$7*$F$6*SIN($F$6*B1043))</x:f>
      </x:c>
      <x:c r="H1043" s="14">
        <x:f>IF(B1043="","", $F$8*COS(B1043) - $B$7*$F$6*COS($F$6*B1043))</x:f>
      </x:c>
    </x:row>
    <x:row r="1044">
      <x:c r="A1044" s="13" t="n">
        <x:v>1025</x:v>
      </x:c>
      <x:c r="B1044" s="14">
        <x:f>IF($B$12&lt;1025,"",$B$13+(1025-1)*($B$14-$B$13)/($B$12-1))</x:f>
      </x:c>
      <x:c r="C1044" s="14">
        <x:f>IF(B1044="","",$F$8*COS(B1044) + $B$7*COS($F$6*B1044))</x:f>
      </x:c>
      <x:c r="D1044" s="14">
        <x:f>IF(B1044="","",$F$8*SIN(B1044) - $B$7*SIN($F$6*B1044))</x:f>
      </x:c>
      <x:c r="E1044" s="14">
        <x:f>IF(B1044="","", C1044 + $F$12*$F$9*(-H1044)/IF(SQRT(G1044^2+H1044^2)=0,1,SQRT(G1044^2+H1044^2)))</x:f>
      </x:c>
      <x:c r="F1044" s="14">
        <x:f>IF(B1044="","", D1044 + $F$12*$F$9*(G1044)/IF(SQRT(G1044^2+H1044^2)=0,1,SQRT(G1044^2+H1044^2)))</x:f>
      </x:c>
      <x:c r="G1044" s="14">
        <x:f>IF(B1044="","", -$F$8*SIN(B1044) - $B$7*$F$6*SIN($F$6*B1044))</x:f>
      </x:c>
      <x:c r="H1044" s="14">
        <x:f>IF(B1044="","", $F$8*COS(B1044) - $B$7*$F$6*COS($F$6*B1044))</x:f>
      </x:c>
    </x:row>
    <x:row r="1045">
      <x:c r="A1045" s="13" t="n">
        <x:v>1026</x:v>
      </x:c>
      <x:c r="B1045" s="14">
        <x:f>IF($B$12&lt;1026,"",$B$13+(1026-1)*($B$14-$B$13)/($B$12-1))</x:f>
      </x:c>
      <x:c r="C1045" s="14">
        <x:f>IF(B1045="","",$F$8*COS(B1045) + $B$7*COS($F$6*B1045))</x:f>
      </x:c>
      <x:c r="D1045" s="14">
        <x:f>IF(B1045="","",$F$8*SIN(B1045) - $B$7*SIN($F$6*B1045))</x:f>
      </x:c>
      <x:c r="E1045" s="14">
        <x:f>IF(B1045="","", C1045 + $F$12*$F$9*(-H1045)/IF(SQRT(G1045^2+H1045^2)=0,1,SQRT(G1045^2+H1045^2)))</x:f>
      </x:c>
      <x:c r="F1045" s="14">
        <x:f>IF(B1045="","", D1045 + $F$12*$F$9*(G1045)/IF(SQRT(G1045^2+H1045^2)=0,1,SQRT(G1045^2+H1045^2)))</x:f>
      </x:c>
      <x:c r="G1045" s="14">
        <x:f>IF(B1045="","", -$F$8*SIN(B1045) - $B$7*$F$6*SIN($F$6*B1045))</x:f>
      </x:c>
      <x:c r="H1045" s="14">
        <x:f>IF(B1045="","", $F$8*COS(B1045) - $B$7*$F$6*COS($F$6*B1045))</x:f>
      </x:c>
    </x:row>
    <x:row r="1046">
      <x:c r="A1046" s="13" t="n">
        <x:v>1027</x:v>
      </x:c>
      <x:c r="B1046" s="14">
        <x:f>IF($B$12&lt;1027,"",$B$13+(1027-1)*($B$14-$B$13)/($B$12-1))</x:f>
      </x:c>
      <x:c r="C1046" s="14">
        <x:f>IF(B1046="","",$F$8*COS(B1046) + $B$7*COS($F$6*B1046))</x:f>
      </x:c>
      <x:c r="D1046" s="14">
        <x:f>IF(B1046="","",$F$8*SIN(B1046) - $B$7*SIN($F$6*B1046))</x:f>
      </x:c>
      <x:c r="E1046" s="14">
        <x:f>IF(B1046="","", C1046 + $F$12*$F$9*(-H1046)/IF(SQRT(G1046^2+H1046^2)=0,1,SQRT(G1046^2+H1046^2)))</x:f>
      </x:c>
      <x:c r="F1046" s="14">
        <x:f>IF(B1046="","", D1046 + $F$12*$F$9*(G1046)/IF(SQRT(G1046^2+H1046^2)=0,1,SQRT(G1046^2+H1046^2)))</x:f>
      </x:c>
      <x:c r="G1046" s="14">
        <x:f>IF(B1046="","", -$F$8*SIN(B1046) - $B$7*$F$6*SIN($F$6*B1046))</x:f>
      </x:c>
      <x:c r="H1046" s="14">
        <x:f>IF(B1046="","", $F$8*COS(B1046) - $B$7*$F$6*COS($F$6*B1046))</x:f>
      </x:c>
    </x:row>
    <x:row r="1047">
      <x:c r="A1047" s="13" t="n">
        <x:v>1028</x:v>
      </x:c>
      <x:c r="B1047" s="14">
        <x:f>IF($B$12&lt;1028,"",$B$13+(1028-1)*($B$14-$B$13)/($B$12-1))</x:f>
      </x:c>
      <x:c r="C1047" s="14">
        <x:f>IF(B1047="","",$F$8*COS(B1047) + $B$7*COS($F$6*B1047))</x:f>
      </x:c>
      <x:c r="D1047" s="14">
        <x:f>IF(B1047="","",$F$8*SIN(B1047) - $B$7*SIN($F$6*B1047))</x:f>
      </x:c>
      <x:c r="E1047" s="14">
        <x:f>IF(B1047="","", C1047 + $F$12*$F$9*(-H1047)/IF(SQRT(G1047^2+H1047^2)=0,1,SQRT(G1047^2+H1047^2)))</x:f>
      </x:c>
      <x:c r="F1047" s="14">
        <x:f>IF(B1047="","", D1047 + $F$12*$F$9*(G1047)/IF(SQRT(G1047^2+H1047^2)=0,1,SQRT(G1047^2+H1047^2)))</x:f>
      </x:c>
      <x:c r="G1047" s="14">
        <x:f>IF(B1047="","", -$F$8*SIN(B1047) - $B$7*$F$6*SIN($F$6*B1047))</x:f>
      </x:c>
      <x:c r="H1047" s="14">
        <x:f>IF(B1047="","", $F$8*COS(B1047) - $B$7*$F$6*COS($F$6*B1047))</x:f>
      </x:c>
    </x:row>
    <x:row r="1048">
      <x:c r="A1048" s="13" t="n">
        <x:v>1029</x:v>
      </x:c>
      <x:c r="B1048" s="14">
        <x:f>IF($B$12&lt;1029,"",$B$13+(1029-1)*($B$14-$B$13)/($B$12-1))</x:f>
      </x:c>
      <x:c r="C1048" s="14">
        <x:f>IF(B1048="","",$F$8*COS(B1048) + $B$7*COS($F$6*B1048))</x:f>
      </x:c>
      <x:c r="D1048" s="14">
        <x:f>IF(B1048="","",$F$8*SIN(B1048) - $B$7*SIN($F$6*B1048))</x:f>
      </x:c>
      <x:c r="E1048" s="14">
        <x:f>IF(B1048="","", C1048 + $F$12*$F$9*(-H1048)/IF(SQRT(G1048^2+H1048^2)=0,1,SQRT(G1048^2+H1048^2)))</x:f>
      </x:c>
      <x:c r="F1048" s="14">
        <x:f>IF(B1048="","", D1048 + $F$12*$F$9*(G1048)/IF(SQRT(G1048^2+H1048^2)=0,1,SQRT(G1048^2+H1048^2)))</x:f>
      </x:c>
      <x:c r="G1048" s="14">
        <x:f>IF(B1048="","", -$F$8*SIN(B1048) - $B$7*$F$6*SIN($F$6*B1048))</x:f>
      </x:c>
      <x:c r="H1048" s="14">
        <x:f>IF(B1048="","", $F$8*COS(B1048) - $B$7*$F$6*COS($F$6*B1048))</x:f>
      </x:c>
    </x:row>
    <x:row r="1049">
      <x:c r="A1049" s="13" t="n">
        <x:v>1030</x:v>
      </x:c>
      <x:c r="B1049" s="14">
        <x:f>IF($B$12&lt;1030,"",$B$13+(1030-1)*($B$14-$B$13)/($B$12-1))</x:f>
      </x:c>
      <x:c r="C1049" s="14">
        <x:f>IF(B1049="","",$F$8*COS(B1049) + $B$7*COS($F$6*B1049))</x:f>
      </x:c>
      <x:c r="D1049" s="14">
        <x:f>IF(B1049="","",$F$8*SIN(B1049) - $B$7*SIN($F$6*B1049))</x:f>
      </x:c>
      <x:c r="E1049" s="14">
        <x:f>IF(B1049="","", C1049 + $F$12*$F$9*(-H1049)/IF(SQRT(G1049^2+H1049^2)=0,1,SQRT(G1049^2+H1049^2)))</x:f>
      </x:c>
      <x:c r="F1049" s="14">
        <x:f>IF(B1049="","", D1049 + $F$12*$F$9*(G1049)/IF(SQRT(G1049^2+H1049^2)=0,1,SQRT(G1049^2+H1049^2)))</x:f>
      </x:c>
      <x:c r="G1049" s="14">
        <x:f>IF(B1049="","", -$F$8*SIN(B1049) - $B$7*$F$6*SIN($F$6*B1049))</x:f>
      </x:c>
      <x:c r="H1049" s="14">
        <x:f>IF(B1049="","", $F$8*COS(B1049) - $B$7*$F$6*COS($F$6*B1049))</x:f>
      </x:c>
    </x:row>
    <x:row r="1050">
      <x:c r="A1050" s="13" t="n">
        <x:v>1031</x:v>
      </x:c>
      <x:c r="B1050" s="14">
        <x:f>IF($B$12&lt;1031,"",$B$13+(1031-1)*($B$14-$B$13)/($B$12-1))</x:f>
      </x:c>
      <x:c r="C1050" s="14">
        <x:f>IF(B1050="","",$F$8*COS(B1050) + $B$7*COS($F$6*B1050))</x:f>
      </x:c>
      <x:c r="D1050" s="14">
        <x:f>IF(B1050="","",$F$8*SIN(B1050) - $B$7*SIN($F$6*B1050))</x:f>
      </x:c>
      <x:c r="E1050" s="14">
        <x:f>IF(B1050="","", C1050 + $F$12*$F$9*(-H1050)/IF(SQRT(G1050^2+H1050^2)=0,1,SQRT(G1050^2+H1050^2)))</x:f>
      </x:c>
      <x:c r="F1050" s="14">
        <x:f>IF(B1050="","", D1050 + $F$12*$F$9*(G1050)/IF(SQRT(G1050^2+H1050^2)=0,1,SQRT(G1050^2+H1050^2)))</x:f>
      </x:c>
      <x:c r="G1050" s="14">
        <x:f>IF(B1050="","", -$F$8*SIN(B1050) - $B$7*$F$6*SIN($F$6*B1050))</x:f>
      </x:c>
      <x:c r="H1050" s="14">
        <x:f>IF(B1050="","", $F$8*COS(B1050) - $B$7*$F$6*COS($F$6*B1050))</x:f>
      </x:c>
    </x:row>
    <x:row r="1051">
      <x:c r="A1051" s="13" t="n">
        <x:v>1032</x:v>
      </x:c>
      <x:c r="B1051" s="14">
        <x:f>IF($B$12&lt;1032,"",$B$13+(1032-1)*($B$14-$B$13)/($B$12-1))</x:f>
      </x:c>
      <x:c r="C1051" s="14">
        <x:f>IF(B1051="","",$F$8*COS(B1051) + $B$7*COS($F$6*B1051))</x:f>
      </x:c>
      <x:c r="D1051" s="14">
        <x:f>IF(B1051="","",$F$8*SIN(B1051) - $B$7*SIN($F$6*B1051))</x:f>
      </x:c>
      <x:c r="E1051" s="14">
        <x:f>IF(B1051="","", C1051 + $F$12*$F$9*(-H1051)/IF(SQRT(G1051^2+H1051^2)=0,1,SQRT(G1051^2+H1051^2)))</x:f>
      </x:c>
      <x:c r="F1051" s="14">
        <x:f>IF(B1051="","", D1051 + $F$12*$F$9*(G1051)/IF(SQRT(G1051^2+H1051^2)=0,1,SQRT(G1051^2+H1051^2)))</x:f>
      </x:c>
      <x:c r="G1051" s="14">
        <x:f>IF(B1051="","", -$F$8*SIN(B1051) - $B$7*$F$6*SIN($F$6*B1051))</x:f>
      </x:c>
      <x:c r="H1051" s="14">
        <x:f>IF(B1051="","", $F$8*COS(B1051) - $B$7*$F$6*COS($F$6*B1051))</x:f>
      </x:c>
    </x:row>
    <x:row r="1052">
      <x:c r="A1052" s="13" t="n">
        <x:v>1033</x:v>
      </x:c>
      <x:c r="B1052" s="14">
        <x:f>IF($B$12&lt;1033,"",$B$13+(1033-1)*($B$14-$B$13)/($B$12-1))</x:f>
      </x:c>
      <x:c r="C1052" s="14">
        <x:f>IF(B1052="","",$F$8*COS(B1052) + $B$7*COS($F$6*B1052))</x:f>
      </x:c>
      <x:c r="D1052" s="14">
        <x:f>IF(B1052="","",$F$8*SIN(B1052) - $B$7*SIN($F$6*B1052))</x:f>
      </x:c>
      <x:c r="E1052" s="14">
        <x:f>IF(B1052="","", C1052 + $F$12*$F$9*(-H1052)/IF(SQRT(G1052^2+H1052^2)=0,1,SQRT(G1052^2+H1052^2)))</x:f>
      </x:c>
      <x:c r="F1052" s="14">
        <x:f>IF(B1052="","", D1052 + $F$12*$F$9*(G1052)/IF(SQRT(G1052^2+H1052^2)=0,1,SQRT(G1052^2+H1052^2)))</x:f>
      </x:c>
      <x:c r="G1052" s="14">
        <x:f>IF(B1052="","", -$F$8*SIN(B1052) - $B$7*$F$6*SIN($F$6*B1052))</x:f>
      </x:c>
      <x:c r="H1052" s="14">
        <x:f>IF(B1052="","", $F$8*COS(B1052) - $B$7*$F$6*COS($F$6*B1052))</x:f>
      </x:c>
    </x:row>
    <x:row r="1053">
      <x:c r="A1053" s="13" t="n">
        <x:v>1034</x:v>
      </x:c>
      <x:c r="B1053" s="14">
        <x:f>IF($B$12&lt;1034,"",$B$13+(1034-1)*($B$14-$B$13)/($B$12-1))</x:f>
      </x:c>
      <x:c r="C1053" s="14">
        <x:f>IF(B1053="","",$F$8*COS(B1053) + $B$7*COS($F$6*B1053))</x:f>
      </x:c>
      <x:c r="D1053" s="14">
        <x:f>IF(B1053="","",$F$8*SIN(B1053) - $B$7*SIN($F$6*B1053))</x:f>
      </x:c>
      <x:c r="E1053" s="14">
        <x:f>IF(B1053="","", C1053 + $F$12*$F$9*(-H1053)/IF(SQRT(G1053^2+H1053^2)=0,1,SQRT(G1053^2+H1053^2)))</x:f>
      </x:c>
      <x:c r="F1053" s="14">
        <x:f>IF(B1053="","", D1053 + $F$12*$F$9*(G1053)/IF(SQRT(G1053^2+H1053^2)=0,1,SQRT(G1053^2+H1053^2)))</x:f>
      </x:c>
      <x:c r="G1053" s="14">
        <x:f>IF(B1053="","", -$F$8*SIN(B1053) - $B$7*$F$6*SIN($F$6*B1053))</x:f>
      </x:c>
      <x:c r="H1053" s="14">
        <x:f>IF(B1053="","", $F$8*COS(B1053) - $B$7*$F$6*COS($F$6*B1053))</x:f>
      </x:c>
    </x:row>
    <x:row r="1054">
      <x:c r="A1054" s="13" t="n">
        <x:v>1035</x:v>
      </x:c>
      <x:c r="B1054" s="14">
        <x:f>IF($B$12&lt;1035,"",$B$13+(1035-1)*($B$14-$B$13)/($B$12-1))</x:f>
      </x:c>
      <x:c r="C1054" s="14">
        <x:f>IF(B1054="","",$F$8*COS(B1054) + $B$7*COS($F$6*B1054))</x:f>
      </x:c>
      <x:c r="D1054" s="14">
        <x:f>IF(B1054="","",$F$8*SIN(B1054) - $B$7*SIN($F$6*B1054))</x:f>
      </x:c>
      <x:c r="E1054" s="14">
        <x:f>IF(B1054="","", C1054 + $F$12*$F$9*(-H1054)/IF(SQRT(G1054^2+H1054^2)=0,1,SQRT(G1054^2+H1054^2)))</x:f>
      </x:c>
      <x:c r="F1054" s="14">
        <x:f>IF(B1054="","", D1054 + $F$12*$F$9*(G1054)/IF(SQRT(G1054^2+H1054^2)=0,1,SQRT(G1054^2+H1054^2)))</x:f>
      </x:c>
      <x:c r="G1054" s="14">
        <x:f>IF(B1054="","", -$F$8*SIN(B1054) - $B$7*$F$6*SIN($F$6*B1054))</x:f>
      </x:c>
      <x:c r="H1054" s="14">
        <x:f>IF(B1054="","", $F$8*COS(B1054) - $B$7*$F$6*COS($F$6*B1054))</x:f>
      </x:c>
    </x:row>
    <x:row r="1055">
      <x:c r="A1055" s="13" t="n">
        <x:v>1036</x:v>
      </x:c>
      <x:c r="B1055" s="14">
        <x:f>IF($B$12&lt;1036,"",$B$13+(1036-1)*($B$14-$B$13)/($B$12-1))</x:f>
      </x:c>
      <x:c r="C1055" s="14">
        <x:f>IF(B1055="","",$F$8*COS(B1055) + $B$7*COS($F$6*B1055))</x:f>
      </x:c>
      <x:c r="D1055" s="14">
        <x:f>IF(B1055="","",$F$8*SIN(B1055) - $B$7*SIN($F$6*B1055))</x:f>
      </x:c>
      <x:c r="E1055" s="14">
        <x:f>IF(B1055="","", C1055 + $F$12*$F$9*(-H1055)/IF(SQRT(G1055^2+H1055^2)=0,1,SQRT(G1055^2+H1055^2)))</x:f>
      </x:c>
      <x:c r="F1055" s="14">
        <x:f>IF(B1055="","", D1055 + $F$12*$F$9*(G1055)/IF(SQRT(G1055^2+H1055^2)=0,1,SQRT(G1055^2+H1055^2)))</x:f>
      </x:c>
      <x:c r="G1055" s="14">
        <x:f>IF(B1055="","", -$F$8*SIN(B1055) - $B$7*$F$6*SIN($F$6*B1055))</x:f>
      </x:c>
      <x:c r="H1055" s="14">
        <x:f>IF(B1055="","", $F$8*COS(B1055) - $B$7*$F$6*COS($F$6*B1055))</x:f>
      </x:c>
    </x:row>
    <x:row r="1056">
      <x:c r="A1056" s="13" t="n">
        <x:v>1037</x:v>
      </x:c>
      <x:c r="B1056" s="14">
        <x:f>IF($B$12&lt;1037,"",$B$13+(1037-1)*($B$14-$B$13)/($B$12-1))</x:f>
      </x:c>
      <x:c r="C1056" s="14">
        <x:f>IF(B1056="","",$F$8*COS(B1056) + $B$7*COS($F$6*B1056))</x:f>
      </x:c>
      <x:c r="D1056" s="14">
        <x:f>IF(B1056="","",$F$8*SIN(B1056) - $B$7*SIN($F$6*B1056))</x:f>
      </x:c>
      <x:c r="E1056" s="14">
        <x:f>IF(B1056="","", C1056 + $F$12*$F$9*(-H1056)/IF(SQRT(G1056^2+H1056^2)=0,1,SQRT(G1056^2+H1056^2)))</x:f>
      </x:c>
      <x:c r="F1056" s="14">
        <x:f>IF(B1056="","", D1056 + $F$12*$F$9*(G1056)/IF(SQRT(G1056^2+H1056^2)=0,1,SQRT(G1056^2+H1056^2)))</x:f>
      </x:c>
      <x:c r="G1056" s="14">
        <x:f>IF(B1056="","", -$F$8*SIN(B1056) - $B$7*$F$6*SIN($F$6*B1056))</x:f>
      </x:c>
      <x:c r="H1056" s="14">
        <x:f>IF(B1056="","", $F$8*COS(B1056) - $B$7*$F$6*COS($F$6*B1056))</x:f>
      </x:c>
    </x:row>
    <x:row r="1057">
      <x:c r="A1057" s="13" t="n">
        <x:v>1038</x:v>
      </x:c>
      <x:c r="B1057" s="14">
        <x:f>IF($B$12&lt;1038,"",$B$13+(1038-1)*($B$14-$B$13)/($B$12-1))</x:f>
      </x:c>
      <x:c r="C1057" s="14">
        <x:f>IF(B1057="","",$F$8*COS(B1057) + $B$7*COS($F$6*B1057))</x:f>
      </x:c>
      <x:c r="D1057" s="14">
        <x:f>IF(B1057="","",$F$8*SIN(B1057) - $B$7*SIN($F$6*B1057))</x:f>
      </x:c>
      <x:c r="E1057" s="14">
        <x:f>IF(B1057="","", C1057 + $F$12*$F$9*(-H1057)/IF(SQRT(G1057^2+H1057^2)=0,1,SQRT(G1057^2+H1057^2)))</x:f>
      </x:c>
      <x:c r="F1057" s="14">
        <x:f>IF(B1057="","", D1057 + $F$12*$F$9*(G1057)/IF(SQRT(G1057^2+H1057^2)=0,1,SQRT(G1057^2+H1057^2)))</x:f>
      </x:c>
      <x:c r="G1057" s="14">
        <x:f>IF(B1057="","", -$F$8*SIN(B1057) - $B$7*$F$6*SIN($F$6*B1057))</x:f>
      </x:c>
      <x:c r="H1057" s="14">
        <x:f>IF(B1057="","", $F$8*COS(B1057) - $B$7*$F$6*COS($F$6*B1057))</x:f>
      </x:c>
    </x:row>
    <x:row r="1058">
      <x:c r="A1058" s="13" t="n">
        <x:v>1039</x:v>
      </x:c>
      <x:c r="B1058" s="14">
        <x:f>IF($B$12&lt;1039,"",$B$13+(1039-1)*($B$14-$B$13)/($B$12-1))</x:f>
      </x:c>
      <x:c r="C1058" s="14">
        <x:f>IF(B1058="","",$F$8*COS(B1058) + $B$7*COS($F$6*B1058))</x:f>
      </x:c>
      <x:c r="D1058" s="14">
        <x:f>IF(B1058="","",$F$8*SIN(B1058) - $B$7*SIN($F$6*B1058))</x:f>
      </x:c>
      <x:c r="E1058" s="14">
        <x:f>IF(B1058="","", C1058 + $F$12*$F$9*(-H1058)/IF(SQRT(G1058^2+H1058^2)=0,1,SQRT(G1058^2+H1058^2)))</x:f>
      </x:c>
      <x:c r="F1058" s="14">
        <x:f>IF(B1058="","", D1058 + $F$12*$F$9*(G1058)/IF(SQRT(G1058^2+H1058^2)=0,1,SQRT(G1058^2+H1058^2)))</x:f>
      </x:c>
      <x:c r="G1058" s="14">
        <x:f>IF(B1058="","", -$F$8*SIN(B1058) - $B$7*$F$6*SIN($F$6*B1058))</x:f>
      </x:c>
      <x:c r="H1058" s="14">
        <x:f>IF(B1058="","", $F$8*COS(B1058) - $B$7*$F$6*COS($F$6*B1058))</x:f>
      </x:c>
    </x:row>
    <x:row r="1059">
      <x:c r="A1059" s="13" t="n">
        <x:v>1040</x:v>
      </x:c>
      <x:c r="B1059" s="14">
        <x:f>IF($B$12&lt;1040,"",$B$13+(1040-1)*($B$14-$B$13)/($B$12-1))</x:f>
      </x:c>
      <x:c r="C1059" s="14">
        <x:f>IF(B1059="","",$F$8*COS(B1059) + $B$7*COS($F$6*B1059))</x:f>
      </x:c>
      <x:c r="D1059" s="14">
        <x:f>IF(B1059="","",$F$8*SIN(B1059) - $B$7*SIN($F$6*B1059))</x:f>
      </x:c>
      <x:c r="E1059" s="14">
        <x:f>IF(B1059="","", C1059 + $F$12*$F$9*(-H1059)/IF(SQRT(G1059^2+H1059^2)=0,1,SQRT(G1059^2+H1059^2)))</x:f>
      </x:c>
      <x:c r="F1059" s="14">
        <x:f>IF(B1059="","", D1059 + $F$12*$F$9*(G1059)/IF(SQRT(G1059^2+H1059^2)=0,1,SQRT(G1059^2+H1059^2)))</x:f>
      </x:c>
      <x:c r="G1059" s="14">
        <x:f>IF(B1059="","", -$F$8*SIN(B1059) - $B$7*$F$6*SIN($F$6*B1059))</x:f>
      </x:c>
      <x:c r="H1059" s="14">
        <x:f>IF(B1059="","", $F$8*COS(B1059) - $B$7*$F$6*COS($F$6*B1059))</x:f>
      </x:c>
    </x:row>
    <x:row r="1060">
      <x:c r="A1060" s="13" t="n">
        <x:v>1041</x:v>
      </x:c>
      <x:c r="B1060" s="14">
        <x:f>IF($B$12&lt;1041,"",$B$13+(1041-1)*($B$14-$B$13)/($B$12-1))</x:f>
      </x:c>
      <x:c r="C1060" s="14">
        <x:f>IF(B1060="","",$F$8*COS(B1060) + $B$7*COS($F$6*B1060))</x:f>
      </x:c>
      <x:c r="D1060" s="14">
        <x:f>IF(B1060="","",$F$8*SIN(B1060) - $B$7*SIN($F$6*B1060))</x:f>
      </x:c>
      <x:c r="E1060" s="14">
        <x:f>IF(B1060="","", C1060 + $F$12*$F$9*(-H1060)/IF(SQRT(G1060^2+H1060^2)=0,1,SQRT(G1060^2+H1060^2)))</x:f>
      </x:c>
      <x:c r="F1060" s="14">
        <x:f>IF(B1060="","", D1060 + $F$12*$F$9*(G1060)/IF(SQRT(G1060^2+H1060^2)=0,1,SQRT(G1060^2+H1060^2)))</x:f>
      </x:c>
      <x:c r="G1060" s="14">
        <x:f>IF(B1060="","", -$F$8*SIN(B1060) - $B$7*$F$6*SIN($F$6*B1060))</x:f>
      </x:c>
      <x:c r="H1060" s="14">
        <x:f>IF(B1060="","", $F$8*COS(B1060) - $B$7*$F$6*COS($F$6*B1060))</x:f>
      </x:c>
    </x:row>
    <x:row r="1061">
      <x:c r="A1061" s="13" t="n">
        <x:v>1042</x:v>
      </x:c>
      <x:c r="B1061" s="14">
        <x:f>IF($B$12&lt;1042,"",$B$13+(1042-1)*($B$14-$B$13)/($B$12-1))</x:f>
      </x:c>
      <x:c r="C1061" s="14">
        <x:f>IF(B1061="","",$F$8*COS(B1061) + $B$7*COS($F$6*B1061))</x:f>
      </x:c>
      <x:c r="D1061" s="14">
        <x:f>IF(B1061="","",$F$8*SIN(B1061) - $B$7*SIN($F$6*B1061))</x:f>
      </x:c>
      <x:c r="E1061" s="14">
        <x:f>IF(B1061="","", C1061 + $F$12*$F$9*(-H1061)/IF(SQRT(G1061^2+H1061^2)=0,1,SQRT(G1061^2+H1061^2)))</x:f>
      </x:c>
      <x:c r="F1061" s="14">
        <x:f>IF(B1061="","", D1061 + $F$12*$F$9*(G1061)/IF(SQRT(G1061^2+H1061^2)=0,1,SQRT(G1061^2+H1061^2)))</x:f>
      </x:c>
      <x:c r="G1061" s="14">
        <x:f>IF(B1061="","", -$F$8*SIN(B1061) - $B$7*$F$6*SIN($F$6*B1061))</x:f>
      </x:c>
      <x:c r="H1061" s="14">
        <x:f>IF(B1061="","", $F$8*COS(B1061) - $B$7*$F$6*COS($F$6*B1061))</x:f>
      </x:c>
    </x:row>
    <x:row r="1062">
      <x:c r="A1062" s="13" t="n">
        <x:v>1043</x:v>
      </x:c>
      <x:c r="B1062" s="14">
        <x:f>IF($B$12&lt;1043,"",$B$13+(1043-1)*($B$14-$B$13)/($B$12-1))</x:f>
      </x:c>
      <x:c r="C1062" s="14">
        <x:f>IF(B1062="","",$F$8*COS(B1062) + $B$7*COS($F$6*B1062))</x:f>
      </x:c>
      <x:c r="D1062" s="14">
        <x:f>IF(B1062="","",$F$8*SIN(B1062) - $B$7*SIN($F$6*B1062))</x:f>
      </x:c>
      <x:c r="E1062" s="14">
        <x:f>IF(B1062="","", C1062 + $F$12*$F$9*(-H1062)/IF(SQRT(G1062^2+H1062^2)=0,1,SQRT(G1062^2+H1062^2)))</x:f>
      </x:c>
      <x:c r="F1062" s="14">
        <x:f>IF(B1062="","", D1062 + $F$12*$F$9*(G1062)/IF(SQRT(G1062^2+H1062^2)=0,1,SQRT(G1062^2+H1062^2)))</x:f>
      </x:c>
      <x:c r="G1062" s="14">
        <x:f>IF(B1062="","", -$F$8*SIN(B1062) - $B$7*$F$6*SIN($F$6*B1062))</x:f>
      </x:c>
      <x:c r="H1062" s="14">
        <x:f>IF(B1062="","", $F$8*COS(B1062) - $B$7*$F$6*COS($F$6*B1062))</x:f>
      </x:c>
    </x:row>
    <x:row r="1063">
      <x:c r="A1063" s="13" t="n">
        <x:v>1044</x:v>
      </x:c>
      <x:c r="B1063" s="14">
        <x:f>IF($B$12&lt;1044,"",$B$13+(1044-1)*($B$14-$B$13)/($B$12-1))</x:f>
      </x:c>
      <x:c r="C1063" s="14">
        <x:f>IF(B1063="","",$F$8*COS(B1063) + $B$7*COS($F$6*B1063))</x:f>
      </x:c>
      <x:c r="D1063" s="14">
        <x:f>IF(B1063="","",$F$8*SIN(B1063) - $B$7*SIN($F$6*B1063))</x:f>
      </x:c>
      <x:c r="E1063" s="14">
        <x:f>IF(B1063="","", C1063 + $F$12*$F$9*(-H1063)/IF(SQRT(G1063^2+H1063^2)=0,1,SQRT(G1063^2+H1063^2)))</x:f>
      </x:c>
      <x:c r="F1063" s="14">
        <x:f>IF(B1063="","", D1063 + $F$12*$F$9*(G1063)/IF(SQRT(G1063^2+H1063^2)=0,1,SQRT(G1063^2+H1063^2)))</x:f>
      </x:c>
      <x:c r="G1063" s="14">
        <x:f>IF(B1063="","", -$F$8*SIN(B1063) - $B$7*$F$6*SIN($F$6*B1063))</x:f>
      </x:c>
      <x:c r="H1063" s="14">
        <x:f>IF(B1063="","", $F$8*COS(B1063) - $B$7*$F$6*COS($F$6*B1063))</x:f>
      </x:c>
    </x:row>
    <x:row r="1064">
      <x:c r="A1064" s="13" t="n">
        <x:v>1045</x:v>
      </x:c>
      <x:c r="B1064" s="14">
        <x:f>IF($B$12&lt;1045,"",$B$13+(1045-1)*($B$14-$B$13)/($B$12-1))</x:f>
      </x:c>
      <x:c r="C1064" s="14">
        <x:f>IF(B1064="","",$F$8*COS(B1064) + $B$7*COS($F$6*B1064))</x:f>
      </x:c>
      <x:c r="D1064" s="14">
        <x:f>IF(B1064="","",$F$8*SIN(B1064) - $B$7*SIN($F$6*B1064))</x:f>
      </x:c>
      <x:c r="E1064" s="14">
        <x:f>IF(B1064="","", C1064 + $F$12*$F$9*(-H1064)/IF(SQRT(G1064^2+H1064^2)=0,1,SQRT(G1064^2+H1064^2)))</x:f>
      </x:c>
      <x:c r="F1064" s="14">
        <x:f>IF(B1064="","", D1064 + $F$12*$F$9*(G1064)/IF(SQRT(G1064^2+H1064^2)=0,1,SQRT(G1064^2+H1064^2)))</x:f>
      </x:c>
      <x:c r="G1064" s="14">
        <x:f>IF(B1064="","", -$F$8*SIN(B1064) - $B$7*$F$6*SIN($F$6*B1064))</x:f>
      </x:c>
      <x:c r="H1064" s="14">
        <x:f>IF(B1064="","", $F$8*COS(B1064) - $B$7*$F$6*COS($F$6*B1064))</x:f>
      </x:c>
    </x:row>
    <x:row r="1065">
      <x:c r="A1065" s="13" t="n">
        <x:v>1046</x:v>
      </x:c>
      <x:c r="B1065" s="14">
        <x:f>IF($B$12&lt;1046,"",$B$13+(1046-1)*($B$14-$B$13)/($B$12-1))</x:f>
      </x:c>
      <x:c r="C1065" s="14">
        <x:f>IF(B1065="","",$F$8*COS(B1065) + $B$7*COS($F$6*B1065))</x:f>
      </x:c>
      <x:c r="D1065" s="14">
        <x:f>IF(B1065="","",$F$8*SIN(B1065) - $B$7*SIN($F$6*B1065))</x:f>
      </x:c>
      <x:c r="E1065" s="14">
        <x:f>IF(B1065="","", C1065 + $F$12*$F$9*(-H1065)/IF(SQRT(G1065^2+H1065^2)=0,1,SQRT(G1065^2+H1065^2)))</x:f>
      </x:c>
      <x:c r="F1065" s="14">
        <x:f>IF(B1065="","", D1065 + $F$12*$F$9*(G1065)/IF(SQRT(G1065^2+H1065^2)=0,1,SQRT(G1065^2+H1065^2)))</x:f>
      </x:c>
      <x:c r="G1065" s="14">
        <x:f>IF(B1065="","", -$F$8*SIN(B1065) - $B$7*$F$6*SIN($F$6*B1065))</x:f>
      </x:c>
      <x:c r="H1065" s="14">
        <x:f>IF(B1065="","", $F$8*COS(B1065) - $B$7*$F$6*COS($F$6*B1065))</x:f>
      </x:c>
    </x:row>
    <x:row r="1066">
      <x:c r="A1066" s="13" t="n">
        <x:v>1047</x:v>
      </x:c>
      <x:c r="B1066" s="14">
        <x:f>IF($B$12&lt;1047,"",$B$13+(1047-1)*($B$14-$B$13)/($B$12-1))</x:f>
      </x:c>
      <x:c r="C1066" s="14">
        <x:f>IF(B1066="","",$F$8*COS(B1066) + $B$7*COS($F$6*B1066))</x:f>
      </x:c>
      <x:c r="D1066" s="14">
        <x:f>IF(B1066="","",$F$8*SIN(B1066) - $B$7*SIN($F$6*B1066))</x:f>
      </x:c>
      <x:c r="E1066" s="14">
        <x:f>IF(B1066="","", C1066 + $F$12*$F$9*(-H1066)/IF(SQRT(G1066^2+H1066^2)=0,1,SQRT(G1066^2+H1066^2)))</x:f>
      </x:c>
      <x:c r="F1066" s="14">
        <x:f>IF(B1066="","", D1066 + $F$12*$F$9*(G1066)/IF(SQRT(G1066^2+H1066^2)=0,1,SQRT(G1066^2+H1066^2)))</x:f>
      </x:c>
      <x:c r="G1066" s="14">
        <x:f>IF(B1066="","", -$F$8*SIN(B1066) - $B$7*$F$6*SIN($F$6*B1066))</x:f>
      </x:c>
      <x:c r="H1066" s="14">
        <x:f>IF(B1066="","", $F$8*COS(B1066) - $B$7*$F$6*COS($F$6*B1066))</x:f>
      </x:c>
    </x:row>
    <x:row r="1067">
      <x:c r="A1067" s="13" t="n">
        <x:v>1048</x:v>
      </x:c>
      <x:c r="B1067" s="14">
        <x:f>IF($B$12&lt;1048,"",$B$13+(1048-1)*($B$14-$B$13)/($B$12-1))</x:f>
      </x:c>
      <x:c r="C1067" s="14">
        <x:f>IF(B1067="","",$F$8*COS(B1067) + $B$7*COS($F$6*B1067))</x:f>
      </x:c>
      <x:c r="D1067" s="14">
        <x:f>IF(B1067="","",$F$8*SIN(B1067) - $B$7*SIN($F$6*B1067))</x:f>
      </x:c>
      <x:c r="E1067" s="14">
        <x:f>IF(B1067="","", C1067 + $F$12*$F$9*(-H1067)/IF(SQRT(G1067^2+H1067^2)=0,1,SQRT(G1067^2+H1067^2)))</x:f>
      </x:c>
      <x:c r="F1067" s="14">
        <x:f>IF(B1067="","", D1067 + $F$12*$F$9*(G1067)/IF(SQRT(G1067^2+H1067^2)=0,1,SQRT(G1067^2+H1067^2)))</x:f>
      </x:c>
      <x:c r="G1067" s="14">
        <x:f>IF(B1067="","", -$F$8*SIN(B1067) - $B$7*$F$6*SIN($F$6*B1067))</x:f>
      </x:c>
      <x:c r="H1067" s="14">
        <x:f>IF(B1067="","", $F$8*COS(B1067) - $B$7*$F$6*COS($F$6*B1067))</x:f>
      </x:c>
    </x:row>
    <x:row r="1068">
      <x:c r="A1068" s="13" t="n">
        <x:v>1049</x:v>
      </x:c>
      <x:c r="B1068" s="14">
        <x:f>IF($B$12&lt;1049,"",$B$13+(1049-1)*($B$14-$B$13)/($B$12-1))</x:f>
      </x:c>
      <x:c r="C1068" s="14">
        <x:f>IF(B1068="","",$F$8*COS(B1068) + $B$7*COS($F$6*B1068))</x:f>
      </x:c>
      <x:c r="D1068" s="14">
        <x:f>IF(B1068="","",$F$8*SIN(B1068) - $B$7*SIN($F$6*B1068))</x:f>
      </x:c>
      <x:c r="E1068" s="14">
        <x:f>IF(B1068="","", C1068 + $F$12*$F$9*(-H1068)/IF(SQRT(G1068^2+H1068^2)=0,1,SQRT(G1068^2+H1068^2)))</x:f>
      </x:c>
      <x:c r="F1068" s="14">
        <x:f>IF(B1068="","", D1068 + $F$12*$F$9*(G1068)/IF(SQRT(G1068^2+H1068^2)=0,1,SQRT(G1068^2+H1068^2)))</x:f>
      </x:c>
      <x:c r="G1068" s="14">
        <x:f>IF(B1068="","", -$F$8*SIN(B1068) - $B$7*$F$6*SIN($F$6*B1068))</x:f>
      </x:c>
      <x:c r="H1068" s="14">
        <x:f>IF(B1068="","", $F$8*COS(B1068) - $B$7*$F$6*COS($F$6*B1068))</x:f>
      </x:c>
    </x:row>
    <x:row r="1069">
      <x:c r="A1069" s="13" t="n">
        <x:v>1050</x:v>
      </x:c>
      <x:c r="B1069" s="14">
        <x:f>IF($B$12&lt;1050,"",$B$13+(1050-1)*($B$14-$B$13)/($B$12-1))</x:f>
      </x:c>
      <x:c r="C1069" s="14">
        <x:f>IF(B1069="","",$F$8*COS(B1069) + $B$7*COS($F$6*B1069))</x:f>
      </x:c>
      <x:c r="D1069" s="14">
        <x:f>IF(B1069="","",$F$8*SIN(B1069) - $B$7*SIN($F$6*B1069))</x:f>
      </x:c>
      <x:c r="E1069" s="14">
        <x:f>IF(B1069="","", C1069 + $F$12*$F$9*(-H1069)/IF(SQRT(G1069^2+H1069^2)=0,1,SQRT(G1069^2+H1069^2)))</x:f>
      </x:c>
      <x:c r="F1069" s="14">
        <x:f>IF(B1069="","", D1069 + $F$12*$F$9*(G1069)/IF(SQRT(G1069^2+H1069^2)=0,1,SQRT(G1069^2+H1069^2)))</x:f>
      </x:c>
      <x:c r="G1069" s="14">
        <x:f>IF(B1069="","", -$F$8*SIN(B1069) - $B$7*$F$6*SIN($F$6*B1069))</x:f>
      </x:c>
      <x:c r="H1069" s="14">
        <x:f>IF(B1069="","", $F$8*COS(B1069) - $B$7*$F$6*COS($F$6*B1069))</x:f>
      </x:c>
    </x:row>
    <x:row r="1070">
      <x:c r="A1070" s="13" t="n">
        <x:v>1051</x:v>
      </x:c>
      <x:c r="B1070" s="14">
        <x:f>IF($B$12&lt;1051,"",$B$13+(1051-1)*($B$14-$B$13)/($B$12-1))</x:f>
      </x:c>
      <x:c r="C1070" s="14">
        <x:f>IF(B1070="","",$F$8*COS(B1070) + $B$7*COS($F$6*B1070))</x:f>
      </x:c>
      <x:c r="D1070" s="14">
        <x:f>IF(B1070="","",$F$8*SIN(B1070) - $B$7*SIN($F$6*B1070))</x:f>
      </x:c>
      <x:c r="E1070" s="14">
        <x:f>IF(B1070="","", C1070 + $F$12*$F$9*(-H1070)/IF(SQRT(G1070^2+H1070^2)=0,1,SQRT(G1070^2+H1070^2)))</x:f>
      </x:c>
      <x:c r="F1070" s="14">
        <x:f>IF(B1070="","", D1070 + $F$12*$F$9*(G1070)/IF(SQRT(G1070^2+H1070^2)=0,1,SQRT(G1070^2+H1070^2)))</x:f>
      </x:c>
      <x:c r="G1070" s="14">
        <x:f>IF(B1070="","", -$F$8*SIN(B1070) - $B$7*$F$6*SIN($F$6*B1070))</x:f>
      </x:c>
      <x:c r="H1070" s="14">
        <x:f>IF(B1070="","", $F$8*COS(B1070) - $B$7*$F$6*COS($F$6*B1070))</x:f>
      </x:c>
    </x:row>
    <x:row r="1071">
      <x:c r="A1071" s="13" t="n">
        <x:v>1052</x:v>
      </x:c>
      <x:c r="B1071" s="14">
        <x:f>IF($B$12&lt;1052,"",$B$13+(1052-1)*($B$14-$B$13)/($B$12-1))</x:f>
      </x:c>
      <x:c r="C1071" s="14">
        <x:f>IF(B1071="","",$F$8*COS(B1071) + $B$7*COS($F$6*B1071))</x:f>
      </x:c>
      <x:c r="D1071" s="14">
        <x:f>IF(B1071="","",$F$8*SIN(B1071) - $B$7*SIN($F$6*B1071))</x:f>
      </x:c>
      <x:c r="E1071" s="14">
        <x:f>IF(B1071="","", C1071 + $F$12*$F$9*(-H1071)/IF(SQRT(G1071^2+H1071^2)=0,1,SQRT(G1071^2+H1071^2)))</x:f>
      </x:c>
      <x:c r="F1071" s="14">
        <x:f>IF(B1071="","", D1071 + $F$12*$F$9*(G1071)/IF(SQRT(G1071^2+H1071^2)=0,1,SQRT(G1071^2+H1071^2)))</x:f>
      </x:c>
      <x:c r="G1071" s="14">
        <x:f>IF(B1071="","", -$F$8*SIN(B1071) - $B$7*$F$6*SIN($F$6*B1071))</x:f>
      </x:c>
      <x:c r="H1071" s="14">
        <x:f>IF(B1071="","", $F$8*COS(B1071) - $B$7*$F$6*COS($F$6*B1071))</x:f>
      </x:c>
    </x:row>
    <x:row r="1072">
      <x:c r="A1072" s="13" t="n">
        <x:v>1053</x:v>
      </x:c>
      <x:c r="B1072" s="14">
        <x:f>IF($B$12&lt;1053,"",$B$13+(1053-1)*($B$14-$B$13)/($B$12-1))</x:f>
      </x:c>
      <x:c r="C1072" s="14">
        <x:f>IF(B1072="","",$F$8*COS(B1072) + $B$7*COS($F$6*B1072))</x:f>
      </x:c>
      <x:c r="D1072" s="14">
        <x:f>IF(B1072="","",$F$8*SIN(B1072) - $B$7*SIN($F$6*B1072))</x:f>
      </x:c>
      <x:c r="E1072" s="14">
        <x:f>IF(B1072="","", C1072 + $F$12*$F$9*(-H1072)/IF(SQRT(G1072^2+H1072^2)=0,1,SQRT(G1072^2+H1072^2)))</x:f>
      </x:c>
      <x:c r="F1072" s="14">
        <x:f>IF(B1072="","", D1072 + $F$12*$F$9*(G1072)/IF(SQRT(G1072^2+H1072^2)=0,1,SQRT(G1072^2+H1072^2)))</x:f>
      </x:c>
      <x:c r="G1072" s="14">
        <x:f>IF(B1072="","", -$F$8*SIN(B1072) - $B$7*$F$6*SIN($F$6*B1072))</x:f>
      </x:c>
      <x:c r="H1072" s="14">
        <x:f>IF(B1072="","", $F$8*COS(B1072) - $B$7*$F$6*COS($F$6*B1072))</x:f>
      </x:c>
    </x:row>
    <x:row r="1073">
      <x:c r="A1073" s="13" t="n">
        <x:v>1054</x:v>
      </x:c>
      <x:c r="B1073" s="14">
        <x:f>IF($B$12&lt;1054,"",$B$13+(1054-1)*($B$14-$B$13)/($B$12-1))</x:f>
      </x:c>
      <x:c r="C1073" s="14">
        <x:f>IF(B1073="","",$F$8*COS(B1073) + $B$7*COS($F$6*B1073))</x:f>
      </x:c>
      <x:c r="D1073" s="14">
        <x:f>IF(B1073="","",$F$8*SIN(B1073) - $B$7*SIN($F$6*B1073))</x:f>
      </x:c>
      <x:c r="E1073" s="14">
        <x:f>IF(B1073="","", C1073 + $F$12*$F$9*(-H1073)/IF(SQRT(G1073^2+H1073^2)=0,1,SQRT(G1073^2+H1073^2)))</x:f>
      </x:c>
      <x:c r="F1073" s="14">
        <x:f>IF(B1073="","", D1073 + $F$12*$F$9*(G1073)/IF(SQRT(G1073^2+H1073^2)=0,1,SQRT(G1073^2+H1073^2)))</x:f>
      </x:c>
      <x:c r="G1073" s="14">
        <x:f>IF(B1073="","", -$F$8*SIN(B1073) - $B$7*$F$6*SIN($F$6*B1073))</x:f>
      </x:c>
      <x:c r="H1073" s="14">
        <x:f>IF(B1073="","", $F$8*COS(B1073) - $B$7*$F$6*COS($F$6*B1073))</x:f>
      </x:c>
    </x:row>
    <x:row r="1074">
      <x:c r="A1074" s="13" t="n">
        <x:v>1055</x:v>
      </x:c>
      <x:c r="B1074" s="14">
        <x:f>IF($B$12&lt;1055,"",$B$13+(1055-1)*($B$14-$B$13)/($B$12-1))</x:f>
      </x:c>
      <x:c r="C1074" s="14">
        <x:f>IF(B1074="","",$F$8*COS(B1074) + $B$7*COS($F$6*B1074))</x:f>
      </x:c>
      <x:c r="D1074" s="14">
        <x:f>IF(B1074="","",$F$8*SIN(B1074) - $B$7*SIN($F$6*B1074))</x:f>
      </x:c>
      <x:c r="E1074" s="14">
        <x:f>IF(B1074="","", C1074 + $F$12*$F$9*(-H1074)/IF(SQRT(G1074^2+H1074^2)=0,1,SQRT(G1074^2+H1074^2)))</x:f>
      </x:c>
      <x:c r="F1074" s="14">
        <x:f>IF(B1074="","", D1074 + $F$12*$F$9*(G1074)/IF(SQRT(G1074^2+H1074^2)=0,1,SQRT(G1074^2+H1074^2)))</x:f>
      </x:c>
      <x:c r="G1074" s="14">
        <x:f>IF(B1074="","", -$F$8*SIN(B1074) - $B$7*$F$6*SIN($F$6*B1074))</x:f>
      </x:c>
      <x:c r="H1074" s="14">
        <x:f>IF(B1074="","", $F$8*COS(B1074) - $B$7*$F$6*COS($F$6*B1074))</x:f>
      </x:c>
    </x:row>
    <x:row r="1075">
      <x:c r="A1075" s="13" t="n">
        <x:v>1056</x:v>
      </x:c>
      <x:c r="B1075" s="14">
        <x:f>IF($B$12&lt;1056,"",$B$13+(1056-1)*($B$14-$B$13)/($B$12-1))</x:f>
      </x:c>
      <x:c r="C1075" s="14">
        <x:f>IF(B1075="","",$F$8*COS(B1075) + $B$7*COS($F$6*B1075))</x:f>
      </x:c>
      <x:c r="D1075" s="14">
        <x:f>IF(B1075="","",$F$8*SIN(B1075) - $B$7*SIN($F$6*B1075))</x:f>
      </x:c>
      <x:c r="E1075" s="14">
        <x:f>IF(B1075="","", C1075 + $F$12*$F$9*(-H1075)/IF(SQRT(G1075^2+H1075^2)=0,1,SQRT(G1075^2+H1075^2)))</x:f>
      </x:c>
      <x:c r="F1075" s="14">
        <x:f>IF(B1075="","", D1075 + $F$12*$F$9*(G1075)/IF(SQRT(G1075^2+H1075^2)=0,1,SQRT(G1075^2+H1075^2)))</x:f>
      </x:c>
      <x:c r="G1075" s="14">
        <x:f>IF(B1075="","", -$F$8*SIN(B1075) - $B$7*$F$6*SIN($F$6*B1075))</x:f>
      </x:c>
      <x:c r="H1075" s="14">
        <x:f>IF(B1075="","", $F$8*COS(B1075) - $B$7*$F$6*COS($F$6*B1075))</x:f>
      </x:c>
    </x:row>
    <x:row r="1076">
      <x:c r="A1076" s="13" t="n">
        <x:v>1057</x:v>
      </x:c>
      <x:c r="B1076" s="14">
        <x:f>IF($B$12&lt;1057,"",$B$13+(1057-1)*($B$14-$B$13)/($B$12-1))</x:f>
      </x:c>
      <x:c r="C1076" s="14">
        <x:f>IF(B1076="","",$F$8*COS(B1076) + $B$7*COS($F$6*B1076))</x:f>
      </x:c>
      <x:c r="D1076" s="14">
        <x:f>IF(B1076="","",$F$8*SIN(B1076) - $B$7*SIN($F$6*B1076))</x:f>
      </x:c>
      <x:c r="E1076" s="14">
        <x:f>IF(B1076="","", C1076 + $F$12*$F$9*(-H1076)/IF(SQRT(G1076^2+H1076^2)=0,1,SQRT(G1076^2+H1076^2)))</x:f>
      </x:c>
      <x:c r="F1076" s="14">
        <x:f>IF(B1076="","", D1076 + $F$12*$F$9*(G1076)/IF(SQRT(G1076^2+H1076^2)=0,1,SQRT(G1076^2+H1076^2)))</x:f>
      </x:c>
      <x:c r="G1076" s="14">
        <x:f>IF(B1076="","", -$F$8*SIN(B1076) - $B$7*$F$6*SIN($F$6*B1076))</x:f>
      </x:c>
      <x:c r="H1076" s="14">
        <x:f>IF(B1076="","", $F$8*COS(B1076) - $B$7*$F$6*COS($F$6*B1076))</x:f>
      </x:c>
    </x:row>
    <x:row r="1077">
      <x:c r="A1077" s="13" t="n">
        <x:v>1058</x:v>
      </x:c>
      <x:c r="B1077" s="14">
        <x:f>IF($B$12&lt;1058,"",$B$13+(1058-1)*($B$14-$B$13)/($B$12-1))</x:f>
      </x:c>
      <x:c r="C1077" s="14">
        <x:f>IF(B1077="","",$F$8*COS(B1077) + $B$7*COS($F$6*B1077))</x:f>
      </x:c>
      <x:c r="D1077" s="14">
        <x:f>IF(B1077="","",$F$8*SIN(B1077) - $B$7*SIN($F$6*B1077))</x:f>
      </x:c>
      <x:c r="E1077" s="14">
        <x:f>IF(B1077="","", C1077 + $F$12*$F$9*(-H1077)/IF(SQRT(G1077^2+H1077^2)=0,1,SQRT(G1077^2+H1077^2)))</x:f>
      </x:c>
      <x:c r="F1077" s="14">
        <x:f>IF(B1077="","", D1077 + $F$12*$F$9*(G1077)/IF(SQRT(G1077^2+H1077^2)=0,1,SQRT(G1077^2+H1077^2)))</x:f>
      </x:c>
      <x:c r="G1077" s="14">
        <x:f>IF(B1077="","", -$F$8*SIN(B1077) - $B$7*$F$6*SIN($F$6*B1077))</x:f>
      </x:c>
      <x:c r="H1077" s="14">
        <x:f>IF(B1077="","", $F$8*COS(B1077) - $B$7*$F$6*COS($F$6*B1077))</x:f>
      </x:c>
    </x:row>
    <x:row r="1078">
      <x:c r="A1078" s="13" t="n">
        <x:v>1059</x:v>
      </x:c>
      <x:c r="B1078" s="14">
        <x:f>IF($B$12&lt;1059,"",$B$13+(1059-1)*($B$14-$B$13)/($B$12-1))</x:f>
      </x:c>
      <x:c r="C1078" s="14">
        <x:f>IF(B1078="","",$F$8*COS(B1078) + $B$7*COS($F$6*B1078))</x:f>
      </x:c>
      <x:c r="D1078" s="14">
        <x:f>IF(B1078="","",$F$8*SIN(B1078) - $B$7*SIN($F$6*B1078))</x:f>
      </x:c>
      <x:c r="E1078" s="14">
        <x:f>IF(B1078="","", C1078 + $F$12*$F$9*(-H1078)/IF(SQRT(G1078^2+H1078^2)=0,1,SQRT(G1078^2+H1078^2)))</x:f>
      </x:c>
      <x:c r="F1078" s="14">
        <x:f>IF(B1078="","", D1078 + $F$12*$F$9*(G1078)/IF(SQRT(G1078^2+H1078^2)=0,1,SQRT(G1078^2+H1078^2)))</x:f>
      </x:c>
      <x:c r="G1078" s="14">
        <x:f>IF(B1078="","", -$F$8*SIN(B1078) - $B$7*$F$6*SIN($F$6*B1078))</x:f>
      </x:c>
      <x:c r="H1078" s="14">
        <x:f>IF(B1078="","", $F$8*COS(B1078) - $B$7*$F$6*COS($F$6*B1078))</x:f>
      </x:c>
    </x:row>
    <x:row r="1079">
      <x:c r="A1079" s="13" t="n">
        <x:v>1060</x:v>
      </x:c>
      <x:c r="B1079" s="14">
        <x:f>IF($B$12&lt;1060,"",$B$13+(1060-1)*($B$14-$B$13)/($B$12-1))</x:f>
      </x:c>
      <x:c r="C1079" s="14">
        <x:f>IF(B1079="","",$F$8*COS(B1079) + $B$7*COS($F$6*B1079))</x:f>
      </x:c>
      <x:c r="D1079" s="14">
        <x:f>IF(B1079="","",$F$8*SIN(B1079) - $B$7*SIN($F$6*B1079))</x:f>
      </x:c>
      <x:c r="E1079" s="14">
        <x:f>IF(B1079="","", C1079 + $F$12*$F$9*(-H1079)/IF(SQRT(G1079^2+H1079^2)=0,1,SQRT(G1079^2+H1079^2)))</x:f>
      </x:c>
      <x:c r="F1079" s="14">
        <x:f>IF(B1079="","", D1079 + $F$12*$F$9*(G1079)/IF(SQRT(G1079^2+H1079^2)=0,1,SQRT(G1079^2+H1079^2)))</x:f>
      </x:c>
      <x:c r="G1079" s="14">
        <x:f>IF(B1079="","", -$F$8*SIN(B1079) - $B$7*$F$6*SIN($F$6*B1079))</x:f>
      </x:c>
      <x:c r="H1079" s="14">
        <x:f>IF(B1079="","", $F$8*COS(B1079) - $B$7*$F$6*COS($F$6*B1079))</x:f>
      </x:c>
    </x:row>
    <x:row r="1080">
      <x:c r="A1080" s="13" t="n">
        <x:v>1061</x:v>
      </x:c>
      <x:c r="B1080" s="14">
        <x:f>IF($B$12&lt;1061,"",$B$13+(1061-1)*($B$14-$B$13)/($B$12-1))</x:f>
      </x:c>
      <x:c r="C1080" s="14">
        <x:f>IF(B1080="","",$F$8*COS(B1080) + $B$7*COS($F$6*B1080))</x:f>
      </x:c>
      <x:c r="D1080" s="14">
        <x:f>IF(B1080="","",$F$8*SIN(B1080) - $B$7*SIN($F$6*B1080))</x:f>
      </x:c>
      <x:c r="E1080" s="14">
        <x:f>IF(B1080="","", C1080 + $F$12*$F$9*(-H1080)/IF(SQRT(G1080^2+H1080^2)=0,1,SQRT(G1080^2+H1080^2)))</x:f>
      </x:c>
      <x:c r="F1080" s="14">
        <x:f>IF(B1080="","", D1080 + $F$12*$F$9*(G1080)/IF(SQRT(G1080^2+H1080^2)=0,1,SQRT(G1080^2+H1080^2)))</x:f>
      </x:c>
      <x:c r="G1080" s="14">
        <x:f>IF(B1080="","", -$F$8*SIN(B1080) - $B$7*$F$6*SIN($F$6*B1080))</x:f>
      </x:c>
      <x:c r="H1080" s="14">
        <x:f>IF(B1080="","", $F$8*COS(B1080) - $B$7*$F$6*COS($F$6*B1080))</x:f>
      </x:c>
    </x:row>
    <x:row r="1081">
      <x:c r="A1081" s="13" t="n">
        <x:v>1062</x:v>
      </x:c>
      <x:c r="B1081" s="14">
        <x:f>IF($B$12&lt;1062,"",$B$13+(1062-1)*($B$14-$B$13)/($B$12-1))</x:f>
      </x:c>
      <x:c r="C1081" s="14">
        <x:f>IF(B1081="","",$F$8*COS(B1081) + $B$7*COS($F$6*B1081))</x:f>
      </x:c>
      <x:c r="D1081" s="14">
        <x:f>IF(B1081="","",$F$8*SIN(B1081) - $B$7*SIN($F$6*B1081))</x:f>
      </x:c>
      <x:c r="E1081" s="14">
        <x:f>IF(B1081="","", C1081 + $F$12*$F$9*(-H1081)/IF(SQRT(G1081^2+H1081^2)=0,1,SQRT(G1081^2+H1081^2)))</x:f>
      </x:c>
      <x:c r="F1081" s="14">
        <x:f>IF(B1081="","", D1081 + $F$12*$F$9*(G1081)/IF(SQRT(G1081^2+H1081^2)=0,1,SQRT(G1081^2+H1081^2)))</x:f>
      </x:c>
      <x:c r="G1081" s="14">
        <x:f>IF(B1081="","", -$F$8*SIN(B1081) - $B$7*$F$6*SIN($F$6*B1081))</x:f>
      </x:c>
      <x:c r="H1081" s="14">
        <x:f>IF(B1081="","", $F$8*COS(B1081) - $B$7*$F$6*COS($F$6*B1081))</x:f>
      </x:c>
    </x:row>
    <x:row r="1082">
      <x:c r="A1082" s="13" t="n">
        <x:v>1063</x:v>
      </x:c>
      <x:c r="B1082" s="14">
        <x:f>IF($B$12&lt;1063,"",$B$13+(1063-1)*($B$14-$B$13)/($B$12-1))</x:f>
      </x:c>
      <x:c r="C1082" s="14">
        <x:f>IF(B1082="","",$F$8*COS(B1082) + $B$7*COS($F$6*B1082))</x:f>
      </x:c>
      <x:c r="D1082" s="14">
        <x:f>IF(B1082="","",$F$8*SIN(B1082) - $B$7*SIN($F$6*B1082))</x:f>
      </x:c>
      <x:c r="E1082" s="14">
        <x:f>IF(B1082="","", C1082 + $F$12*$F$9*(-H1082)/IF(SQRT(G1082^2+H1082^2)=0,1,SQRT(G1082^2+H1082^2)))</x:f>
      </x:c>
      <x:c r="F1082" s="14">
        <x:f>IF(B1082="","", D1082 + $F$12*$F$9*(G1082)/IF(SQRT(G1082^2+H1082^2)=0,1,SQRT(G1082^2+H1082^2)))</x:f>
      </x:c>
      <x:c r="G1082" s="14">
        <x:f>IF(B1082="","", -$F$8*SIN(B1082) - $B$7*$F$6*SIN($F$6*B1082))</x:f>
      </x:c>
      <x:c r="H1082" s="14">
        <x:f>IF(B1082="","", $F$8*COS(B1082) - $B$7*$F$6*COS($F$6*B1082))</x:f>
      </x:c>
    </x:row>
    <x:row r="1083">
      <x:c r="A1083" s="13" t="n">
        <x:v>1064</x:v>
      </x:c>
      <x:c r="B1083" s="14">
        <x:f>IF($B$12&lt;1064,"",$B$13+(1064-1)*($B$14-$B$13)/($B$12-1))</x:f>
      </x:c>
      <x:c r="C1083" s="14">
        <x:f>IF(B1083="","",$F$8*COS(B1083) + $B$7*COS($F$6*B1083))</x:f>
      </x:c>
      <x:c r="D1083" s="14">
        <x:f>IF(B1083="","",$F$8*SIN(B1083) - $B$7*SIN($F$6*B1083))</x:f>
      </x:c>
      <x:c r="E1083" s="14">
        <x:f>IF(B1083="","", C1083 + $F$12*$F$9*(-H1083)/IF(SQRT(G1083^2+H1083^2)=0,1,SQRT(G1083^2+H1083^2)))</x:f>
      </x:c>
      <x:c r="F1083" s="14">
        <x:f>IF(B1083="","", D1083 + $F$12*$F$9*(G1083)/IF(SQRT(G1083^2+H1083^2)=0,1,SQRT(G1083^2+H1083^2)))</x:f>
      </x:c>
      <x:c r="G1083" s="14">
        <x:f>IF(B1083="","", -$F$8*SIN(B1083) - $B$7*$F$6*SIN($F$6*B1083))</x:f>
      </x:c>
      <x:c r="H1083" s="14">
        <x:f>IF(B1083="","", $F$8*COS(B1083) - $B$7*$F$6*COS($F$6*B1083))</x:f>
      </x:c>
    </x:row>
    <x:row r="1084">
      <x:c r="A1084" s="13" t="n">
        <x:v>1065</x:v>
      </x:c>
      <x:c r="B1084" s="14">
        <x:f>IF($B$12&lt;1065,"",$B$13+(1065-1)*($B$14-$B$13)/($B$12-1))</x:f>
      </x:c>
      <x:c r="C1084" s="14">
        <x:f>IF(B1084="","",$F$8*COS(B1084) + $B$7*COS($F$6*B1084))</x:f>
      </x:c>
      <x:c r="D1084" s="14">
        <x:f>IF(B1084="","",$F$8*SIN(B1084) - $B$7*SIN($F$6*B1084))</x:f>
      </x:c>
      <x:c r="E1084" s="14">
        <x:f>IF(B1084="","", C1084 + $F$12*$F$9*(-H1084)/IF(SQRT(G1084^2+H1084^2)=0,1,SQRT(G1084^2+H1084^2)))</x:f>
      </x:c>
      <x:c r="F1084" s="14">
        <x:f>IF(B1084="","", D1084 + $F$12*$F$9*(G1084)/IF(SQRT(G1084^2+H1084^2)=0,1,SQRT(G1084^2+H1084^2)))</x:f>
      </x:c>
      <x:c r="G1084" s="14">
        <x:f>IF(B1084="","", -$F$8*SIN(B1084) - $B$7*$F$6*SIN($F$6*B1084))</x:f>
      </x:c>
      <x:c r="H1084" s="14">
        <x:f>IF(B1084="","", $F$8*COS(B1084) - $B$7*$F$6*COS($F$6*B1084))</x:f>
      </x:c>
    </x:row>
    <x:row r="1085">
      <x:c r="A1085" s="13" t="n">
        <x:v>1066</x:v>
      </x:c>
      <x:c r="B1085" s="14">
        <x:f>IF($B$12&lt;1066,"",$B$13+(1066-1)*($B$14-$B$13)/($B$12-1))</x:f>
      </x:c>
      <x:c r="C1085" s="14">
        <x:f>IF(B1085="","",$F$8*COS(B1085) + $B$7*COS($F$6*B1085))</x:f>
      </x:c>
      <x:c r="D1085" s="14">
        <x:f>IF(B1085="","",$F$8*SIN(B1085) - $B$7*SIN($F$6*B1085))</x:f>
      </x:c>
      <x:c r="E1085" s="14">
        <x:f>IF(B1085="","", C1085 + $F$12*$F$9*(-H1085)/IF(SQRT(G1085^2+H1085^2)=0,1,SQRT(G1085^2+H1085^2)))</x:f>
      </x:c>
      <x:c r="F1085" s="14">
        <x:f>IF(B1085="","", D1085 + $F$12*$F$9*(G1085)/IF(SQRT(G1085^2+H1085^2)=0,1,SQRT(G1085^2+H1085^2)))</x:f>
      </x:c>
      <x:c r="G1085" s="14">
        <x:f>IF(B1085="","", -$F$8*SIN(B1085) - $B$7*$F$6*SIN($F$6*B1085))</x:f>
      </x:c>
      <x:c r="H1085" s="14">
        <x:f>IF(B1085="","", $F$8*COS(B1085) - $B$7*$F$6*COS($F$6*B1085))</x:f>
      </x:c>
    </x:row>
    <x:row r="1086">
      <x:c r="A1086" s="13" t="n">
        <x:v>1067</x:v>
      </x:c>
      <x:c r="B1086" s="14">
        <x:f>IF($B$12&lt;1067,"",$B$13+(1067-1)*($B$14-$B$13)/($B$12-1))</x:f>
      </x:c>
      <x:c r="C1086" s="14">
        <x:f>IF(B1086="","",$F$8*COS(B1086) + $B$7*COS($F$6*B1086))</x:f>
      </x:c>
      <x:c r="D1086" s="14">
        <x:f>IF(B1086="","",$F$8*SIN(B1086) - $B$7*SIN($F$6*B1086))</x:f>
      </x:c>
      <x:c r="E1086" s="14">
        <x:f>IF(B1086="","", C1086 + $F$12*$F$9*(-H1086)/IF(SQRT(G1086^2+H1086^2)=0,1,SQRT(G1086^2+H1086^2)))</x:f>
      </x:c>
      <x:c r="F1086" s="14">
        <x:f>IF(B1086="","", D1086 + $F$12*$F$9*(G1086)/IF(SQRT(G1086^2+H1086^2)=0,1,SQRT(G1086^2+H1086^2)))</x:f>
      </x:c>
      <x:c r="G1086" s="14">
        <x:f>IF(B1086="","", -$F$8*SIN(B1086) - $B$7*$F$6*SIN($F$6*B1086))</x:f>
      </x:c>
      <x:c r="H1086" s="14">
        <x:f>IF(B1086="","", $F$8*COS(B1086) - $B$7*$F$6*COS($F$6*B1086))</x:f>
      </x:c>
    </x:row>
    <x:row r="1087">
      <x:c r="A1087" s="13" t="n">
        <x:v>1068</x:v>
      </x:c>
      <x:c r="B1087" s="14">
        <x:f>IF($B$12&lt;1068,"",$B$13+(1068-1)*($B$14-$B$13)/($B$12-1))</x:f>
      </x:c>
      <x:c r="C1087" s="14">
        <x:f>IF(B1087="","",$F$8*COS(B1087) + $B$7*COS($F$6*B1087))</x:f>
      </x:c>
      <x:c r="D1087" s="14">
        <x:f>IF(B1087="","",$F$8*SIN(B1087) - $B$7*SIN($F$6*B1087))</x:f>
      </x:c>
      <x:c r="E1087" s="14">
        <x:f>IF(B1087="","", C1087 + $F$12*$F$9*(-H1087)/IF(SQRT(G1087^2+H1087^2)=0,1,SQRT(G1087^2+H1087^2)))</x:f>
      </x:c>
      <x:c r="F1087" s="14">
        <x:f>IF(B1087="","", D1087 + $F$12*$F$9*(G1087)/IF(SQRT(G1087^2+H1087^2)=0,1,SQRT(G1087^2+H1087^2)))</x:f>
      </x:c>
      <x:c r="G1087" s="14">
        <x:f>IF(B1087="","", -$F$8*SIN(B1087) - $B$7*$F$6*SIN($F$6*B1087))</x:f>
      </x:c>
      <x:c r="H1087" s="14">
        <x:f>IF(B1087="","", $F$8*COS(B1087) - $B$7*$F$6*COS($F$6*B1087))</x:f>
      </x:c>
    </x:row>
    <x:row r="1088">
      <x:c r="A1088" s="13" t="n">
        <x:v>1069</x:v>
      </x:c>
      <x:c r="B1088" s="14">
        <x:f>IF($B$12&lt;1069,"",$B$13+(1069-1)*($B$14-$B$13)/($B$12-1))</x:f>
      </x:c>
      <x:c r="C1088" s="14">
        <x:f>IF(B1088="","",$F$8*COS(B1088) + $B$7*COS($F$6*B1088))</x:f>
      </x:c>
      <x:c r="D1088" s="14">
        <x:f>IF(B1088="","",$F$8*SIN(B1088) - $B$7*SIN($F$6*B1088))</x:f>
      </x:c>
      <x:c r="E1088" s="14">
        <x:f>IF(B1088="","", C1088 + $F$12*$F$9*(-H1088)/IF(SQRT(G1088^2+H1088^2)=0,1,SQRT(G1088^2+H1088^2)))</x:f>
      </x:c>
      <x:c r="F1088" s="14">
        <x:f>IF(B1088="","", D1088 + $F$12*$F$9*(G1088)/IF(SQRT(G1088^2+H1088^2)=0,1,SQRT(G1088^2+H1088^2)))</x:f>
      </x:c>
      <x:c r="G1088" s="14">
        <x:f>IF(B1088="","", -$F$8*SIN(B1088) - $B$7*$F$6*SIN($F$6*B1088))</x:f>
      </x:c>
      <x:c r="H1088" s="14">
        <x:f>IF(B1088="","", $F$8*COS(B1088) - $B$7*$F$6*COS($F$6*B1088))</x:f>
      </x:c>
    </x:row>
    <x:row r="1089">
      <x:c r="A1089" s="13" t="n">
        <x:v>1070</x:v>
      </x:c>
      <x:c r="B1089" s="14">
        <x:f>IF($B$12&lt;1070,"",$B$13+(1070-1)*($B$14-$B$13)/($B$12-1))</x:f>
      </x:c>
      <x:c r="C1089" s="14">
        <x:f>IF(B1089="","",$F$8*COS(B1089) + $B$7*COS($F$6*B1089))</x:f>
      </x:c>
      <x:c r="D1089" s="14">
        <x:f>IF(B1089="","",$F$8*SIN(B1089) - $B$7*SIN($F$6*B1089))</x:f>
      </x:c>
      <x:c r="E1089" s="14">
        <x:f>IF(B1089="","", C1089 + $F$12*$F$9*(-H1089)/IF(SQRT(G1089^2+H1089^2)=0,1,SQRT(G1089^2+H1089^2)))</x:f>
      </x:c>
      <x:c r="F1089" s="14">
        <x:f>IF(B1089="","", D1089 + $F$12*$F$9*(G1089)/IF(SQRT(G1089^2+H1089^2)=0,1,SQRT(G1089^2+H1089^2)))</x:f>
      </x:c>
      <x:c r="G1089" s="14">
        <x:f>IF(B1089="","", -$F$8*SIN(B1089) - $B$7*$F$6*SIN($F$6*B1089))</x:f>
      </x:c>
      <x:c r="H1089" s="14">
        <x:f>IF(B1089="","", $F$8*COS(B1089) - $B$7*$F$6*COS($F$6*B1089))</x:f>
      </x:c>
    </x:row>
    <x:row r="1090">
      <x:c r="A1090" s="13" t="n">
        <x:v>1071</x:v>
      </x:c>
      <x:c r="B1090" s="14">
        <x:f>IF($B$12&lt;1071,"",$B$13+(1071-1)*($B$14-$B$13)/($B$12-1))</x:f>
      </x:c>
      <x:c r="C1090" s="14">
        <x:f>IF(B1090="","",$F$8*COS(B1090) + $B$7*COS($F$6*B1090))</x:f>
      </x:c>
      <x:c r="D1090" s="14">
        <x:f>IF(B1090="","",$F$8*SIN(B1090) - $B$7*SIN($F$6*B1090))</x:f>
      </x:c>
      <x:c r="E1090" s="14">
        <x:f>IF(B1090="","", C1090 + $F$12*$F$9*(-H1090)/IF(SQRT(G1090^2+H1090^2)=0,1,SQRT(G1090^2+H1090^2)))</x:f>
      </x:c>
      <x:c r="F1090" s="14">
        <x:f>IF(B1090="","", D1090 + $F$12*$F$9*(G1090)/IF(SQRT(G1090^2+H1090^2)=0,1,SQRT(G1090^2+H1090^2)))</x:f>
      </x:c>
      <x:c r="G1090" s="14">
        <x:f>IF(B1090="","", -$F$8*SIN(B1090) - $B$7*$F$6*SIN($F$6*B1090))</x:f>
      </x:c>
      <x:c r="H1090" s="14">
        <x:f>IF(B1090="","", $F$8*COS(B1090) - $B$7*$F$6*COS($F$6*B1090))</x:f>
      </x:c>
    </x:row>
    <x:row r="1091">
      <x:c r="A1091" s="13" t="n">
        <x:v>1072</x:v>
      </x:c>
      <x:c r="B1091" s="14">
        <x:f>IF($B$12&lt;1072,"",$B$13+(1072-1)*($B$14-$B$13)/($B$12-1))</x:f>
      </x:c>
      <x:c r="C1091" s="14">
        <x:f>IF(B1091="","",$F$8*COS(B1091) + $B$7*COS($F$6*B1091))</x:f>
      </x:c>
      <x:c r="D1091" s="14">
        <x:f>IF(B1091="","",$F$8*SIN(B1091) - $B$7*SIN($F$6*B1091))</x:f>
      </x:c>
      <x:c r="E1091" s="14">
        <x:f>IF(B1091="","", C1091 + $F$12*$F$9*(-H1091)/IF(SQRT(G1091^2+H1091^2)=0,1,SQRT(G1091^2+H1091^2)))</x:f>
      </x:c>
      <x:c r="F1091" s="14">
        <x:f>IF(B1091="","", D1091 + $F$12*$F$9*(G1091)/IF(SQRT(G1091^2+H1091^2)=0,1,SQRT(G1091^2+H1091^2)))</x:f>
      </x:c>
      <x:c r="G1091" s="14">
        <x:f>IF(B1091="","", -$F$8*SIN(B1091) - $B$7*$F$6*SIN($F$6*B1091))</x:f>
      </x:c>
      <x:c r="H1091" s="14">
        <x:f>IF(B1091="","", $F$8*COS(B1091) - $B$7*$F$6*COS($F$6*B1091))</x:f>
      </x:c>
    </x:row>
    <x:row r="1092">
      <x:c r="A1092" s="13" t="n">
        <x:v>1073</x:v>
      </x:c>
      <x:c r="B1092" s="14">
        <x:f>IF($B$12&lt;1073,"",$B$13+(1073-1)*($B$14-$B$13)/($B$12-1))</x:f>
      </x:c>
      <x:c r="C1092" s="14">
        <x:f>IF(B1092="","",$F$8*COS(B1092) + $B$7*COS($F$6*B1092))</x:f>
      </x:c>
      <x:c r="D1092" s="14">
        <x:f>IF(B1092="","",$F$8*SIN(B1092) - $B$7*SIN($F$6*B1092))</x:f>
      </x:c>
      <x:c r="E1092" s="14">
        <x:f>IF(B1092="","", C1092 + $F$12*$F$9*(-H1092)/IF(SQRT(G1092^2+H1092^2)=0,1,SQRT(G1092^2+H1092^2)))</x:f>
      </x:c>
      <x:c r="F1092" s="14">
        <x:f>IF(B1092="","", D1092 + $F$12*$F$9*(G1092)/IF(SQRT(G1092^2+H1092^2)=0,1,SQRT(G1092^2+H1092^2)))</x:f>
      </x:c>
      <x:c r="G1092" s="14">
        <x:f>IF(B1092="","", -$F$8*SIN(B1092) - $B$7*$F$6*SIN($F$6*B1092))</x:f>
      </x:c>
      <x:c r="H1092" s="14">
        <x:f>IF(B1092="","", $F$8*COS(B1092) - $B$7*$F$6*COS($F$6*B1092))</x:f>
      </x:c>
    </x:row>
    <x:row r="1093">
      <x:c r="A1093" s="13" t="n">
        <x:v>1074</x:v>
      </x:c>
      <x:c r="B1093" s="14">
        <x:f>IF($B$12&lt;1074,"",$B$13+(1074-1)*($B$14-$B$13)/($B$12-1))</x:f>
      </x:c>
      <x:c r="C1093" s="14">
        <x:f>IF(B1093="","",$F$8*COS(B1093) + $B$7*COS($F$6*B1093))</x:f>
      </x:c>
      <x:c r="D1093" s="14">
        <x:f>IF(B1093="","",$F$8*SIN(B1093) - $B$7*SIN($F$6*B1093))</x:f>
      </x:c>
      <x:c r="E1093" s="14">
        <x:f>IF(B1093="","", C1093 + $F$12*$F$9*(-H1093)/IF(SQRT(G1093^2+H1093^2)=0,1,SQRT(G1093^2+H1093^2)))</x:f>
      </x:c>
      <x:c r="F1093" s="14">
        <x:f>IF(B1093="","", D1093 + $F$12*$F$9*(G1093)/IF(SQRT(G1093^2+H1093^2)=0,1,SQRT(G1093^2+H1093^2)))</x:f>
      </x:c>
      <x:c r="G1093" s="14">
        <x:f>IF(B1093="","", -$F$8*SIN(B1093) - $B$7*$F$6*SIN($F$6*B1093))</x:f>
      </x:c>
      <x:c r="H1093" s="14">
        <x:f>IF(B1093="","", $F$8*COS(B1093) - $B$7*$F$6*COS($F$6*B1093))</x:f>
      </x:c>
    </x:row>
    <x:row r="1094">
      <x:c r="A1094" s="13" t="n">
        <x:v>1075</x:v>
      </x:c>
      <x:c r="B1094" s="14">
        <x:f>IF($B$12&lt;1075,"",$B$13+(1075-1)*($B$14-$B$13)/($B$12-1))</x:f>
      </x:c>
      <x:c r="C1094" s="14">
        <x:f>IF(B1094="","",$F$8*COS(B1094) + $B$7*COS($F$6*B1094))</x:f>
      </x:c>
      <x:c r="D1094" s="14">
        <x:f>IF(B1094="","",$F$8*SIN(B1094) - $B$7*SIN($F$6*B1094))</x:f>
      </x:c>
      <x:c r="E1094" s="14">
        <x:f>IF(B1094="","", C1094 + $F$12*$F$9*(-H1094)/IF(SQRT(G1094^2+H1094^2)=0,1,SQRT(G1094^2+H1094^2)))</x:f>
      </x:c>
      <x:c r="F1094" s="14">
        <x:f>IF(B1094="","", D1094 + $F$12*$F$9*(G1094)/IF(SQRT(G1094^2+H1094^2)=0,1,SQRT(G1094^2+H1094^2)))</x:f>
      </x:c>
      <x:c r="G1094" s="14">
        <x:f>IF(B1094="","", -$F$8*SIN(B1094) - $B$7*$F$6*SIN($F$6*B1094))</x:f>
      </x:c>
      <x:c r="H1094" s="14">
        <x:f>IF(B1094="","", $F$8*COS(B1094) - $B$7*$F$6*COS($F$6*B1094))</x:f>
      </x:c>
    </x:row>
    <x:row r="1095">
      <x:c r="A1095" s="13" t="n">
        <x:v>1076</x:v>
      </x:c>
      <x:c r="B1095" s="14">
        <x:f>IF($B$12&lt;1076,"",$B$13+(1076-1)*($B$14-$B$13)/($B$12-1))</x:f>
      </x:c>
      <x:c r="C1095" s="14">
        <x:f>IF(B1095="","",$F$8*COS(B1095) + $B$7*COS($F$6*B1095))</x:f>
      </x:c>
      <x:c r="D1095" s="14">
        <x:f>IF(B1095="","",$F$8*SIN(B1095) - $B$7*SIN($F$6*B1095))</x:f>
      </x:c>
      <x:c r="E1095" s="14">
        <x:f>IF(B1095="","", C1095 + $F$12*$F$9*(-H1095)/IF(SQRT(G1095^2+H1095^2)=0,1,SQRT(G1095^2+H1095^2)))</x:f>
      </x:c>
      <x:c r="F1095" s="14">
        <x:f>IF(B1095="","", D1095 + $F$12*$F$9*(G1095)/IF(SQRT(G1095^2+H1095^2)=0,1,SQRT(G1095^2+H1095^2)))</x:f>
      </x:c>
      <x:c r="G1095" s="14">
        <x:f>IF(B1095="","", -$F$8*SIN(B1095) - $B$7*$F$6*SIN($F$6*B1095))</x:f>
      </x:c>
      <x:c r="H1095" s="14">
        <x:f>IF(B1095="","", $F$8*COS(B1095) - $B$7*$F$6*COS($F$6*B1095))</x:f>
      </x:c>
    </x:row>
    <x:row r="1096">
      <x:c r="A1096" s="13" t="n">
        <x:v>1077</x:v>
      </x:c>
      <x:c r="B1096" s="14">
        <x:f>IF($B$12&lt;1077,"",$B$13+(1077-1)*($B$14-$B$13)/($B$12-1))</x:f>
      </x:c>
      <x:c r="C1096" s="14">
        <x:f>IF(B1096="","",$F$8*COS(B1096) + $B$7*COS($F$6*B1096))</x:f>
      </x:c>
      <x:c r="D1096" s="14">
        <x:f>IF(B1096="","",$F$8*SIN(B1096) - $B$7*SIN($F$6*B1096))</x:f>
      </x:c>
      <x:c r="E1096" s="14">
        <x:f>IF(B1096="","", C1096 + $F$12*$F$9*(-H1096)/IF(SQRT(G1096^2+H1096^2)=0,1,SQRT(G1096^2+H1096^2)))</x:f>
      </x:c>
      <x:c r="F1096" s="14">
        <x:f>IF(B1096="","", D1096 + $F$12*$F$9*(G1096)/IF(SQRT(G1096^2+H1096^2)=0,1,SQRT(G1096^2+H1096^2)))</x:f>
      </x:c>
      <x:c r="G1096" s="14">
        <x:f>IF(B1096="","", -$F$8*SIN(B1096) - $B$7*$F$6*SIN($F$6*B1096))</x:f>
      </x:c>
      <x:c r="H1096" s="14">
        <x:f>IF(B1096="","", $F$8*COS(B1096) - $B$7*$F$6*COS($F$6*B1096))</x:f>
      </x:c>
    </x:row>
    <x:row r="1097">
      <x:c r="A1097" s="13" t="n">
        <x:v>1078</x:v>
      </x:c>
      <x:c r="B1097" s="14">
        <x:f>IF($B$12&lt;1078,"",$B$13+(1078-1)*($B$14-$B$13)/($B$12-1))</x:f>
      </x:c>
      <x:c r="C1097" s="14">
        <x:f>IF(B1097="","",$F$8*COS(B1097) + $B$7*COS($F$6*B1097))</x:f>
      </x:c>
      <x:c r="D1097" s="14">
        <x:f>IF(B1097="","",$F$8*SIN(B1097) - $B$7*SIN($F$6*B1097))</x:f>
      </x:c>
      <x:c r="E1097" s="14">
        <x:f>IF(B1097="","", C1097 + $F$12*$F$9*(-H1097)/IF(SQRT(G1097^2+H1097^2)=0,1,SQRT(G1097^2+H1097^2)))</x:f>
      </x:c>
      <x:c r="F1097" s="14">
        <x:f>IF(B1097="","", D1097 + $F$12*$F$9*(G1097)/IF(SQRT(G1097^2+H1097^2)=0,1,SQRT(G1097^2+H1097^2)))</x:f>
      </x:c>
      <x:c r="G1097" s="14">
        <x:f>IF(B1097="","", -$F$8*SIN(B1097) - $B$7*$F$6*SIN($F$6*B1097))</x:f>
      </x:c>
      <x:c r="H1097" s="14">
        <x:f>IF(B1097="","", $F$8*COS(B1097) - $B$7*$F$6*COS($F$6*B1097))</x:f>
      </x:c>
    </x:row>
    <x:row r="1098">
      <x:c r="A1098" s="13" t="n">
        <x:v>1079</x:v>
      </x:c>
      <x:c r="B1098" s="14">
        <x:f>IF($B$12&lt;1079,"",$B$13+(1079-1)*($B$14-$B$13)/($B$12-1))</x:f>
      </x:c>
      <x:c r="C1098" s="14">
        <x:f>IF(B1098="","",$F$8*COS(B1098) + $B$7*COS($F$6*B1098))</x:f>
      </x:c>
      <x:c r="D1098" s="14">
        <x:f>IF(B1098="","",$F$8*SIN(B1098) - $B$7*SIN($F$6*B1098))</x:f>
      </x:c>
      <x:c r="E1098" s="14">
        <x:f>IF(B1098="","", C1098 + $F$12*$F$9*(-H1098)/IF(SQRT(G1098^2+H1098^2)=0,1,SQRT(G1098^2+H1098^2)))</x:f>
      </x:c>
      <x:c r="F1098" s="14">
        <x:f>IF(B1098="","", D1098 + $F$12*$F$9*(G1098)/IF(SQRT(G1098^2+H1098^2)=0,1,SQRT(G1098^2+H1098^2)))</x:f>
      </x:c>
      <x:c r="G1098" s="14">
        <x:f>IF(B1098="","", -$F$8*SIN(B1098) - $B$7*$F$6*SIN($F$6*B1098))</x:f>
      </x:c>
      <x:c r="H1098" s="14">
        <x:f>IF(B1098="","", $F$8*COS(B1098) - $B$7*$F$6*COS($F$6*B1098))</x:f>
      </x:c>
    </x:row>
    <x:row r="1099">
      <x:c r="A1099" s="13" t="n">
        <x:v>1080</x:v>
      </x:c>
      <x:c r="B1099" s="14">
        <x:f>IF($B$12&lt;1080,"",$B$13+(1080-1)*($B$14-$B$13)/($B$12-1))</x:f>
      </x:c>
      <x:c r="C1099" s="14">
        <x:f>IF(B1099="","",$F$8*COS(B1099) + $B$7*COS($F$6*B1099))</x:f>
      </x:c>
      <x:c r="D1099" s="14">
        <x:f>IF(B1099="","",$F$8*SIN(B1099) - $B$7*SIN($F$6*B1099))</x:f>
      </x:c>
      <x:c r="E1099" s="14">
        <x:f>IF(B1099="","", C1099 + $F$12*$F$9*(-H1099)/IF(SQRT(G1099^2+H1099^2)=0,1,SQRT(G1099^2+H1099^2)))</x:f>
      </x:c>
      <x:c r="F1099" s="14">
        <x:f>IF(B1099="","", D1099 + $F$12*$F$9*(G1099)/IF(SQRT(G1099^2+H1099^2)=0,1,SQRT(G1099^2+H1099^2)))</x:f>
      </x:c>
      <x:c r="G1099" s="14">
        <x:f>IF(B1099="","", -$F$8*SIN(B1099) - $B$7*$F$6*SIN($F$6*B1099))</x:f>
      </x:c>
      <x:c r="H1099" s="14">
        <x:f>IF(B1099="","", $F$8*COS(B1099) - $B$7*$F$6*COS($F$6*B1099))</x:f>
      </x:c>
    </x:row>
    <x:row r="1100">
      <x:c r="A1100" s="13" t="n">
        <x:v>1081</x:v>
      </x:c>
      <x:c r="B1100" s="14">
        <x:f>IF($B$12&lt;1081,"",$B$13+(1081-1)*($B$14-$B$13)/($B$12-1))</x:f>
      </x:c>
      <x:c r="C1100" s="14">
        <x:f>IF(B1100="","",$F$8*COS(B1100) + $B$7*COS($F$6*B1100))</x:f>
      </x:c>
      <x:c r="D1100" s="14">
        <x:f>IF(B1100="","",$F$8*SIN(B1100) - $B$7*SIN($F$6*B1100))</x:f>
      </x:c>
      <x:c r="E1100" s="14">
        <x:f>IF(B1100="","", C1100 + $F$12*$F$9*(-H1100)/IF(SQRT(G1100^2+H1100^2)=0,1,SQRT(G1100^2+H1100^2)))</x:f>
      </x:c>
      <x:c r="F1100" s="14">
        <x:f>IF(B1100="","", D1100 + $F$12*$F$9*(G1100)/IF(SQRT(G1100^2+H1100^2)=0,1,SQRT(G1100^2+H1100^2)))</x:f>
      </x:c>
      <x:c r="G1100" s="14">
        <x:f>IF(B1100="","", -$F$8*SIN(B1100) - $B$7*$F$6*SIN($F$6*B1100))</x:f>
      </x:c>
      <x:c r="H1100" s="14">
        <x:f>IF(B1100="","", $F$8*COS(B1100) - $B$7*$F$6*COS($F$6*B1100))</x:f>
      </x:c>
    </x:row>
    <x:row r="1101">
      <x:c r="A1101" s="13" t="n">
        <x:v>1082</x:v>
      </x:c>
      <x:c r="B1101" s="14">
        <x:f>IF($B$12&lt;1082,"",$B$13+(1082-1)*($B$14-$B$13)/($B$12-1))</x:f>
      </x:c>
      <x:c r="C1101" s="14">
        <x:f>IF(B1101="","",$F$8*COS(B1101) + $B$7*COS($F$6*B1101))</x:f>
      </x:c>
      <x:c r="D1101" s="14">
        <x:f>IF(B1101="","",$F$8*SIN(B1101) - $B$7*SIN($F$6*B1101))</x:f>
      </x:c>
      <x:c r="E1101" s="14">
        <x:f>IF(B1101="","", C1101 + $F$12*$F$9*(-H1101)/IF(SQRT(G1101^2+H1101^2)=0,1,SQRT(G1101^2+H1101^2)))</x:f>
      </x:c>
      <x:c r="F1101" s="14">
        <x:f>IF(B1101="","", D1101 + $F$12*$F$9*(G1101)/IF(SQRT(G1101^2+H1101^2)=0,1,SQRT(G1101^2+H1101^2)))</x:f>
      </x:c>
      <x:c r="G1101" s="14">
        <x:f>IF(B1101="","", -$F$8*SIN(B1101) - $B$7*$F$6*SIN($F$6*B1101))</x:f>
      </x:c>
      <x:c r="H1101" s="14">
        <x:f>IF(B1101="","", $F$8*COS(B1101) - $B$7*$F$6*COS($F$6*B1101))</x:f>
      </x:c>
    </x:row>
    <x:row r="1102">
      <x:c r="A1102" s="13" t="n">
        <x:v>1083</x:v>
      </x:c>
      <x:c r="B1102" s="14">
        <x:f>IF($B$12&lt;1083,"",$B$13+(1083-1)*($B$14-$B$13)/($B$12-1))</x:f>
      </x:c>
      <x:c r="C1102" s="14">
        <x:f>IF(B1102="","",$F$8*COS(B1102) + $B$7*COS($F$6*B1102))</x:f>
      </x:c>
      <x:c r="D1102" s="14">
        <x:f>IF(B1102="","",$F$8*SIN(B1102) - $B$7*SIN($F$6*B1102))</x:f>
      </x:c>
      <x:c r="E1102" s="14">
        <x:f>IF(B1102="","", C1102 + $F$12*$F$9*(-H1102)/IF(SQRT(G1102^2+H1102^2)=0,1,SQRT(G1102^2+H1102^2)))</x:f>
      </x:c>
      <x:c r="F1102" s="14">
        <x:f>IF(B1102="","", D1102 + $F$12*$F$9*(G1102)/IF(SQRT(G1102^2+H1102^2)=0,1,SQRT(G1102^2+H1102^2)))</x:f>
      </x:c>
      <x:c r="G1102" s="14">
        <x:f>IF(B1102="","", -$F$8*SIN(B1102) - $B$7*$F$6*SIN($F$6*B1102))</x:f>
      </x:c>
      <x:c r="H1102" s="14">
        <x:f>IF(B1102="","", $F$8*COS(B1102) - $B$7*$F$6*COS($F$6*B1102))</x:f>
      </x:c>
    </x:row>
    <x:row r="1103">
      <x:c r="A1103" s="13" t="n">
        <x:v>1084</x:v>
      </x:c>
      <x:c r="B1103" s="14">
        <x:f>IF($B$12&lt;1084,"",$B$13+(1084-1)*($B$14-$B$13)/($B$12-1))</x:f>
      </x:c>
      <x:c r="C1103" s="14">
        <x:f>IF(B1103="","",$F$8*COS(B1103) + $B$7*COS($F$6*B1103))</x:f>
      </x:c>
      <x:c r="D1103" s="14">
        <x:f>IF(B1103="","",$F$8*SIN(B1103) - $B$7*SIN($F$6*B1103))</x:f>
      </x:c>
      <x:c r="E1103" s="14">
        <x:f>IF(B1103="","", C1103 + $F$12*$F$9*(-H1103)/IF(SQRT(G1103^2+H1103^2)=0,1,SQRT(G1103^2+H1103^2)))</x:f>
      </x:c>
      <x:c r="F1103" s="14">
        <x:f>IF(B1103="","", D1103 + $F$12*$F$9*(G1103)/IF(SQRT(G1103^2+H1103^2)=0,1,SQRT(G1103^2+H1103^2)))</x:f>
      </x:c>
      <x:c r="G1103" s="14">
        <x:f>IF(B1103="","", -$F$8*SIN(B1103) - $B$7*$F$6*SIN($F$6*B1103))</x:f>
      </x:c>
      <x:c r="H1103" s="14">
        <x:f>IF(B1103="","", $F$8*COS(B1103) - $B$7*$F$6*COS($F$6*B1103))</x:f>
      </x:c>
    </x:row>
    <x:row r="1104">
      <x:c r="A1104" s="13" t="n">
        <x:v>1085</x:v>
      </x:c>
      <x:c r="B1104" s="14">
        <x:f>IF($B$12&lt;1085,"",$B$13+(1085-1)*($B$14-$B$13)/($B$12-1))</x:f>
      </x:c>
      <x:c r="C1104" s="14">
        <x:f>IF(B1104="","",$F$8*COS(B1104) + $B$7*COS($F$6*B1104))</x:f>
      </x:c>
      <x:c r="D1104" s="14">
        <x:f>IF(B1104="","",$F$8*SIN(B1104) - $B$7*SIN($F$6*B1104))</x:f>
      </x:c>
      <x:c r="E1104" s="14">
        <x:f>IF(B1104="","", C1104 + $F$12*$F$9*(-H1104)/IF(SQRT(G1104^2+H1104^2)=0,1,SQRT(G1104^2+H1104^2)))</x:f>
      </x:c>
      <x:c r="F1104" s="14">
        <x:f>IF(B1104="","", D1104 + $F$12*$F$9*(G1104)/IF(SQRT(G1104^2+H1104^2)=0,1,SQRT(G1104^2+H1104^2)))</x:f>
      </x:c>
      <x:c r="G1104" s="14">
        <x:f>IF(B1104="","", -$F$8*SIN(B1104) - $B$7*$F$6*SIN($F$6*B1104))</x:f>
      </x:c>
      <x:c r="H1104" s="14">
        <x:f>IF(B1104="","", $F$8*COS(B1104) - $B$7*$F$6*COS($F$6*B1104))</x:f>
      </x:c>
    </x:row>
    <x:row r="1105">
      <x:c r="A1105" s="13" t="n">
        <x:v>1086</x:v>
      </x:c>
      <x:c r="B1105" s="14">
        <x:f>IF($B$12&lt;1086,"",$B$13+(1086-1)*($B$14-$B$13)/($B$12-1))</x:f>
      </x:c>
      <x:c r="C1105" s="14">
        <x:f>IF(B1105="","",$F$8*COS(B1105) + $B$7*COS($F$6*B1105))</x:f>
      </x:c>
      <x:c r="D1105" s="14">
        <x:f>IF(B1105="","",$F$8*SIN(B1105) - $B$7*SIN($F$6*B1105))</x:f>
      </x:c>
      <x:c r="E1105" s="14">
        <x:f>IF(B1105="","", C1105 + $F$12*$F$9*(-H1105)/IF(SQRT(G1105^2+H1105^2)=0,1,SQRT(G1105^2+H1105^2)))</x:f>
      </x:c>
      <x:c r="F1105" s="14">
        <x:f>IF(B1105="","", D1105 + $F$12*$F$9*(G1105)/IF(SQRT(G1105^2+H1105^2)=0,1,SQRT(G1105^2+H1105^2)))</x:f>
      </x:c>
      <x:c r="G1105" s="14">
        <x:f>IF(B1105="","", -$F$8*SIN(B1105) - $B$7*$F$6*SIN($F$6*B1105))</x:f>
      </x:c>
      <x:c r="H1105" s="14">
        <x:f>IF(B1105="","", $F$8*COS(B1105) - $B$7*$F$6*COS($F$6*B1105))</x:f>
      </x:c>
    </x:row>
    <x:row r="1106">
      <x:c r="A1106" s="13" t="n">
        <x:v>1087</x:v>
      </x:c>
      <x:c r="B1106" s="14">
        <x:f>IF($B$12&lt;1087,"",$B$13+(1087-1)*($B$14-$B$13)/($B$12-1))</x:f>
      </x:c>
      <x:c r="C1106" s="14">
        <x:f>IF(B1106="","",$F$8*COS(B1106) + $B$7*COS($F$6*B1106))</x:f>
      </x:c>
      <x:c r="D1106" s="14">
        <x:f>IF(B1106="","",$F$8*SIN(B1106) - $B$7*SIN($F$6*B1106))</x:f>
      </x:c>
      <x:c r="E1106" s="14">
        <x:f>IF(B1106="","", C1106 + $F$12*$F$9*(-H1106)/IF(SQRT(G1106^2+H1106^2)=0,1,SQRT(G1106^2+H1106^2)))</x:f>
      </x:c>
      <x:c r="F1106" s="14">
        <x:f>IF(B1106="","", D1106 + $F$12*$F$9*(G1106)/IF(SQRT(G1106^2+H1106^2)=0,1,SQRT(G1106^2+H1106^2)))</x:f>
      </x:c>
      <x:c r="G1106" s="14">
        <x:f>IF(B1106="","", -$F$8*SIN(B1106) - $B$7*$F$6*SIN($F$6*B1106))</x:f>
      </x:c>
      <x:c r="H1106" s="14">
        <x:f>IF(B1106="","", $F$8*COS(B1106) - $B$7*$F$6*COS($F$6*B1106))</x:f>
      </x:c>
    </x:row>
    <x:row r="1107">
      <x:c r="A1107" s="13" t="n">
        <x:v>1088</x:v>
      </x:c>
      <x:c r="B1107" s="14">
        <x:f>IF($B$12&lt;1088,"",$B$13+(1088-1)*($B$14-$B$13)/($B$12-1))</x:f>
      </x:c>
      <x:c r="C1107" s="14">
        <x:f>IF(B1107="","",$F$8*COS(B1107) + $B$7*COS($F$6*B1107))</x:f>
      </x:c>
      <x:c r="D1107" s="14">
        <x:f>IF(B1107="","",$F$8*SIN(B1107) - $B$7*SIN($F$6*B1107))</x:f>
      </x:c>
      <x:c r="E1107" s="14">
        <x:f>IF(B1107="","", C1107 + $F$12*$F$9*(-H1107)/IF(SQRT(G1107^2+H1107^2)=0,1,SQRT(G1107^2+H1107^2)))</x:f>
      </x:c>
      <x:c r="F1107" s="14">
        <x:f>IF(B1107="","", D1107 + $F$12*$F$9*(G1107)/IF(SQRT(G1107^2+H1107^2)=0,1,SQRT(G1107^2+H1107^2)))</x:f>
      </x:c>
      <x:c r="G1107" s="14">
        <x:f>IF(B1107="","", -$F$8*SIN(B1107) - $B$7*$F$6*SIN($F$6*B1107))</x:f>
      </x:c>
      <x:c r="H1107" s="14">
        <x:f>IF(B1107="","", $F$8*COS(B1107) - $B$7*$F$6*COS($F$6*B1107))</x:f>
      </x:c>
    </x:row>
    <x:row r="1108">
      <x:c r="A1108" s="13" t="n">
        <x:v>1089</x:v>
      </x:c>
      <x:c r="B1108" s="14">
        <x:f>IF($B$12&lt;1089,"",$B$13+(1089-1)*($B$14-$B$13)/($B$12-1))</x:f>
      </x:c>
      <x:c r="C1108" s="14">
        <x:f>IF(B1108="","",$F$8*COS(B1108) + $B$7*COS($F$6*B1108))</x:f>
      </x:c>
      <x:c r="D1108" s="14">
        <x:f>IF(B1108="","",$F$8*SIN(B1108) - $B$7*SIN($F$6*B1108))</x:f>
      </x:c>
      <x:c r="E1108" s="14">
        <x:f>IF(B1108="","", C1108 + $F$12*$F$9*(-H1108)/IF(SQRT(G1108^2+H1108^2)=0,1,SQRT(G1108^2+H1108^2)))</x:f>
      </x:c>
      <x:c r="F1108" s="14">
        <x:f>IF(B1108="","", D1108 + $F$12*$F$9*(G1108)/IF(SQRT(G1108^2+H1108^2)=0,1,SQRT(G1108^2+H1108^2)))</x:f>
      </x:c>
      <x:c r="G1108" s="14">
        <x:f>IF(B1108="","", -$F$8*SIN(B1108) - $B$7*$F$6*SIN($F$6*B1108))</x:f>
      </x:c>
      <x:c r="H1108" s="14">
        <x:f>IF(B1108="","", $F$8*COS(B1108) - $B$7*$F$6*COS($F$6*B1108))</x:f>
      </x:c>
    </x:row>
    <x:row r="1109">
      <x:c r="A1109" s="13" t="n">
        <x:v>1090</x:v>
      </x:c>
      <x:c r="B1109" s="14">
        <x:f>IF($B$12&lt;1090,"",$B$13+(1090-1)*($B$14-$B$13)/($B$12-1))</x:f>
      </x:c>
      <x:c r="C1109" s="14">
        <x:f>IF(B1109="","",$F$8*COS(B1109) + $B$7*COS($F$6*B1109))</x:f>
      </x:c>
      <x:c r="D1109" s="14">
        <x:f>IF(B1109="","",$F$8*SIN(B1109) - $B$7*SIN($F$6*B1109))</x:f>
      </x:c>
      <x:c r="E1109" s="14">
        <x:f>IF(B1109="","", C1109 + $F$12*$F$9*(-H1109)/IF(SQRT(G1109^2+H1109^2)=0,1,SQRT(G1109^2+H1109^2)))</x:f>
      </x:c>
      <x:c r="F1109" s="14">
        <x:f>IF(B1109="","", D1109 + $F$12*$F$9*(G1109)/IF(SQRT(G1109^2+H1109^2)=0,1,SQRT(G1109^2+H1109^2)))</x:f>
      </x:c>
      <x:c r="G1109" s="14">
        <x:f>IF(B1109="","", -$F$8*SIN(B1109) - $B$7*$F$6*SIN($F$6*B1109))</x:f>
      </x:c>
      <x:c r="H1109" s="14">
        <x:f>IF(B1109="","", $F$8*COS(B1109) - $B$7*$F$6*COS($F$6*B1109))</x:f>
      </x:c>
    </x:row>
    <x:row r="1110">
      <x:c r="A1110" s="13" t="n">
        <x:v>1091</x:v>
      </x:c>
      <x:c r="B1110" s="14">
        <x:f>IF($B$12&lt;1091,"",$B$13+(1091-1)*($B$14-$B$13)/($B$12-1))</x:f>
      </x:c>
      <x:c r="C1110" s="14">
        <x:f>IF(B1110="","",$F$8*COS(B1110) + $B$7*COS($F$6*B1110))</x:f>
      </x:c>
      <x:c r="D1110" s="14">
        <x:f>IF(B1110="","",$F$8*SIN(B1110) - $B$7*SIN($F$6*B1110))</x:f>
      </x:c>
      <x:c r="E1110" s="14">
        <x:f>IF(B1110="","", C1110 + $F$12*$F$9*(-H1110)/IF(SQRT(G1110^2+H1110^2)=0,1,SQRT(G1110^2+H1110^2)))</x:f>
      </x:c>
      <x:c r="F1110" s="14">
        <x:f>IF(B1110="","", D1110 + $F$12*$F$9*(G1110)/IF(SQRT(G1110^2+H1110^2)=0,1,SQRT(G1110^2+H1110^2)))</x:f>
      </x:c>
      <x:c r="G1110" s="14">
        <x:f>IF(B1110="","", -$F$8*SIN(B1110) - $B$7*$F$6*SIN($F$6*B1110))</x:f>
      </x:c>
      <x:c r="H1110" s="14">
        <x:f>IF(B1110="","", $F$8*COS(B1110) - $B$7*$F$6*COS($F$6*B1110))</x:f>
      </x:c>
    </x:row>
    <x:row r="1111">
      <x:c r="A1111" s="13" t="n">
        <x:v>1092</x:v>
      </x:c>
      <x:c r="B1111" s="14">
        <x:f>IF($B$12&lt;1092,"",$B$13+(1092-1)*($B$14-$B$13)/($B$12-1))</x:f>
      </x:c>
      <x:c r="C1111" s="14">
        <x:f>IF(B1111="","",$F$8*COS(B1111) + $B$7*COS($F$6*B1111))</x:f>
      </x:c>
      <x:c r="D1111" s="14">
        <x:f>IF(B1111="","",$F$8*SIN(B1111) - $B$7*SIN($F$6*B1111))</x:f>
      </x:c>
      <x:c r="E1111" s="14">
        <x:f>IF(B1111="","", C1111 + $F$12*$F$9*(-H1111)/IF(SQRT(G1111^2+H1111^2)=0,1,SQRT(G1111^2+H1111^2)))</x:f>
      </x:c>
      <x:c r="F1111" s="14">
        <x:f>IF(B1111="","", D1111 + $F$12*$F$9*(G1111)/IF(SQRT(G1111^2+H1111^2)=0,1,SQRT(G1111^2+H1111^2)))</x:f>
      </x:c>
      <x:c r="G1111" s="14">
        <x:f>IF(B1111="","", -$F$8*SIN(B1111) - $B$7*$F$6*SIN($F$6*B1111))</x:f>
      </x:c>
      <x:c r="H1111" s="14">
        <x:f>IF(B1111="","", $F$8*COS(B1111) - $B$7*$F$6*COS($F$6*B1111))</x:f>
      </x:c>
    </x:row>
    <x:row r="1112">
      <x:c r="A1112" s="13" t="n">
        <x:v>1093</x:v>
      </x:c>
      <x:c r="B1112" s="14">
        <x:f>IF($B$12&lt;1093,"",$B$13+(1093-1)*($B$14-$B$13)/($B$12-1))</x:f>
      </x:c>
      <x:c r="C1112" s="14">
        <x:f>IF(B1112="","",$F$8*COS(B1112) + $B$7*COS($F$6*B1112))</x:f>
      </x:c>
      <x:c r="D1112" s="14">
        <x:f>IF(B1112="","",$F$8*SIN(B1112) - $B$7*SIN($F$6*B1112))</x:f>
      </x:c>
      <x:c r="E1112" s="14">
        <x:f>IF(B1112="","", C1112 + $F$12*$F$9*(-H1112)/IF(SQRT(G1112^2+H1112^2)=0,1,SQRT(G1112^2+H1112^2)))</x:f>
      </x:c>
      <x:c r="F1112" s="14">
        <x:f>IF(B1112="","", D1112 + $F$12*$F$9*(G1112)/IF(SQRT(G1112^2+H1112^2)=0,1,SQRT(G1112^2+H1112^2)))</x:f>
      </x:c>
      <x:c r="G1112" s="14">
        <x:f>IF(B1112="","", -$F$8*SIN(B1112) - $B$7*$F$6*SIN($F$6*B1112))</x:f>
      </x:c>
      <x:c r="H1112" s="14">
        <x:f>IF(B1112="","", $F$8*COS(B1112) - $B$7*$F$6*COS($F$6*B1112))</x:f>
      </x:c>
    </x:row>
    <x:row r="1113">
      <x:c r="A1113" s="13" t="n">
        <x:v>1094</x:v>
      </x:c>
      <x:c r="B1113" s="14">
        <x:f>IF($B$12&lt;1094,"",$B$13+(1094-1)*($B$14-$B$13)/($B$12-1))</x:f>
      </x:c>
      <x:c r="C1113" s="14">
        <x:f>IF(B1113="","",$F$8*COS(B1113) + $B$7*COS($F$6*B1113))</x:f>
      </x:c>
      <x:c r="D1113" s="14">
        <x:f>IF(B1113="","",$F$8*SIN(B1113) - $B$7*SIN($F$6*B1113))</x:f>
      </x:c>
      <x:c r="E1113" s="14">
        <x:f>IF(B1113="","", C1113 + $F$12*$F$9*(-H1113)/IF(SQRT(G1113^2+H1113^2)=0,1,SQRT(G1113^2+H1113^2)))</x:f>
      </x:c>
      <x:c r="F1113" s="14">
        <x:f>IF(B1113="","", D1113 + $F$12*$F$9*(G1113)/IF(SQRT(G1113^2+H1113^2)=0,1,SQRT(G1113^2+H1113^2)))</x:f>
      </x:c>
      <x:c r="G1113" s="14">
        <x:f>IF(B1113="","", -$F$8*SIN(B1113) - $B$7*$F$6*SIN($F$6*B1113))</x:f>
      </x:c>
      <x:c r="H1113" s="14">
        <x:f>IF(B1113="","", $F$8*COS(B1113) - $B$7*$F$6*COS($F$6*B1113))</x:f>
      </x:c>
    </x:row>
    <x:row r="1114">
      <x:c r="A1114" s="13" t="n">
        <x:v>1095</x:v>
      </x:c>
      <x:c r="B1114" s="14">
        <x:f>IF($B$12&lt;1095,"",$B$13+(1095-1)*($B$14-$B$13)/($B$12-1))</x:f>
      </x:c>
      <x:c r="C1114" s="14">
        <x:f>IF(B1114="","",$F$8*COS(B1114) + $B$7*COS($F$6*B1114))</x:f>
      </x:c>
      <x:c r="D1114" s="14">
        <x:f>IF(B1114="","",$F$8*SIN(B1114) - $B$7*SIN($F$6*B1114))</x:f>
      </x:c>
      <x:c r="E1114" s="14">
        <x:f>IF(B1114="","", C1114 + $F$12*$F$9*(-H1114)/IF(SQRT(G1114^2+H1114^2)=0,1,SQRT(G1114^2+H1114^2)))</x:f>
      </x:c>
      <x:c r="F1114" s="14">
        <x:f>IF(B1114="","", D1114 + $F$12*$F$9*(G1114)/IF(SQRT(G1114^2+H1114^2)=0,1,SQRT(G1114^2+H1114^2)))</x:f>
      </x:c>
      <x:c r="G1114" s="14">
        <x:f>IF(B1114="","", -$F$8*SIN(B1114) - $B$7*$F$6*SIN($F$6*B1114))</x:f>
      </x:c>
      <x:c r="H1114" s="14">
        <x:f>IF(B1114="","", $F$8*COS(B1114) - $B$7*$F$6*COS($F$6*B1114))</x:f>
      </x:c>
    </x:row>
    <x:row r="1115">
      <x:c r="A1115" s="13" t="n">
        <x:v>1096</x:v>
      </x:c>
      <x:c r="B1115" s="14">
        <x:f>IF($B$12&lt;1096,"",$B$13+(1096-1)*($B$14-$B$13)/($B$12-1))</x:f>
      </x:c>
      <x:c r="C1115" s="14">
        <x:f>IF(B1115="","",$F$8*COS(B1115) + $B$7*COS($F$6*B1115))</x:f>
      </x:c>
      <x:c r="D1115" s="14">
        <x:f>IF(B1115="","",$F$8*SIN(B1115) - $B$7*SIN($F$6*B1115))</x:f>
      </x:c>
      <x:c r="E1115" s="14">
        <x:f>IF(B1115="","", C1115 + $F$12*$F$9*(-H1115)/IF(SQRT(G1115^2+H1115^2)=0,1,SQRT(G1115^2+H1115^2)))</x:f>
      </x:c>
      <x:c r="F1115" s="14">
        <x:f>IF(B1115="","", D1115 + $F$12*$F$9*(G1115)/IF(SQRT(G1115^2+H1115^2)=0,1,SQRT(G1115^2+H1115^2)))</x:f>
      </x:c>
      <x:c r="G1115" s="14">
        <x:f>IF(B1115="","", -$F$8*SIN(B1115) - $B$7*$F$6*SIN($F$6*B1115))</x:f>
      </x:c>
      <x:c r="H1115" s="14">
        <x:f>IF(B1115="","", $F$8*COS(B1115) - $B$7*$F$6*COS($F$6*B1115))</x:f>
      </x:c>
    </x:row>
    <x:row r="1116">
      <x:c r="A1116" s="13" t="n">
        <x:v>1097</x:v>
      </x:c>
      <x:c r="B1116" s="14">
        <x:f>IF($B$12&lt;1097,"",$B$13+(1097-1)*($B$14-$B$13)/($B$12-1))</x:f>
      </x:c>
      <x:c r="C1116" s="14">
        <x:f>IF(B1116="","",$F$8*COS(B1116) + $B$7*COS($F$6*B1116))</x:f>
      </x:c>
      <x:c r="D1116" s="14">
        <x:f>IF(B1116="","",$F$8*SIN(B1116) - $B$7*SIN($F$6*B1116))</x:f>
      </x:c>
      <x:c r="E1116" s="14">
        <x:f>IF(B1116="","", C1116 + $F$12*$F$9*(-H1116)/IF(SQRT(G1116^2+H1116^2)=0,1,SQRT(G1116^2+H1116^2)))</x:f>
      </x:c>
      <x:c r="F1116" s="14">
        <x:f>IF(B1116="","", D1116 + $F$12*$F$9*(G1116)/IF(SQRT(G1116^2+H1116^2)=0,1,SQRT(G1116^2+H1116^2)))</x:f>
      </x:c>
      <x:c r="G1116" s="14">
        <x:f>IF(B1116="","", -$F$8*SIN(B1116) - $B$7*$F$6*SIN($F$6*B1116))</x:f>
      </x:c>
      <x:c r="H1116" s="14">
        <x:f>IF(B1116="","", $F$8*COS(B1116) - $B$7*$F$6*COS($F$6*B1116))</x:f>
      </x:c>
    </x:row>
    <x:row r="1117">
      <x:c r="A1117" s="13" t="n">
        <x:v>1098</x:v>
      </x:c>
      <x:c r="B1117" s="14">
        <x:f>IF($B$12&lt;1098,"",$B$13+(1098-1)*($B$14-$B$13)/($B$12-1))</x:f>
      </x:c>
      <x:c r="C1117" s="14">
        <x:f>IF(B1117="","",$F$8*COS(B1117) + $B$7*COS($F$6*B1117))</x:f>
      </x:c>
      <x:c r="D1117" s="14">
        <x:f>IF(B1117="","",$F$8*SIN(B1117) - $B$7*SIN($F$6*B1117))</x:f>
      </x:c>
      <x:c r="E1117" s="14">
        <x:f>IF(B1117="","", C1117 + $F$12*$F$9*(-H1117)/IF(SQRT(G1117^2+H1117^2)=0,1,SQRT(G1117^2+H1117^2)))</x:f>
      </x:c>
      <x:c r="F1117" s="14">
        <x:f>IF(B1117="","", D1117 + $F$12*$F$9*(G1117)/IF(SQRT(G1117^2+H1117^2)=0,1,SQRT(G1117^2+H1117^2)))</x:f>
      </x:c>
      <x:c r="G1117" s="14">
        <x:f>IF(B1117="","", -$F$8*SIN(B1117) - $B$7*$F$6*SIN($F$6*B1117))</x:f>
      </x:c>
      <x:c r="H1117" s="14">
        <x:f>IF(B1117="","", $F$8*COS(B1117) - $B$7*$F$6*COS($F$6*B1117))</x:f>
      </x:c>
    </x:row>
    <x:row r="1118">
      <x:c r="A1118" s="13" t="n">
        <x:v>1099</x:v>
      </x:c>
      <x:c r="B1118" s="14">
        <x:f>IF($B$12&lt;1099,"",$B$13+(1099-1)*($B$14-$B$13)/($B$12-1))</x:f>
      </x:c>
      <x:c r="C1118" s="14">
        <x:f>IF(B1118="","",$F$8*COS(B1118) + $B$7*COS($F$6*B1118))</x:f>
      </x:c>
      <x:c r="D1118" s="14">
        <x:f>IF(B1118="","",$F$8*SIN(B1118) - $B$7*SIN($F$6*B1118))</x:f>
      </x:c>
      <x:c r="E1118" s="14">
        <x:f>IF(B1118="","", C1118 + $F$12*$F$9*(-H1118)/IF(SQRT(G1118^2+H1118^2)=0,1,SQRT(G1118^2+H1118^2)))</x:f>
      </x:c>
      <x:c r="F1118" s="14">
        <x:f>IF(B1118="","", D1118 + $F$12*$F$9*(G1118)/IF(SQRT(G1118^2+H1118^2)=0,1,SQRT(G1118^2+H1118^2)))</x:f>
      </x:c>
      <x:c r="G1118" s="14">
        <x:f>IF(B1118="","", -$F$8*SIN(B1118) - $B$7*$F$6*SIN($F$6*B1118))</x:f>
      </x:c>
      <x:c r="H1118" s="14">
        <x:f>IF(B1118="","", $F$8*COS(B1118) - $B$7*$F$6*COS($F$6*B1118))</x:f>
      </x:c>
    </x:row>
    <x:row r="1119">
      <x:c r="A1119" s="13" t="n">
        <x:v>1100</x:v>
      </x:c>
      <x:c r="B1119" s="14">
        <x:f>IF($B$12&lt;1100,"",$B$13+(1100-1)*($B$14-$B$13)/($B$12-1))</x:f>
      </x:c>
      <x:c r="C1119" s="14">
        <x:f>IF(B1119="","",$F$8*COS(B1119) + $B$7*COS($F$6*B1119))</x:f>
      </x:c>
      <x:c r="D1119" s="14">
        <x:f>IF(B1119="","",$F$8*SIN(B1119) - $B$7*SIN($F$6*B1119))</x:f>
      </x:c>
      <x:c r="E1119" s="14">
        <x:f>IF(B1119="","", C1119 + $F$12*$F$9*(-H1119)/IF(SQRT(G1119^2+H1119^2)=0,1,SQRT(G1119^2+H1119^2)))</x:f>
      </x:c>
      <x:c r="F1119" s="14">
        <x:f>IF(B1119="","", D1119 + $F$12*$F$9*(G1119)/IF(SQRT(G1119^2+H1119^2)=0,1,SQRT(G1119^2+H1119^2)))</x:f>
      </x:c>
      <x:c r="G1119" s="14">
        <x:f>IF(B1119="","", -$F$8*SIN(B1119) - $B$7*$F$6*SIN($F$6*B1119))</x:f>
      </x:c>
      <x:c r="H1119" s="14">
        <x:f>IF(B1119="","", $F$8*COS(B1119) - $B$7*$F$6*COS($F$6*B1119))</x:f>
      </x:c>
    </x:row>
    <x:row r="1120">
      <x:c r="A1120" s="13" t="n">
        <x:v>1101</x:v>
      </x:c>
      <x:c r="B1120" s="14">
        <x:f>IF($B$12&lt;1101,"",$B$13+(1101-1)*($B$14-$B$13)/($B$12-1))</x:f>
      </x:c>
      <x:c r="C1120" s="14">
        <x:f>IF(B1120="","",$F$8*COS(B1120) + $B$7*COS($F$6*B1120))</x:f>
      </x:c>
      <x:c r="D1120" s="14">
        <x:f>IF(B1120="","",$F$8*SIN(B1120) - $B$7*SIN($F$6*B1120))</x:f>
      </x:c>
      <x:c r="E1120" s="14">
        <x:f>IF(B1120="","", C1120 + $F$12*$F$9*(-H1120)/IF(SQRT(G1120^2+H1120^2)=0,1,SQRT(G1120^2+H1120^2)))</x:f>
      </x:c>
      <x:c r="F1120" s="14">
        <x:f>IF(B1120="","", D1120 + $F$12*$F$9*(G1120)/IF(SQRT(G1120^2+H1120^2)=0,1,SQRT(G1120^2+H1120^2)))</x:f>
      </x:c>
      <x:c r="G1120" s="14">
        <x:f>IF(B1120="","", -$F$8*SIN(B1120) - $B$7*$F$6*SIN($F$6*B1120))</x:f>
      </x:c>
      <x:c r="H1120" s="14">
        <x:f>IF(B1120="","", $F$8*COS(B1120) - $B$7*$F$6*COS($F$6*B1120))</x:f>
      </x:c>
    </x:row>
    <x:row r="1121">
      <x:c r="A1121" s="13" t="n">
        <x:v>1102</x:v>
      </x:c>
      <x:c r="B1121" s="14">
        <x:f>IF($B$12&lt;1102,"",$B$13+(1102-1)*($B$14-$B$13)/($B$12-1))</x:f>
      </x:c>
      <x:c r="C1121" s="14">
        <x:f>IF(B1121="","",$F$8*COS(B1121) + $B$7*COS($F$6*B1121))</x:f>
      </x:c>
      <x:c r="D1121" s="14">
        <x:f>IF(B1121="","",$F$8*SIN(B1121) - $B$7*SIN($F$6*B1121))</x:f>
      </x:c>
      <x:c r="E1121" s="14">
        <x:f>IF(B1121="","", C1121 + $F$12*$F$9*(-H1121)/IF(SQRT(G1121^2+H1121^2)=0,1,SQRT(G1121^2+H1121^2)))</x:f>
      </x:c>
      <x:c r="F1121" s="14">
        <x:f>IF(B1121="","", D1121 + $F$12*$F$9*(G1121)/IF(SQRT(G1121^2+H1121^2)=0,1,SQRT(G1121^2+H1121^2)))</x:f>
      </x:c>
      <x:c r="G1121" s="14">
        <x:f>IF(B1121="","", -$F$8*SIN(B1121) - $B$7*$F$6*SIN($F$6*B1121))</x:f>
      </x:c>
      <x:c r="H1121" s="14">
        <x:f>IF(B1121="","", $F$8*COS(B1121) - $B$7*$F$6*COS($F$6*B1121))</x:f>
      </x:c>
    </x:row>
    <x:row r="1122">
      <x:c r="A1122" s="13" t="n">
        <x:v>1103</x:v>
      </x:c>
      <x:c r="B1122" s="14">
        <x:f>IF($B$12&lt;1103,"",$B$13+(1103-1)*($B$14-$B$13)/($B$12-1))</x:f>
      </x:c>
      <x:c r="C1122" s="14">
        <x:f>IF(B1122="","",$F$8*COS(B1122) + $B$7*COS($F$6*B1122))</x:f>
      </x:c>
      <x:c r="D1122" s="14">
        <x:f>IF(B1122="","",$F$8*SIN(B1122) - $B$7*SIN($F$6*B1122))</x:f>
      </x:c>
      <x:c r="E1122" s="14">
        <x:f>IF(B1122="","", C1122 + $F$12*$F$9*(-H1122)/IF(SQRT(G1122^2+H1122^2)=0,1,SQRT(G1122^2+H1122^2)))</x:f>
      </x:c>
      <x:c r="F1122" s="14">
        <x:f>IF(B1122="","", D1122 + $F$12*$F$9*(G1122)/IF(SQRT(G1122^2+H1122^2)=0,1,SQRT(G1122^2+H1122^2)))</x:f>
      </x:c>
      <x:c r="G1122" s="14">
        <x:f>IF(B1122="","", -$F$8*SIN(B1122) - $B$7*$F$6*SIN($F$6*B1122))</x:f>
      </x:c>
      <x:c r="H1122" s="14">
        <x:f>IF(B1122="","", $F$8*COS(B1122) - $B$7*$F$6*COS($F$6*B1122))</x:f>
      </x:c>
    </x:row>
    <x:row r="1123">
      <x:c r="A1123" s="13" t="n">
        <x:v>1104</x:v>
      </x:c>
      <x:c r="B1123" s="14">
        <x:f>IF($B$12&lt;1104,"",$B$13+(1104-1)*($B$14-$B$13)/($B$12-1))</x:f>
      </x:c>
      <x:c r="C1123" s="14">
        <x:f>IF(B1123="","",$F$8*COS(B1123) + $B$7*COS($F$6*B1123))</x:f>
      </x:c>
      <x:c r="D1123" s="14">
        <x:f>IF(B1123="","",$F$8*SIN(B1123) - $B$7*SIN($F$6*B1123))</x:f>
      </x:c>
      <x:c r="E1123" s="14">
        <x:f>IF(B1123="","", C1123 + $F$12*$F$9*(-H1123)/IF(SQRT(G1123^2+H1123^2)=0,1,SQRT(G1123^2+H1123^2)))</x:f>
      </x:c>
      <x:c r="F1123" s="14">
        <x:f>IF(B1123="","", D1123 + $F$12*$F$9*(G1123)/IF(SQRT(G1123^2+H1123^2)=0,1,SQRT(G1123^2+H1123^2)))</x:f>
      </x:c>
      <x:c r="G1123" s="14">
        <x:f>IF(B1123="","", -$F$8*SIN(B1123) - $B$7*$F$6*SIN($F$6*B1123))</x:f>
      </x:c>
      <x:c r="H1123" s="14">
        <x:f>IF(B1123="","", $F$8*COS(B1123) - $B$7*$F$6*COS($F$6*B1123))</x:f>
      </x:c>
    </x:row>
    <x:row r="1124">
      <x:c r="A1124" s="13" t="n">
        <x:v>1105</x:v>
      </x:c>
      <x:c r="B1124" s="14">
        <x:f>IF($B$12&lt;1105,"",$B$13+(1105-1)*($B$14-$B$13)/($B$12-1))</x:f>
      </x:c>
      <x:c r="C1124" s="14">
        <x:f>IF(B1124="","",$F$8*COS(B1124) + $B$7*COS($F$6*B1124))</x:f>
      </x:c>
      <x:c r="D1124" s="14">
        <x:f>IF(B1124="","",$F$8*SIN(B1124) - $B$7*SIN($F$6*B1124))</x:f>
      </x:c>
      <x:c r="E1124" s="14">
        <x:f>IF(B1124="","", C1124 + $F$12*$F$9*(-H1124)/IF(SQRT(G1124^2+H1124^2)=0,1,SQRT(G1124^2+H1124^2)))</x:f>
      </x:c>
      <x:c r="F1124" s="14">
        <x:f>IF(B1124="","", D1124 + $F$12*$F$9*(G1124)/IF(SQRT(G1124^2+H1124^2)=0,1,SQRT(G1124^2+H1124^2)))</x:f>
      </x:c>
      <x:c r="G1124" s="14">
        <x:f>IF(B1124="","", -$F$8*SIN(B1124) - $B$7*$F$6*SIN($F$6*B1124))</x:f>
      </x:c>
      <x:c r="H1124" s="14">
        <x:f>IF(B1124="","", $F$8*COS(B1124) - $B$7*$F$6*COS($F$6*B1124))</x:f>
      </x:c>
    </x:row>
    <x:row r="1125">
      <x:c r="A1125" s="13" t="n">
        <x:v>1106</x:v>
      </x:c>
      <x:c r="B1125" s="14">
        <x:f>IF($B$12&lt;1106,"",$B$13+(1106-1)*($B$14-$B$13)/($B$12-1))</x:f>
      </x:c>
      <x:c r="C1125" s="14">
        <x:f>IF(B1125="","",$F$8*COS(B1125) + $B$7*COS($F$6*B1125))</x:f>
      </x:c>
      <x:c r="D1125" s="14">
        <x:f>IF(B1125="","",$F$8*SIN(B1125) - $B$7*SIN($F$6*B1125))</x:f>
      </x:c>
      <x:c r="E1125" s="14">
        <x:f>IF(B1125="","", C1125 + $F$12*$F$9*(-H1125)/IF(SQRT(G1125^2+H1125^2)=0,1,SQRT(G1125^2+H1125^2)))</x:f>
      </x:c>
      <x:c r="F1125" s="14">
        <x:f>IF(B1125="","", D1125 + $F$12*$F$9*(G1125)/IF(SQRT(G1125^2+H1125^2)=0,1,SQRT(G1125^2+H1125^2)))</x:f>
      </x:c>
      <x:c r="G1125" s="14">
        <x:f>IF(B1125="","", -$F$8*SIN(B1125) - $B$7*$F$6*SIN($F$6*B1125))</x:f>
      </x:c>
      <x:c r="H1125" s="14">
        <x:f>IF(B1125="","", $F$8*COS(B1125) - $B$7*$F$6*COS($F$6*B1125))</x:f>
      </x:c>
    </x:row>
    <x:row r="1126">
      <x:c r="A1126" s="13" t="n">
        <x:v>1107</x:v>
      </x:c>
      <x:c r="B1126" s="14">
        <x:f>IF($B$12&lt;1107,"",$B$13+(1107-1)*($B$14-$B$13)/($B$12-1))</x:f>
      </x:c>
      <x:c r="C1126" s="14">
        <x:f>IF(B1126="","",$F$8*COS(B1126) + $B$7*COS($F$6*B1126))</x:f>
      </x:c>
      <x:c r="D1126" s="14">
        <x:f>IF(B1126="","",$F$8*SIN(B1126) - $B$7*SIN($F$6*B1126))</x:f>
      </x:c>
      <x:c r="E1126" s="14">
        <x:f>IF(B1126="","", C1126 + $F$12*$F$9*(-H1126)/IF(SQRT(G1126^2+H1126^2)=0,1,SQRT(G1126^2+H1126^2)))</x:f>
      </x:c>
      <x:c r="F1126" s="14">
        <x:f>IF(B1126="","", D1126 + $F$12*$F$9*(G1126)/IF(SQRT(G1126^2+H1126^2)=0,1,SQRT(G1126^2+H1126^2)))</x:f>
      </x:c>
      <x:c r="G1126" s="14">
        <x:f>IF(B1126="","", -$F$8*SIN(B1126) - $B$7*$F$6*SIN($F$6*B1126))</x:f>
      </x:c>
      <x:c r="H1126" s="14">
        <x:f>IF(B1126="","", $F$8*COS(B1126) - $B$7*$F$6*COS($F$6*B1126))</x:f>
      </x:c>
    </x:row>
    <x:row r="1127">
      <x:c r="A1127" s="13" t="n">
        <x:v>1108</x:v>
      </x:c>
      <x:c r="B1127" s="14">
        <x:f>IF($B$12&lt;1108,"",$B$13+(1108-1)*($B$14-$B$13)/($B$12-1))</x:f>
      </x:c>
      <x:c r="C1127" s="14">
        <x:f>IF(B1127="","",$F$8*COS(B1127) + $B$7*COS($F$6*B1127))</x:f>
      </x:c>
      <x:c r="D1127" s="14">
        <x:f>IF(B1127="","",$F$8*SIN(B1127) - $B$7*SIN($F$6*B1127))</x:f>
      </x:c>
      <x:c r="E1127" s="14">
        <x:f>IF(B1127="","", C1127 + $F$12*$F$9*(-H1127)/IF(SQRT(G1127^2+H1127^2)=0,1,SQRT(G1127^2+H1127^2)))</x:f>
      </x:c>
      <x:c r="F1127" s="14">
        <x:f>IF(B1127="","", D1127 + $F$12*$F$9*(G1127)/IF(SQRT(G1127^2+H1127^2)=0,1,SQRT(G1127^2+H1127^2)))</x:f>
      </x:c>
      <x:c r="G1127" s="14">
        <x:f>IF(B1127="","", -$F$8*SIN(B1127) - $B$7*$F$6*SIN($F$6*B1127))</x:f>
      </x:c>
      <x:c r="H1127" s="14">
        <x:f>IF(B1127="","", $F$8*COS(B1127) - $B$7*$F$6*COS($F$6*B1127))</x:f>
      </x:c>
    </x:row>
    <x:row r="1128">
      <x:c r="A1128" s="13" t="n">
        <x:v>1109</x:v>
      </x:c>
      <x:c r="B1128" s="14">
        <x:f>IF($B$12&lt;1109,"",$B$13+(1109-1)*($B$14-$B$13)/($B$12-1))</x:f>
      </x:c>
      <x:c r="C1128" s="14">
        <x:f>IF(B1128="","",$F$8*COS(B1128) + $B$7*COS($F$6*B1128))</x:f>
      </x:c>
      <x:c r="D1128" s="14">
        <x:f>IF(B1128="","",$F$8*SIN(B1128) - $B$7*SIN($F$6*B1128))</x:f>
      </x:c>
      <x:c r="E1128" s="14">
        <x:f>IF(B1128="","", C1128 + $F$12*$F$9*(-H1128)/IF(SQRT(G1128^2+H1128^2)=0,1,SQRT(G1128^2+H1128^2)))</x:f>
      </x:c>
      <x:c r="F1128" s="14">
        <x:f>IF(B1128="","", D1128 + $F$12*$F$9*(G1128)/IF(SQRT(G1128^2+H1128^2)=0,1,SQRT(G1128^2+H1128^2)))</x:f>
      </x:c>
      <x:c r="G1128" s="14">
        <x:f>IF(B1128="","", -$F$8*SIN(B1128) - $B$7*$F$6*SIN($F$6*B1128))</x:f>
      </x:c>
      <x:c r="H1128" s="14">
        <x:f>IF(B1128="","", $F$8*COS(B1128) - $B$7*$F$6*COS($F$6*B1128))</x:f>
      </x:c>
    </x:row>
    <x:row r="1129">
      <x:c r="A1129" s="13" t="n">
        <x:v>1110</x:v>
      </x:c>
      <x:c r="B1129" s="14">
        <x:f>IF($B$12&lt;1110,"",$B$13+(1110-1)*($B$14-$B$13)/($B$12-1))</x:f>
      </x:c>
      <x:c r="C1129" s="14">
        <x:f>IF(B1129="","",$F$8*COS(B1129) + $B$7*COS($F$6*B1129))</x:f>
      </x:c>
      <x:c r="D1129" s="14">
        <x:f>IF(B1129="","",$F$8*SIN(B1129) - $B$7*SIN($F$6*B1129))</x:f>
      </x:c>
      <x:c r="E1129" s="14">
        <x:f>IF(B1129="","", C1129 + $F$12*$F$9*(-H1129)/IF(SQRT(G1129^2+H1129^2)=0,1,SQRT(G1129^2+H1129^2)))</x:f>
      </x:c>
      <x:c r="F1129" s="14">
        <x:f>IF(B1129="","", D1129 + $F$12*$F$9*(G1129)/IF(SQRT(G1129^2+H1129^2)=0,1,SQRT(G1129^2+H1129^2)))</x:f>
      </x:c>
      <x:c r="G1129" s="14">
        <x:f>IF(B1129="","", -$F$8*SIN(B1129) - $B$7*$F$6*SIN($F$6*B1129))</x:f>
      </x:c>
      <x:c r="H1129" s="14">
        <x:f>IF(B1129="","", $F$8*COS(B1129) - $B$7*$F$6*COS($F$6*B1129))</x:f>
      </x:c>
    </x:row>
    <x:row r="1130">
      <x:c r="A1130" s="13" t="n">
        <x:v>1111</x:v>
      </x:c>
      <x:c r="B1130" s="14">
        <x:f>IF($B$12&lt;1111,"",$B$13+(1111-1)*($B$14-$B$13)/($B$12-1))</x:f>
      </x:c>
      <x:c r="C1130" s="14">
        <x:f>IF(B1130="","",$F$8*COS(B1130) + $B$7*COS($F$6*B1130))</x:f>
      </x:c>
      <x:c r="D1130" s="14">
        <x:f>IF(B1130="","",$F$8*SIN(B1130) - $B$7*SIN($F$6*B1130))</x:f>
      </x:c>
      <x:c r="E1130" s="14">
        <x:f>IF(B1130="","", C1130 + $F$12*$F$9*(-H1130)/IF(SQRT(G1130^2+H1130^2)=0,1,SQRT(G1130^2+H1130^2)))</x:f>
      </x:c>
      <x:c r="F1130" s="14">
        <x:f>IF(B1130="","", D1130 + $F$12*$F$9*(G1130)/IF(SQRT(G1130^2+H1130^2)=0,1,SQRT(G1130^2+H1130^2)))</x:f>
      </x:c>
      <x:c r="G1130" s="14">
        <x:f>IF(B1130="","", -$F$8*SIN(B1130) - $B$7*$F$6*SIN($F$6*B1130))</x:f>
      </x:c>
      <x:c r="H1130" s="14">
        <x:f>IF(B1130="","", $F$8*COS(B1130) - $B$7*$F$6*COS($F$6*B1130))</x:f>
      </x:c>
    </x:row>
    <x:row r="1131">
      <x:c r="A1131" s="13" t="n">
        <x:v>1112</x:v>
      </x:c>
      <x:c r="B1131" s="14">
        <x:f>IF($B$12&lt;1112,"",$B$13+(1112-1)*($B$14-$B$13)/($B$12-1))</x:f>
      </x:c>
      <x:c r="C1131" s="14">
        <x:f>IF(B1131="","",$F$8*COS(B1131) + $B$7*COS($F$6*B1131))</x:f>
      </x:c>
      <x:c r="D1131" s="14">
        <x:f>IF(B1131="","",$F$8*SIN(B1131) - $B$7*SIN($F$6*B1131))</x:f>
      </x:c>
      <x:c r="E1131" s="14">
        <x:f>IF(B1131="","", C1131 + $F$12*$F$9*(-H1131)/IF(SQRT(G1131^2+H1131^2)=0,1,SQRT(G1131^2+H1131^2)))</x:f>
      </x:c>
      <x:c r="F1131" s="14">
        <x:f>IF(B1131="","", D1131 + $F$12*$F$9*(G1131)/IF(SQRT(G1131^2+H1131^2)=0,1,SQRT(G1131^2+H1131^2)))</x:f>
      </x:c>
      <x:c r="G1131" s="14">
        <x:f>IF(B1131="","", -$F$8*SIN(B1131) - $B$7*$F$6*SIN($F$6*B1131))</x:f>
      </x:c>
      <x:c r="H1131" s="14">
        <x:f>IF(B1131="","", $F$8*COS(B1131) - $B$7*$F$6*COS($F$6*B1131))</x:f>
      </x:c>
    </x:row>
    <x:row r="1132">
      <x:c r="A1132" s="13" t="n">
        <x:v>1113</x:v>
      </x:c>
      <x:c r="B1132" s="14">
        <x:f>IF($B$12&lt;1113,"",$B$13+(1113-1)*($B$14-$B$13)/($B$12-1))</x:f>
      </x:c>
      <x:c r="C1132" s="14">
        <x:f>IF(B1132="","",$F$8*COS(B1132) + $B$7*COS($F$6*B1132))</x:f>
      </x:c>
      <x:c r="D1132" s="14">
        <x:f>IF(B1132="","",$F$8*SIN(B1132) - $B$7*SIN($F$6*B1132))</x:f>
      </x:c>
      <x:c r="E1132" s="14">
        <x:f>IF(B1132="","", C1132 + $F$12*$F$9*(-H1132)/IF(SQRT(G1132^2+H1132^2)=0,1,SQRT(G1132^2+H1132^2)))</x:f>
      </x:c>
      <x:c r="F1132" s="14">
        <x:f>IF(B1132="","", D1132 + $F$12*$F$9*(G1132)/IF(SQRT(G1132^2+H1132^2)=0,1,SQRT(G1132^2+H1132^2)))</x:f>
      </x:c>
      <x:c r="G1132" s="14">
        <x:f>IF(B1132="","", -$F$8*SIN(B1132) - $B$7*$F$6*SIN($F$6*B1132))</x:f>
      </x:c>
      <x:c r="H1132" s="14">
        <x:f>IF(B1132="","", $F$8*COS(B1132) - $B$7*$F$6*COS($F$6*B1132))</x:f>
      </x:c>
    </x:row>
    <x:row r="1133">
      <x:c r="A1133" s="13" t="n">
        <x:v>1114</x:v>
      </x:c>
      <x:c r="B1133" s="14">
        <x:f>IF($B$12&lt;1114,"",$B$13+(1114-1)*($B$14-$B$13)/($B$12-1))</x:f>
      </x:c>
      <x:c r="C1133" s="14">
        <x:f>IF(B1133="","",$F$8*COS(B1133) + $B$7*COS($F$6*B1133))</x:f>
      </x:c>
      <x:c r="D1133" s="14">
        <x:f>IF(B1133="","",$F$8*SIN(B1133) - $B$7*SIN($F$6*B1133))</x:f>
      </x:c>
      <x:c r="E1133" s="14">
        <x:f>IF(B1133="","", C1133 + $F$12*$F$9*(-H1133)/IF(SQRT(G1133^2+H1133^2)=0,1,SQRT(G1133^2+H1133^2)))</x:f>
      </x:c>
      <x:c r="F1133" s="14">
        <x:f>IF(B1133="","", D1133 + $F$12*$F$9*(G1133)/IF(SQRT(G1133^2+H1133^2)=0,1,SQRT(G1133^2+H1133^2)))</x:f>
      </x:c>
      <x:c r="G1133" s="14">
        <x:f>IF(B1133="","", -$F$8*SIN(B1133) - $B$7*$F$6*SIN($F$6*B1133))</x:f>
      </x:c>
      <x:c r="H1133" s="14">
        <x:f>IF(B1133="","", $F$8*COS(B1133) - $B$7*$F$6*COS($F$6*B1133))</x:f>
      </x:c>
    </x:row>
    <x:row r="1134">
      <x:c r="A1134" s="13" t="n">
        <x:v>1115</x:v>
      </x:c>
      <x:c r="B1134" s="14">
        <x:f>IF($B$12&lt;1115,"",$B$13+(1115-1)*($B$14-$B$13)/($B$12-1))</x:f>
      </x:c>
      <x:c r="C1134" s="14">
        <x:f>IF(B1134="","",$F$8*COS(B1134) + $B$7*COS($F$6*B1134))</x:f>
      </x:c>
      <x:c r="D1134" s="14">
        <x:f>IF(B1134="","",$F$8*SIN(B1134) - $B$7*SIN($F$6*B1134))</x:f>
      </x:c>
      <x:c r="E1134" s="14">
        <x:f>IF(B1134="","", C1134 + $F$12*$F$9*(-H1134)/IF(SQRT(G1134^2+H1134^2)=0,1,SQRT(G1134^2+H1134^2)))</x:f>
      </x:c>
      <x:c r="F1134" s="14">
        <x:f>IF(B1134="","", D1134 + $F$12*$F$9*(G1134)/IF(SQRT(G1134^2+H1134^2)=0,1,SQRT(G1134^2+H1134^2)))</x:f>
      </x:c>
      <x:c r="G1134" s="14">
        <x:f>IF(B1134="","", -$F$8*SIN(B1134) - $B$7*$F$6*SIN($F$6*B1134))</x:f>
      </x:c>
      <x:c r="H1134" s="14">
        <x:f>IF(B1134="","", $F$8*COS(B1134) - $B$7*$F$6*COS($F$6*B1134))</x:f>
      </x:c>
    </x:row>
    <x:row r="1135">
      <x:c r="A1135" s="13" t="n">
        <x:v>1116</x:v>
      </x:c>
      <x:c r="B1135" s="14">
        <x:f>IF($B$12&lt;1116,"",$B$13+(1116-1)*($B$14-$B$13)/($B$12-1))</x:f>
      </x:c>
      <x:c r="C1135" s="14">
        <x:f>IF(B1135="","",$F$8*COS(B1135) + $B$7*COS($F$6*B1135))</x:f>
      </x:c>
      <x:c r="D1135" s="14">
        <x:f>IF(B1135="","",$F$8*SIN(B1135) - $B$7*SIN($F$6*B1135))</x:f>
      </x:c>
      <x:c r="E1135" s="14">
        <x:f>IF(B1135="","", C1135 + $F$12*$F$9*(-H1135)/IF(SQRT(G1135^2+H1135^2)=0,1,SQRT(G1135^2+H1135^2)))</x:f>
      </x:c>
      <x:c r="F1135" s="14">
        <x:f>IF(B1135="","", D1135 + $F$12*$F$9*(G1135)/IF(SQRT(G1135^2+H1135^2)=0,1,SQRT(G1135^2+H1135^2)))</x:f>
      </x:c>
      <x:c r="G1135" s="14">
        <x:f>IF(B1135="","", -$F$8*SIN(B1135) - $B$7*$F$6*SIN($F$6*B1135))</x:f>
      </x:c>
      <x:c r="H1135" s="14">
        <x:f>IF(B1135="","", $F$8*COS(B1135) - $B$7*$F$6*COS($F$6*B1135))</x:f>
      </x:c>
    </x:row>
    <x:row r="1136">
      <x:c r="A1136" s="13" t="n">
        <x:v>1117</x:v>
      </x:c>
      <x:c r="B1136" s="14">
        <x:f>IF($B$12&lt;1117,"",$B$13+(1117-1)*($B$14-$B$13)/($B$12-1))</x:f>
      </x:c>
      <x:c r="C1136" s="14">
        <x:f>IF(B1136="","",$F$8*COS(B1136) + $B$7*COS($F$6*B1136))</x:f>
      </x:c>
      <x:c r="D1136" s="14">
        <x:f>IF(B1136="","",$F$8*SIN(B1136) - $B$7*SIN($F$6*B1136))</x:f>
      </x:c>
      <x:c r="E1136" s="14">
        <x:f>IF(B1136="","", C1136 + $F$12*$F$9*(-H1136)/IF(SQRT(G1136^2+H1136^2)=0,1,SQRT(G1136^2+H1136^2)))</x:f>
      </x:c>
      <x:c r="F1136" s="14">
        <x:f>IF(B1136="","", D1136 + $F$12*$F$9*(G1136)/IF(SQRT(G1136^2+H1136^2)=0,1,SQRT(G1136^2+H1136^2)))</x:f>
      </x:c>
      <x:c r="G1136" s="14">
        <x:f>IF(B1136="","", -$F$8*SIN(B1136) - $B$7*$F$6*SIN($F$6*B1136))</x:f>
      </x:c>
      <x:c r="H1136" s="14">
        <x:f>IF(B1136="","", $F$8*COS(B1136) - $B$7*$F$6*COS($F$6*B1136))</x:f>
      </x:c>
    </x:row>
    <x:row r="1137">
      <x:c r="A1137" s="13" t="n">
        <x:v>1118</x:v>
      </x:c>
      <x:c r="B1137" s="14">
        <x:f>IF($B$12&lt;1118,"",$B$13+(1118-1)*($B$14-$B$13)/($B$12-1))</x:f>
      </x:c>
      <x:c r="C1137" s="14">
        <x:f>IF(B1137="","",$F$8*COS(B1137) + $B$7*COS($F$6*B1137))</x:f>
      </x:c>
      <x:c r="D1137" s="14">
        <x:f>IF(B1137="","",$F$8*SIN(B1137) - $B$7*SIN($F$6*B1137))</x:f>
      </x:c>
      <x:c r="E1137" s="14">
        <x:f>IF(B1137="","", C1137 + $F$12*$F$9*(-H1137)/IF(SQRT(G1137^2+H1137^2)=0,1,SQRT(G1137^2+H1137^2)))</x:f>
      </x:c>
      <x:c r="F1137" s="14">
        <x:f>IF(B1137="","", D1137 + $F$12*$F$9*(G1137)/IF(SQRT(G1137^2+H1137^2)=0,1,SQRT(G1137^2+H1137^2)))</x:f>
      </x:c>
      <x:c r="G1137" s="14">
        <x:f>IF(B1137="","", -$F$8*SIN(B1137) - $B$7*$F$6*SIN($F$6*B1137))</x:f>
      </x:c>
      <x:c r="H1137" s="14">
        <x:f>IF(B1137="","", $F$8*COS(B1137) - $B$7*$F$6*COS($F$6*B1137))</x:f>
      </x:c>
    </x:row>
    <x:row r="1138">
      <x:c r="A1138" s="13" t="n">
        <x:v>1119</x:v>
      </x:c>
      <x:c r="B1138" s="14">
        <x:f>IF($B$12&lt;1119,"",$B$13+(1119-1)*($B$14-$B$13)/($B$12-1))</x:f>
      </x:c>
      <x:c r="C1138" s="14">
        <x:f>IF(B1138="","",$F$8*COS(B1138) + $B$7*COS($F$6*B1138))</x:f>
      </x:c>
      <x:c r="D1138" s="14">
        <x:f>IF(B1138="","",$F$8*SIN(B1138) - $B$7*SIN($F$6*B1138))</x:f>
      </x:c>
      <x:c r="E1138" s="14">
        <x:f>IF(B1138="","", C1138 + $F$12*$F$9*(-H1138)/IF(SQRT(G1138^2+H1138^2)=0,1,SQRT(G1138^2+H1138^2)))</x:f>
      </x:c>
      <x:c r="F1138" s="14">
        <x:f>IF(B1138="","", D1138 + $F$12*$F$9*(G1138)/IF(SQRT(G1138^2+H1138^2)=0,1,SQRT(G1138^2+H1138^2)))</x:f>
      </x:c>
      <x:c r="G1138" s="14">
        <x:f>IF(B1138="","", -$F$8*SIN(B1138) - $B$7*$F$6*SIN($F$6*B1138))</x:f>
      </x:c>
      <x:c r="H1138" s="14">
        <x:f>IF(B1138="","", $F$8*COS(B1138) - $B$7*$F$6*COS($F$6*B1138))</x:f>
      </x:c>
    </x:row>
    <x:row r="1139">
      <x:c r="A1139" s="13" t="n">
        <x:v>1120</x:v>
      </x:c>
      <x:c r="B1139" s="14">
        <x:f>IF($B$12&lt;1120,"",$B$13+(1120-1)*($B$14-$B$13)/($B$12-1))</x:f>
      </x:c>
      <x:c r="C1139" s="14">
        <x:f>IF(B1139="","",$F$8*COS(B1139) + $B$7*COS($F$6*B1139))</x:f>
      </x:c>
      <x:c r="D1139" s="14">
        <x:f>IF(B1139="","",$F$8*SIN(B1139) - $B$7*SIN($F$6*B1139))</x:f>
      </x:c>
      <x:c r="E1139" s="14">
        <x:f>IF(B1139="","", C1139 + $F$12*$F$9*(-H1139)/IF(SQRT(G1139^2+H1139^2)=0,1,SQRT(G1139^2+H1139^2)))</x:f>
      </x:c>
      <x:c r="F1139" s="14">
        <x:f>IF(B1139="","", D1139 + $F$12*$F$9*(G1139)/IF(SQRT(G1139^2+H1139^2)=0,1,SQRT(G1139^2+H1139^2)))</x:f>
      </x:c>
      <x:c r="G1139" s="14">
        <x:f>IF(B1139="","", -$F$8*SIN(B1139) - $B$7*$F$6*SIN($F$6*B1139))</x:f>
      </x:c>
      <x:c r="H1139" s="14">
        <x:f>IF(B1139="","", $F$8*COS(B1139) - $B$7*$F$6*COS($F$6*B1139))</x:f>
      </x:c>
    </x:row>
    <x:row r="1140">
      <x:c r="A1140" s="13" t="n">
        <x:v>1121</x:v>
      </x:c>
      <x:c r="B1140" s="14">
        <x:f>IF($B$12&lt;1121,"",$B$13+(1121-1)*($B$14-$B$13)/($B$12-1))</x:f>
      </x:c>
      <x:c r="C1140" s="14">
        <x:f>IF(B1140="","",$F$8*COS(B1140) + $B$7*COS($F$6*B1140))</x:f>
      </x:c>
      <x:c r="D1140" s="14">
        <x:f>IF(B1140="","",$F$8*SIN(B1140) - $B$7*SIN($F$6*B1140))</x:f>
      </x:c>
      <x:c r="E1140" s="14">
        <x:f>IF(B1140="","", C1140 + $F$12*$F$9*(-H1140)/IF(SQRT(G1140^2+H1140^2)=0,1,SQRT(G1140^2+H1140^2)))</x:f>
      </x:c>
      <x:c r="F1140" s="14">
        <x:f>IF(B1140="","", D1140 + $F$12*$F$9*(G1140)/IF(SQRT(G1140^2+H1140^2)=0,1,SQRT(G1140^2+H1140^2)))</x:f>
      </x:c>
      <x:c r="G1140" s="14">
        <x:f>IF(B1140="","", -$F$8*SIN(B1140) - $B$7*$F$6*SIN($F$6*B1140))</x:f>
      </x:c>
      <x:c r="H1140" s="14">
        <x:f>IF(B1140="","", $F$8*COS(B1140) - $B$7*$F$6*COS($F$6*B1140))</x:f>
      </x:c>
    </x:row>
    <x:row r="1141">
      <x:c r="A1141" s="13" t="n">
        <x:v>1122</x:v>
      </x:c>
      <x:c r="B1141" s="14">
        <x:f>IF($B$12&lt;1122,"",$B$13+(1122-1)*($B$14-$B$13)/($B$12-1))</x:f>
      </x:c>
      <x:c r="C1141" s="14">
        <x:f>IF(B1141="","",$F$8*COS(B1141) + $B$7*COS($F$6*B1141))</x:f>
      </x:c>
      <x:c r="D1141" s="14">
        <x:f>IF(B1141="","",$F$8*SIN(B1141) - $B$7*SIN($F$6*B1141))</x:f>
      </x:c>
      <x:c r="E1141" s="14">
        <x:f>IF(B1141="","", C1141 + $F$12*$F$9*(-H1141)/IF(SQRT(G1141^2+H1141^2)=0,1,SQRT(G1141^2+H1141^2)))</x:f>
      </x:c>
      <x:c r="F1141" s="14">
        <x:f>IF(B1141="","", D1141 + $F$12*$F$9*(G1141)/IF(SQRT(G1141^2+H1141^2)=0,1,SQRT(G1141^2+H1141^2)))</x:f>
      </x:c>
      <x:c r="G1141" s="14">
        <x:f>IF(B1141="","", -$F$8*SIN(B1141) - $B$7*$F$6*SIN($F$6*B1141))</x:f>
      </x:c>
      <x:c r="H1141" s="14">
        <x:f>IF(B1141="","", $F$8*COS(B1141) - $B$7*$F$6*COS($F$6*B1141))</x:f>
      </x:c>
    </x:row>
    <x:row r="1142">
      <x:c r="A1142" s="13" t="n">
        <x:v>1123</x:v>
      </x:c>
      <x:c r="B1142" s="14">
        <x:f>IF($B$12&lt;1123,"",$B$13+(1123-1)*($B$14-$B$13)/($B$12-1))</x:f>
      </x:c>
      <x:c r="C1142" s="14">
        <x:f>IF(B1142="","",$F$8*COS(B1142) + $B$7*COS($F$6*B1142))</x:f>
      </x:c>
      <x:c r="D1142" s="14">
        <x:f>IF(B1142="","",$F$8*SIN(B1142) - $B$7*SIN($F$6*B1142))</x:f>
      </x:c>
      <x:c r="E1142" s="14">
        <x:f>IF(B1142="","", C1142 + $F$12*$F$9*(-H1142)/IF(SQRT(G1142^2+H1142^2)=0,1,SQRT(G1142^2+H1142^2)))</x:f>
      </x:c>
      <x:c r="F1142" s="14">
        <x:f>IF(B1142="","", D1142 + $F$12*$F$9*(G1142)/IF(SQRT(G1142^2+H1142^2)=0,1,SQRT(G1142^2+H1142^2)))</x:f>
      </x:c>
      <x:c r="G1142" s="14">
        <x:f>IF(B1142="","", -$F$8*SIN(B1142) - $B$7*$F$6*SIN($F$6*B1142))</x:f>
      </x:c>
      <x:c r="H1142" s="14">
        <x:f>IF(B1142="","", $F$8*COS(B1142) - $B$7*$F$6*COS($F$6*B1142))</x:f>
      </x:c>
    </x:row>
    <x:row r="1143">
      <x:c r="A1143" s="13" t="n">
        <x:v>1124</x:v>
      </x:c>
      <x:c r="B1143" s="14">
        <x:f>IF($B$12&lt;1124,"",$B$13+(1124-1)*($B$14-$B$13)/($B$12-1))</x:f>
      </x:c>
      <x:c r="C1143" s="14">
        <x:f>IF(B1143="","",$F$8*COS(B1143) + $B$7*COS($F$6*B1143))</x:f>
      </x:c>
      <x:c r="D1143" s="14">
        <x:f>IF(B1143="","",$F$8*SIN(B1143) - $B$7*SIN($F$6*B1143))</x:f>
      </x:c>
      <x:c r="E1143" s="14">
        <x:f>IF(B1143="","", C1143 + $F$12*$F$9*(-H1143)/IF(SQRT(G1143^2+H1143^2)=0,1,SQRT(G1143^2+H1143^2)))</x:f>
      </x:c>
      <x:c r="F1143" s="14">
        <x:f>IF(B1143="","", D1143 + $F$12*$F$9*(G1143)/IF(SQRT(G1143^2+H1143^2)=0,1,SQRT(G1143^2+H1143^2)))</x:f>
      </x:c>
      <x:c r="G1143" s="14">
        <x:f>IF(B1143="","", -$F$8*SIN(B1143) - $B$7*$F$6*SIN($F$6*B1143))</x:f>
      </x:c>
      <x:c r="H1143" s="14">
        <x:f>IF(B1143="","", $F$8*COS(B1143) - $B$7*$F$6*COS($F$6*B1143))</x:f>
      </x:c>
    </x:row>
    <x:row r="1144">
      <x:c r="A1144" s="13" t="n">
        <x:v>1125</x:v>
      </x:c>
      <x:c r="B1144" s="14">
        <x:f>IF($B$12&lt;1125,"",$B$13+(1125-1)*($B$14-$B$13)/($B$12-1))</x:f>
      </x:c>
      <x:c r="C1144" s="14">
        <x:f>IF(B1144="","",$F$8*COS(B1144) + $B$7*COS($F$6*B1144))</x:f>
      </x:c>
      <x:c r="D1144" s="14">
        <x:f>IF(B1144="","",$F$8*SIN(B1144) - $B$7*SIN($F$6*B1144))</x:f>
      </x:c>
      <x:c r="E1144" s="14">
        <x:f>IF(B1144="","", C1144 + $F$12*$F$9*(-H1144)/IF(SQRT(G1144^2+H1144^2)=0,1,SQRT(G1144^2+H1144^2)))</x:f>
      </x:c>
      <x:c r="F1144" s="14">
        <x:f>IF(B1144="","", D1144 + $F$12*$F$9*(G1144)/IF(SQRT(G1144^2+H1144^2)=0,1,SQRT(G1144^2+H1144^2)))</x:f>
      </x:c>
      <x:c r="G1144" s="14">
        <x:f>IF(B1144="","", -$F$8*SIN(B1144) - $B$7*$F$6*SIN($F$6*B1144))</x:f>
      </x:c>
      <x:c r="H1144" s="14">
        <x:f>IF(B1144="","", $F$8*COS(B1144) - $B$7*$F$6*COS($F$6*B1144))</x:f>
      </x:c>
    </x:row>
    <x:row r="1145">
      <x:c r="A1145" s="13" t="n">
        <x:v>1126</x:v>
      </x:c>
      <x:c r="B1145" s="14">
        <x:f>IF($B$12&lt;1126,"",$B$13+(1126-1)*($B$14-$B$13)/($B$12-1))</x:f>
      </x:c>
      <x:c r="C1145" s="14">
        <x:f>IF(B1145="","",$F$8*COS(B1145) + $B$7*COS($F$6*B1145))</x:f>
      </x:c>
      <x:c r="D1145" s="14">
        <x:f>IF(B1145="","",$F$8*SIN(B1145) - $B$7*SIN($F$6*B1145))</x:f>
      </x:c>
      <x:c r="E1145" s="14">
        <x:f>IF(B1145="","", C1145 + $F$12*$F$9*(-H1145)/IF(SQRT(G1145^2+H1145^2)=0,1,SQRT(G1145^2+H1145^2)))</x:f>
      </x:c>
      <x:c r="F1145" s="14">
        <x:f>IF(B1145="","", D1145 + $F$12*$F$9*(G1145)/IF(SQRT(G1145^2+H1145^2)=0,1,SQRT(G1145^2+H1145^2)))</x:f>
      </x:c>
      <x:c r="G1145" s="14">
        <x:f>IF(B1145="","", -$F$8*SIN(B1145) - $B$7*$F$6*SIN($F$6*B1145))</x:f>
      </x:c>
      <x:c r="H1145" s="14">
        <x:f>IF(B1145="","", $F$8*COS(B1145) - $B$7*$F$6*COS($F$6*B1145))</x:f>
      </x:c>
    </x:row>
    <x:row r="1146">
      <x:c r="A1146" s="13" t="n">
        <x:v>1127</x:v>
      </x:c>
      <x:c r="B1146" s="14">
        <x:f>IF($B$12&lt;1127,"",$B$13+(1127-1)*($B$14-$B$13)/($B$12-1))</x:f>
      </x:c>
      <x:c r="C1146" s="14">
        <x:f>IF(B1146="","",$F$8*COS(B1146) + $B$7*COS($F$6*B1146))</x:f>
      </x:c>
      <x:c r="D1146" s="14">
        <x:f>IF(B1146="","",$F$8*SIN(B1146) - $B$7*SIN($F$6*B1146))</x:f>
      </x:c>
      <x:c r="E1146" s="14">
        <x:f>IF(B1146="","", C1146 + $F$12*$F$9*(-H1146)/IF(SQRT(G1146^2+H1146^2)=0,1,SQRT(G1146^2+H1146^2)))</x:f>
      </x:c>
      <x:c r="F1146" s="14">
        <x:f>IF(B1146="","", D1146 + $F$12*$F$9*(G1146)/IF(SQRT(G1146^2+H1146^2)=0,1,SQRT(G1146^2+H1146^2)))</x:f>
      </x:c>
      <x:c r="G1146" s="14">
        <x:f>IF(B1146="","", -$F$8*SIN(B1146) - $B$7*$F$6*SIN($F$6*B1146))</x:f>
      </x:c>
      <x:c r="H1146" s="14">
        <x:f>IF(B1146="","", $F$8*COS(B1146) - $B$7*$F$6*COS($F$6*B1146))</x:f>
      </x:c>
    </x:row>
    <x:row r="1147">
      <x:c r="A1147" s="13" t="n">
        <x:v>1128</x:v>
      </x:c>
      <x:c r="B1147" s="14">
        <x:f>IF($B$12&lt;1128,"",$B$13+(1128-1)*($B$14-$B$13)/($B$12-1))</x:f>
      </x:c>
      <x:c r="C1147" s="14">
        <x:f>IF(B1147="","",$F$8*COS(B1147) + $B$7*COS($F$6*B1147))</x:f>
      </x:c>
      <x:c r="D1147" s="14">
        <x:f>IF(B1147="","",$F$8*SIN(B1147) - $B$7*SIN($F$6*B1147))</x:f>
      </x:c>
      <x:c r="E1147" s="14">
        <x:f>IF(B1147="","", C1147 + $F$12*$F$9*(-H1147)/IF(SQRT(G1147^2+H1147^2)=0,1,SQRT(G1147^2+H1147^2)))</x:f>
      </x:c>
      <x:c r="F1147" s="14">
        <x:f>IF(B1147="","", D1147 + $F$12*$F$9*(G1147)/IF(SQRT(G1147^2+H1147^2)=0,1,SQRT(G1147^2+H1147^2)))</x:f>
      </x:c>
      <x:c r="G1147" s="14">
        <x:f>IF(B1147="","", -$F$8*SIN(B1147) - $B$7*$F$6*SIN($F$6*B1147))</x:f>
      </x:c>
      <x:c r="H1147" s="14">
        <x:f>IF(B1147="","", $F$8*COS(B1147) - $B$7*$F$6*COS($F$6*B1147))</x:f>
      </x:c>
    </x:row>
    <x:row r="1148">
      <x:c r="A1148" s="13" t="n">
        <x:v>1129</x:v>
      </x:c>
      <x:c r="B1148" s="14">
        <x:f>IF($B$12&lt;1129,"",$B$13+(1129-1)*($B$14-$B$13)/($B$12-1))</x:f>
      </x:c>
      <x:c r="C1148" s="14">
        <x:f>IF(B1148="","",$F$8*COS(B1148) + $B$7*COS($F$6*B1148))</x:f>
      </x:c>
      <x:c r="D1148" s="14">
        <x:f>IF(B1148="","",$F$8*SIN(B1148) - $B$7*SIN($F$6*B1148))</x:f>
      </x:c>
      <x:c r="E1148" s="14">
        <x:f>IF(B1148="","", C1148 + $F$12*$F$9*(-H1148)/IF(SQRT(G1148^2+H1148^2)=0,1,SQRT(G1148^2+H1148^2)))</x:f>
      </x:c>
      <x:c r="F1148" s="14">
        <x:f>IF(B1148="","", D1148 + $F$12*$F$9*(G1148)/IF(SQRT(G1148^2+H1148^2)=0,1,SQRT(G1148^2+H1148^2)))</x:f>
      </x:c>
      <x:c r="G1148" s="14">
        <x:f>IF(B1148="","", -$F$8*SIN(B1148) - $B$7*$F$6*SIN($F$6*B1148))</x:f>
      </x:c>
      <x:c r="H1148" s="14">
        <x:f>IF(B1148="","", $F$8*COS(B1148) - $B$7*$F$6*COS($F$6*B1148))</x:f>
      </x:c>
    </x:row>
    <x:row r="1149">
      <x:c r="A1149" s="13" t="n">
        <x:v>1130</x:v>
      </x:c>
      <x:c r="B1149" s="14">
        <x:f>IF($B$12&lt;1130,"",$B$13+(1130-1)*($B$14-$B$13)/($B$12-1))</x:f>
      </x:c>
      <x:c r="C1149" s="14">
        <x:f>IF(B1149="","",$F$8*COS(B1149) + $B$7*COS($F$6*B1149))</x:f>
      </x:c>
      <x:c r="D1149" s="14">
        <x:f>IF(B1149="","",$F$8*SIN(B1149) - $B$7*SIN($F$6*B1149))</x:f>
      </x:c>
      <x:c r="E1149" s="14">
        <x:f>IF(B1149="","", C1149 + $F$12*$F$9*(-H1149)/IF(SQRT(G1149^2+H1149^2)=0,1,SQRT(G1149^2+H1149^2)))</x:f>
      </x:c>
      <x:c r="F1149" s="14">
        <x:f>IF(B1149="","", D1149 + $F$12*$F$9*(G1149)/IF(SQRT(G1149^2+H1149^2)=0,1,SQRT(G1149^2+H1149^2)))</x:f>
      </x:c>
      <x:c r="G1149" s="14">
        <x:f>IF(B1149="","", -$F$8*SIN(B1149) - $B$7*$F$6*SIN($F$6*B1149))</x:f>
      </x:c>
      <x:c r="H1149" s="14">
        <x:f>IF(B1149="","", $F$8*COS(B1149) - $B$7*$F$6*COS($F$6*B1149))</x:f>
      </x:c>
    </x:row>
    <x:row r="1150">
      <x:c r="A1150" s="13" t="n">
        <x:v>1131</x:v>
      </x:c>
      <x:c r="B1150" s="14">
        <x:f>IF($B$12&lt;1131,"",$B$13+(1131-1)*($B$14-$B$13)/($B$12-1))</x:f>
      </x:c>
      <x:c r="C1150" s="14">
        <x:f>IF(B1150="","",$F$8*COS(B1150) + $B$7*COS($F$6*B1150))</x:f>
      </x:c>
      <x:c r="D1150" s="14">
        <x:f>IF(B1150="","",$F$8*SIN(B1150) - $B$7*SIN($F$6*B1150))</x:f>
      </x:c>
      <x:c r="E1150" s="14">
        <x:f>IF(B1150="","", C1150 + $F$12*$F$9*(-H1150)/IF(SQRT(G1150^2+H1150^2)=0,1,SQRT(G1150^2+H1150^2)))</x:f>
      </x:c>
      <x:c r="F1150" s="14">
        <x:f>IF(B1150="","", D1150 + $F$12*$F$9*(G1150)/IF(SQRT(G1150^2+H1150^2)=0,1,SQRT(G1150^2+H1150^2)))</x:f>
      </x:c>
      <x:c r="G1150" s="14">
        <x:f>IF(B1150="","", -$F$8*SIN(B1150) - $B$7*$F$6*SIN($F$6*B1150))</x:f>
      </x:c>
      <x:c r="H1150" s="14">
        <x:f>IF(B1150="","", $F$8*COS(B1150) - $B$7*$F$6*COS($F$6*B1150))</x:f>
      </x:c>
    </x:row>
    <x:row r="1151">
      <x:c r="A1151" s="13" t="n">
        <x:v>1132</x:v>
      </x:c>
      <x:c r="B1151" s="14">
        <x:f>IF($B$12&lt;1132,"",$B$13+(1132-1)*($B$14-$B$13)/($B$12-1))</x:f>
      </x:c>
      <x:c r="C1151" s="14">
        <x:f>IF(B1151="","",$F$8*COS(B1151) + $B$7*COS($F$6*B1151))</x:f>
      </x:c>
      <x:c r="D1151" s="14">
        <x:f>IF(B1151="","",$F$8*SIN(B1151) - $B$7*SIN($F$6*B1151))</x:f>
      </x:c>
      <x:c r="E1151" s="14">
        <x:f>IF(B1151="","", C1151 + $F$12*$F$9*(-H1151)/IF(SQRT(G1151^2+H1151^2)=0,1,SQRT(G1151^2+H1151^2)))</x:f>
      </x:c>
      <x:c r="F1151" s="14">
        <x:f>IF(B1151="","", D1151 + $F$12*$F$9*(G1151)/IF(SQRT(G1151^2+H1151^2)=0,1,SQRT(G1151^2+H1151^2)))</x:f>
      </x:c>
      <x:c r="G1151" s="14">
        <x:f>IF(B1151="","", -$F$8*SIN(B1151) - $B$7*$F$6*SIN($F$6*B1151))</x:f>
      </x:c>
      <x:c r="H1151" s="14">
        <x:f>IF(B1151="","", $F$8*COS(B1151) - $B$7*$F$6*COS($F$6*B1151))</x:f>
      </x:c>
    </x:row>
    <x:row r="1152">
      <x:c r="A1152" s="13" t="n">
        <x:v>1133</x:v>
      </x:c>
      <x:c r="B1152" s="14">
        <x:f>IF($B$12&lt;1133,"",$B$13+(1133-1)*($B$14-$B$13)/($B$12-1))</x:f>
      </x:c>
      <x:c r="C1152" s="14">
        <x:f>IF(B1152="","",$F$8*COS(B1152) + $B$7*COS($F$6*B1152))</x:f>
      </x:c>
      <x:c r="D1152" s="14">
        <x:f>IF(B1152="","",$F$8*SIN(B1152) - $B$7*SIN($F$6*B1152))</x:f>
      </x:c>
      <x:c r="E1152" s="14">
        <x:f>IF(B1152="","", C1152 + $F$12*$F$9*(-H1152)/IF(SQRT(G1152^2+H1152^2)=0,1,SQRT(G1152^2+H1152^2)))</x:f>
      </x:c>
      <x:c r="F1152" s="14">
        <x:f>IF(B1152="","", D1152 + $F$12*$F$9*(G1152)/IF(SQRT(G1152^2+H1152^2)=0,1,SQRT(G1152^2+H1152^2)))</x:f>
      </x:c>
      <x:c r="G1152" s="14">
        <x:f>IF(B1152="","", -$F$8*SIN(B1152) - $B$7*$F$6*SIN($F$6*B1152))</x:f>
      </x:c>
      <x:c r="H1152" s="14">
        <x:f>IF(B1152="","", $F$8*COS(B1152) - $B$7*$F$6*COS($F$6*B1152))</x:f>
      </x:c>
    </x:row>
    <x:row r="1153">
      <x:c r="A1153" s="13" t="n">
        <x:v>1134</x:v>
      </x:c>
      <x:c r="B1153" s="14">
        <x:f>IF($B$12&lt;1134,"",$B$13+(1134-1)*($B$14-$B$13)/($B$12-1))</x:f>
      </x:c>
      <x:c r="C1153" s="14">
        <x:f>IF(B1153="","",$F$8*COS(B1153) + $B$7*COS($F$6*B1153))</x:f>
      </x:c>
      <x:c r="D1153" s="14">
        <x:f>IF(B1153="","",$F$8*SIN(B1153) - $B$7*SIN($F$6*B1153))</x:f>
      </x:c>
      <x:c r="E1153" s="14">
        <x:f>IF(B1153="","", C1153 + $F$12*$F$9*(-H1153)/IF(SQRT(G1153^2+H1153^2)=0,1,SQRT(G1153^2+H1153^2)))</x:f>
      </x:c>
      <x:c r="F1153" s="14">
        <x:f>IF(B1153="","", D1153 + $F$12*$F$9*(G1153)/IF(SQRT(G1153^2+H1153^2)=0,1,SQRT(G1153^2+H1153^2)))</x:f>
      </x:c>
      <x:c r="G1153" s="14">
        <x:f>IF(B1153="","", -$F$8*SIN(B1153) - $B$7*$F$6*SIN($F$6*B1153))</x:f>
      </x:c>
      <x:c r="H1153" s="14">
        <x:f>IF(B1153="","", $F$8*COS(B1153) - $B$7*$F$6*COS($F$6*B1153))</x:f>
      </x:c>
    </x:row>
    <x:row r="1154">
      <x:c r="A1154" s="13" t="n">
        <x:v>1135</x:v>
      </x:c>
      <x:c r="B1154" s="14">
        <x:f>IF($B$12&lt;1135,"",$B$13+(1135-1)*($B$14-$B$13)/($B$12-1))</x:f>
      </x:c>
      <x:c r="C1154" s="14">
        <x:f>IF(B1154="","",$F$8*COS(B1154) + $B$7*COS($F$6*B1154))</x:f>
      </x:c>
      <x:c r="D1154" s="14">
        <x:f>IF(B1154="","",$F$8*SIN(B1154) - $B$7*SIN($F$6*B1154))</x:f>
      </x:c>
      <x:c r="E1154" s="14">
        <x:f>IF(B1154="","", C1154 + $F$12*$F$9*(-H1154)/IF(SQRT(G1154^2+H1154^2)=0,1,SQRT(G1154^2+H1154^2)))</x:f>
      </x:c>
      <x:c r="F1154" s="14">
        <x:f>IF(B1154="","", D1154 + $F$12*$F$9*(G1154)/IF(SQRT(G1154^2+H1154^2)=0,1,SQRT(G1154^2+H1154^2)))</x:f>
      </x:c>
      <x:c r="G1154" s="14">
        <x:f>IF(B1154="","", -$F$8*SIN(B1154) - $B$7*$F$6*SIN($F$6*B1154))</x:f>
      </x:c>
      <x:c r="H1154" s="14">
        <x:f>IF(B1154="","", $F$8*COS(B1154) - $B$7*$F$6*COS($F$6*B1154))</x:f>
      </x:c>
    </x:row>
    <x:row r="1155">
      <x:c r="A1155" s="13" t="n">
        <x:v>1136</x:v>
      </x:c>
      <x:c r="B1155" s="14">
        <x:f>IF($B$12&lt;1136,"",$B$13+(1136-1)*($B$14-$B$13)/($B$12-1))</x:f>
      </x:c>
      <x:c r="C1155" s="14">
        <x:f>IF(B1155="","",$F$8*COS(B1155) + $B$7*COS($F$6*B1155))</x:f>
      </x:c>
      <x:c r="D1155" s="14">
        <x:f>IF(B1155="","",$F$8*SIN(B1155) - $B$7*SIN($F$6*B1155))</x:f>
      </x:c>
      <x:c r="E1155" s="14">
        <x:f>IF(B1155="","", C1155 + $F$12*$F$9*(-H1155)/IF(SQRT(G1155^2+H1155^2)=0,1,SQRT(G1155^2+H1155^2)))</x:f>
      </x:c>
      <x:c r="F1155" s="14">
        <x:f>IF(B1155="","", D1155 + $F$12*$F$9*(G1155)/IF(SQRT(G1155^2+H1155^2)=0,1,SQRT(G1155^2+H1155^2)))</x:f>
      </x:c>
      <x:c r="G1155" s="14">
        <x:f>IF(B1155="","", -$F$8*SIN(B1155) - $B$7*$F$6*SIN($F$6*B1155))</x:f>
      </x:c>
      <x:c r="H1155" s="14">
        <x:f>IF(B1155="","", $F$8*COS(B1155) - $B$7*$F$6*COS($F$6*B1155))</x:f>
      </x:c>
    </x:row>
    <x:row r="1156">
      <x:c r="A1156" s="13" t="n">
        <x:v>1137</x:v>
      </x:c>
      <x:c r="B1156" s="14">
        <x:f>IF($B$12&lt;1137,"",$B$13+(1137-1)*($B$14-$B$13)/($B$12-1))</x:f>
      </x:c>
      <x:c r="C1156" s="14">
        <x:f>IF(B1156="","",$F$8*COS(B1156) + $B$7*COS($F$6*B1156))</x:f>
      </x:c>
      <x:c r="D1156" s="14">
        <x:f>IF(B1156="","",$F$8*SIN(B1156) - $B$7*SIN($F$6*B1156))</x:f>
      </x:c>
      <x:c r="E1156" s="14">
        <x:f>IF(B1156="","", C1156 + $F$12*$F$9*(-H1156)/IF(SQRT(G1156^2+H1156^2)=0,1,SQRT(G1156^2+H1156^2)))</x:f>
      </x:c>
      <x:c r="F1156" s="14">
        <x:f>IF(B1156="","", D1156 + $F$12*$F$9*(G1156)/IF(SQRT(G1156^2+H1156^2)=0,1,SQRT(G1156^2+H1156^2)))</x:f>
      </x:c>
      <x:c r="G1156" s="14">
        <x:f>IF(B1156="","", -$F$8*SIN(B1156) - $B$7*$F$6*SIN($F$6*B1156))</x:f>
      </x:c>
      <x:c r="H1156" s="14">
        <x:f>IF(B1156="","", $F$8*COS(B1156) - $B$7*$F$6*COS($F$6*B1156))</x:f>
      </x:c>
    </x:row>
    <x:row r="1157">
      <x:c r="A1157" s="13" t="n">
        <x:v>1138</x:v>
      </x:c>
      <x:c r="B1157" s="14">
        <x:f>IF($B$12&lt;1138,"",$B$13+(1138-1)*($B$14-$B$13)/($B$12-1))</x:f>
      </x:c>
      <x:c r="C1157" s="14">
        <x:f>IF(B1157="","",$F$8*COS(B1157) + $B$7*COS($F$6*B1157))</x:f>
      </x:c>
      <x:c r="D1157" s="14">
        <x:f>IF(B1157="","",$F$8*SIN(B1157) - $B$7*SIN($F$6*B1157))</x:f>
      </x:c>
      <x:c r="E1157" s="14">
        <x:f>IF(B1157="","", C1157 + $F$12*$F$9*(-H1157)/IF(SQRT(G1157^2+H1157^2)=0,1,SQRT(G1157^2+H1157^2)))</x:f>
      </x:c>
      <x:c r="F1157" s="14">
        <x:f>IF(B1157="","", D1157 + $F$12*$F$9*(G1157)/IF(SQRT(G1157^2+H1157^2)=0,1,SQRT(G1157^2+H1157^2)))</x:f>
      </x:c>
      <x:c r="G1157" s="14">
        <x:f>IF(B1157="","", -$F$8*SIN(B1157) - $B$7*$F$6*SIN($F$6*B1157))</x:f>
      </x:c>
      <x:c r="H1157" s="14">
        <x:f>IF(B1157="","", $F$8*COS(B1157) - $B$7*$F$6*COS($F$6*B1157))</x:f>
      </x:c>
    </x:row>
    <x:row r="1158">
      <x:c r="A1158" s="13" t="n">
        <x:v>1139</x:v>
      </x:c>
      <x:c r="B1158" s="14">
        <x:f>IF($B$12&lt;1139,"",$B$13+(1139-1)*($B$14-$B$13)/($B$12-1))</x:f>
      </x:c>
      <x:c r="C1158" s="14">
        <x:f>IF(B1158="","",$F$8*COS(B1158) + $B$7*COS($F$6*B1158))</x:f>
      </x:c>
      <x:c r="D1158" s="14">
        <x:f>IF(B1158="","",$F$8*SIN(B1158) - $B$7*SIN($F$6*B1158))</x:f>
      </x:c>
      <x:c r="E1158" s="14">
        <x:f>IF(B1158="","", C1158 + $F$12*$F$9*(-H1158)/IF(SQRT(G1158^2+H1158^2)=0,1,SQRT(G1158^2+H1158^2)))</x:f>
      </x:c>
      <x:c r="F1158" s="14">
        <x:f>IF(B1158="","", D1158 + $F$12*$F$9*(G1158)/IF(SQRT(G1158^2+H1158^2)=0,1,SQRT(G1158^2+H1158^2)))</x:f>
      </x:c>
      <x:c r="G1158" s="14">
        <x:f>IF(B1158="","", -$F$8*SIN(B1158) - $B$7*$F$6*SIN($F$6*B1158))</x:f>
      </x:c>
      <x:c r="H1158" s="14">
        <x:f>IF(B1158="","", $F$8*COS(B1158) - $B$7*$F$6*COS($F$6*B1158))</x:f>
      </x:c>
    </x:row>
    <x:row r="1159">
      <x:c r="A1159" s="13" t="n">
        <x:v>1140</x:v>
      </x:c>
      <x:c r="B1159" s="14">
        <x:f>IF($B$12&lt;1140,"",$B$13+(1140-1)*($B$14-$B$13)/($B$12-1))</x:f>
      </x:c>
      <x:c r="C1159" s="14">
        <x:f>IF(B1159="","",$F$8*COS(B1159) + $B$7*COS($F$6*B1159))</x:f>
      </x:c>
      <x:c r="D1159" s="14">
        <x:f>IF(B1159="","",$F$8*SIN(B1159) - $B$7*SIN($F$6*B1159))</x:f>
      </x:c>
      <x:c r="E1159" s="14">
        <x:f>IF(B1159="","", C1159 + $F$12*$F$9*(-H1159)/IF(SQRT(G1159^2+H1159^2)=0,1,SQRT(G1159^2+H1159^2)))</x:f>
      </x:c>
      <x:c r="F1159" s="14">
        <x:f>IF(B1159="","", D1159 + $F$12*$F$9*(G1159)/IF(SQRT(G1159^2+H1159^2)=0,1,SQRT(G1159^2+H1159^2)))</x:f>
      </x:c>
      <x:c r="G1159" s="14">
        <x:f>IF(B1159="","", -$F$8*SIN(B1159) - $B$7*$F$6*SIN($F$6*B1159))</x:f>
      </x:c>
      <x:c r="H1159" s="14">
        <x:f>IF(B1159="","", $F$8*COS(B1159) - $B$7*$F$6*COS($F$6*B1159))</x:f>
      </x:c>
    </x:row>
    <x:row r="1160">
      <x:c r="A1160" s="13" t="n">
        <x:v>1141</x:v>
      </x:c>
      <x:c r="B1160" s="14">
        <x:f>IF($B$12&lt;1141,"",$B$13+(1141-1)*($B$14-$B$13)/($B$12-1))</x:f>
      </x:c>
      <x:c r="C1160" s="14">
        <x:f>IF(B1160="","",$F$8*COS(B1160) + $B$7*COS($F$6*B1160))</x:f>
      </x:c>
      <x:c r="D1160" s="14">
        <x:f>IF(B1160="","",$F$8*SIN(B1160) - $B$7*SIN($F$6*B1160))</x:f>
      </x:c>
      <x:c r="E1160" s="14">
        <x:f>IF(B1160="","", C1160 + $F$12*$F$9*(-H1160)/IF(SQRT(G1160^2+H1160^2)=0,1,SQRT(G1160^2+H1160^2)))</x:f>
      </x:c>
      <x:c r="F1160" s="14">
        <x:f>IF(B1160="","", D1160 + $F$12*$F$9*(G1160)/IF(SQRT(G1160^2+H1160^2)=0,1,SQRT(G1160^2+H1160^2)))</x:f>
      </x:c>
      <x:c r="G1160" s="14">
        <x:f>IF(B1160="","", -$F$8*SIN(B1160) - $B$7*$F$6*SIN($F$6*B1160))</x:f>
      </x:c>
      <x:c r="H1160" s="14">
        <x:f>IF(B1160="","", $F$8*COS(B1160) - $B$7*$F$6*COS($F$6*B1160))</x:f>
      </x:c>
    </x:row>
    <x:row r="1161">
      <x:c r="A1161" s="13" t="n">
        <x:v>1142</x:v>
      </x:c>
      <x:c r="B1161" s="14">
        <x:f>IF($B$12&lt;1142,"",$B$13+(1142-1)*($B$14-$B$13)/($B$12-1))</x:f>
      </x:c>
      <x:c r="C1161" s="14">
        <x:f>IF(B1161="","",$F$8*COS(B1161) + $B$7*COS($F$6*B1161))</x:f>
      </x:c>
      <x:c r="D1161" s="14">
        <x:f>IF(B1161="","",$F$8*SIN(B1161) - $B$7*SIN($F$6*B1161))</x:f>
      </x:c>
      <x:c r="E1161" s="14">
        <x:f>IF(B1161="","", C1161 + $F$12*$F$9*(-H1161)/IF(SQRT(G1161^2+H1161^2)=0,1,SQRT(G1161^2+H1161^2)))</x:f>
      </x:c>
      <x:c r="F1161" s="14">
        <x:f>IF(B1161="","", D1161 + $F$12*$F$9*(G1161)/IF(SQRT(G1161^2+H1161^2)=0,1,SQRT(G1161^2+H1161^2)))</x:f>
      </x:c>
      <x:c r="G1161" s="14">
        <x:f>IF(B1161="","", -$F$8*SIN(B1161) - $B$7*$F$6*SIN($F$6*B1161))</x:f>
      </x:c>
      <x:c r="H1161" s="14">
        <x:f>IF(B1161="","", $F$8*COS(B1161) - $B$7*$F$6*COS($F$6*B1161))</x:f>
      </x:c>
    </x:row>
    <x:row r="1162">
      <x:c r="A1162" s="13" t="n">
        <x:v>1143</x:v>
      </x:c>
      <x:c r="B1162" s="14">
        <x:f>IF($B$12&lt;1143,"",$B$13+(1143-1)*($B$14-$B$13)/($B$12-1))</x:f>
      </x:c>
      <x:c r="C1162" s="14">
        <x:f>IF(B1162="","",$F$8*COS(B1162) + $B$7*COS($F$6*B1162))</x:f>
      </x:c>
      <x:c r="D1162" s="14">
        <x:f>IF(B1162="","",$F$8*SIN(B1162) - $B$7*SIN($F$6*B1162))</x:f>
      </x:c>
      <x:c r="E1162" s="14">
        <x:f>IF(B1162="","", C1162 + $F$12*$F$9*(-H1162)/IF(SQRT(G1162^2+H1162^2)=0,1,SQRT(G1162^2+H1162^2)))</x:f>
      </x:c>
      <x:c r="F1162" s="14">
        <x:f>IF(B1162="","", D1162 + $F$12*$F$9*(G1162)/IF(SQRT(G1162^2+H1162^2)=0,1,SQRT(G1162^2+H1162^2)))</x:f>
      </x:c>
      <x:c r="G1162" s="14">
        <x:f>IF(B1162="","", -$F$8*SIN(B1162) - $B$7*$F$6*SIN($F$6*B1162))</x:f>
      </x:c>
      <x:c r="H1162" s="14">
        <x:f>IF(B1162="","", $F$8*COS(B1162) - $B$7*$F$6*COS($F$6*B1162))</x:f>
      </x:c>
    </x:row>
    <x:row r="1163">
      <x:c r="A1163" s="13" t="n">
        <x:v>1144</x:v>
      </x:c>
      <x:c r="B1163" s="14">
        <x:f>IF($B$12&lt;1144,"",$B$13+(1144-1)*($B$14-$B$13)/($B$12-1))</x:f>
      </x:c>
      <x:c r="C1163" s="14">
        <x:f>IF(B1163="","",$F$8*COS(B1163) + $B$7*COS($F$6*B1163))</x:f>
      </x:c>
      <x:c r="D1163" s="14">
        <x:f>IF(B1163="","",$F$8*SIN(B1163) - $B$7*SIN($F$6*B1163))</x:f>
      </x:c>
      <x:c r="E1163" s="14">
        <x:f>IF(B1163="","", C1163 + $F$12*$F$9*(-H1163)/IF(SQRT(G1163^2+H1163^2)=0,1,SQRT(G1163^2+H1163^2)))</x:f>
      </x:c>
      <x:c r="F1163" s="14">
        <x:f>IF(B1163="","", D1163 + $F$12*$F$9*(G1163)/IF(SQRT(G1163^2+H1163^2)=0,1,SQRT(G1163^2+H1163^2)))</x:f>
      </x:c>
      <x:c r="G1163" s="14">
        <x:f>IF(B1163="","", -$F$8*SIN(B1163) - $B$7*$F$6*SIN($F$6*B1163))</x:f>
      </x:c>
      <x:c r="H1163" s="14">
        <x:f>IF(B1163="","", $F$8*COS(B1163) - $B$7*$F$6*COS($F$6*B1163))</x:f>
      </x:c>
    </x:row>
    <x:row r="1164">
      <x:c r="A1164" s="13" t="n">
        <x:v>1145</x:v>
      </x:c>
      <x:c r="B1164" s="14">
        <x:f>IF($B$12&lt;1145,"",$B$13+(1145-1)*($B$14-$B$13)/($B$12-1))</x:f>
      </x:c>
      <x:c r="C1164" s="14">
        <x:f>IF(B1164="","",$F$8*COS(B1164) + $B$7*COS($F$6*B1164))</x:f>
      </x:c>
      <x:c r="D1164" s="14">
        <x:f>IF(B1164="","",$F$8*SIN(B1164) - $B$7*SIN($F$6*B1164))</x:f>
      </x:c>
      <x:c r="E1164" s="14">
        <x:f>IF(B1164="","", C1164 + $F$12*$F$9*(-H1164)/IF(SQRT(G1164^2+H1164^2)=0,1,SQRT(G1164^2+H1164^2)))</x:f>
      </x:c>
      <x:c r="F1164" s="14">
        <x:f>IF(B1164="","", D1164 + $F$12*$F$9*(G1164)/IF(SQRT(G1164^2+H1164^2)=0,1,SQRT(G1164^2+H1164^2)))</x:f>
      </x:c>
      <x:c r="G1164" s="14">
        <x:f>IF(B1164="","", -$F$8*SIN(B1164) - $B$7*$F$6*SIN($F$6*B1164))</x:f>
      </x:c>
      <x:c r="H1164" s="14">
        <x:f>IF(B1164="","", $F$8*COS(B1164) - $B$7*$F$6*COS($F$6*B1164))</x:f>
      </x:c>
    </x:row>
    <x:row r="1165">
      <x:c r="A1165" s="13" t="n">
        <x:v>1146</x:v>
      </x:c>
      <x:c r="B1165" s="14">
        <x:f>IF($B$12&lt;1146,"",$B$13+(1146-1)*($B$14-$B$13)/($B$12-1))</x:f>
      </x:c>
      <x:c r="C1165" s="14">
        <x:f>IF(B1165="","",$F$8*COS(B1165) + $B$7*COS($F$6*B1165))</x:f>
      </x:c>
      <x:c r="D1165" s="14">
        <x:f>IF(B1165="","",$F$8*SIN(B1165) - $B$7*SIN($F$6*B1165))</x:f>
      </x:c>
      <x:c r="E1165" s="14">
        <x:f>IF(B1165="","", C1165 + $F$12*$F$9*(-H1165)/IF(SQRT(G1165^2+H1165^2)=0,1,SQRT(G1165^2+H1165^2)))</x:f>
      </x:c>
      <x:c r="F1165" s="14">
        <x:f>IF(B1165="","", D1165 + $F$12*$F$9*(G1165)/IF(SQRT(G1165^2+H1165^2)=0,1,SQRT(G1165^2+H1165^2)))</x:f>
      </x:c>
      <x:c r="G1165" s="14">
        <x:f>IF(B1165="","", -$F$8*SIN(B1165) - $B$7*$F$6*SIN($F$6*B1165))</x:f>
      </x:c>
      <x:c r="H1165" s="14">
        <x:f>IF(B1165="","", $F$8*COS(B1165) - $B$7*$F$6*COS($F$6*B1165))</x:f>
      </x:c>
    </x:row>
    <x:row r="1166">
      <x:c r="A1166" s="13" t="n">
        <x:v>1147</x:v>
      </x:c>
      <x:c r="B1166" s="14">
        <x:f>IF($B$12&lt;1147,"",$B$13+(1147-1)*($B$14-$B$13)/($B$12-1))</x:f>
      </x:c>
      <x:c r="C1166" s="14">
        <x:f>IF(B1166="","",$F$8*COS(B1166) + $B$7*COS($F$6*B1166))</x:f>
      </x:c>
      <x:c r="D1166" s="14">
        <x:f>IF(B1166="","",$F$8*SIN(B1166) - $B$7*SIN($F$6*B1166))</x:f>
      </x:c>
      <x:c r="E1166" s="14">
        <x:f>IF(B1166="","", C1166 + $F$12*$F$9*(-H1166)/IF(SQRT(G1166^2+H1166^2)=0,1,SQRT(G1166^2+H1166^2)))</x:f>
      </x:c>
      <x:c r="F1166" s="14">
        <x:f>IF(B1166="","", D1166 + $F$12*$F$9*(G1166)/IF(SQRT(G1166^2+H1166^2)=0,1,SQRT(G1166^2+H1166^2)))</x:f>
      </x:c>
      <x:c r="G1166" s="14">
        <x:f>IF(B1166="","", -$F$8*SIN(B1166) - $B$7*$F$6*SIN($F$6*B1166))</x:f>
      </x:c>
      <x:c r="H1166" s="14">
        <x:f>IF(B1166="","", $F$8*COS(B1166) - $B$7*$F$6*COS($F$6*B1166))</x:f>
      </x:c>
    </x:row>
    <x:row r="1167">
      <x:c r="A1167" s="13" t="n">
        <x:v>1148</x:v>
      </x:c>
      <x:c r="B1167" s="14">
        <x:f>IF($B$12&lt;1148,"",$B$13+(1148-1)*($B$14-$B$13)/($B$12-1))</x:f>
      </x:c>
      <x:c r="C1167" s="14">
        <x:f>IF(B1167="","",$F$8*COS(B1167) + $B$7*COS($F$6*B1167))</x:f>
      </x:c>
      <x:c r="D1167" s="14">
        <x:f>IF(B1167="","",$F$8*SIN(B1167) - $B$7*SIN($F$6*B1167))</x:f>
      </x:c>
      <x:c r="E1167" s="14">
        <x:f>IF(B1167="","", C1167 + $F$12*$F$9*(-H1167)/IF(SQRT(G1167^2+H1167^2)=0,1,SQRT(G1167^2+H1167^2)))</x:f>
      </x:c>
      <x:c r="F1167" s="14">
        <x:f>IF(B1167="","", D1167 + $F$12*$F$9*(G1167)/IF(SQRT(G1167^2+H1167^2)=0,1,SQRT(G1167^2+H1167^2)))</x:f>
      </x:c>
      <x:c r="G1167" s="14">
        <x:f>IF(B1167="","", -$F$8*SIN(B1167) - $B$7*$F$6*SIN($F$6*B1167))</x:f>
      </x:c>
      <x:c r="H1167" s="14">
        <x:f>IF(B1167="","", $F$8*COS(B1167) - $B$7*$F$6*COS($F$6*B1167))</x:f>
      </x:c>
    </x:row>
    <x:row r="1168">
      <x:c r="A1168" s="13" t="n">
        <x:v>1149</x:v>
      </x:c>
      <x:c r="B1168" s="14">
        <x:f>IF($B$12&lt;1149,"",$B$13+(1149-1)*($B$14-$B$13)/($B$12-1))</x:f>
      </x:c>
      <x:c r="C1168" s="14">
        <x:f>IF(B1168="","",$F$8*COS(B1168) + $B$7*COS($F$6*B1168))</x:f>
      </x:c>
      <x:c r="D1168" s="14">
        <x:f>IF(B1168="","",$F$8*SIN(B1168) - $B$7*SIN($F$6*B1168))</x:f>
      </x:c>
      <x:c r="E1168" s="14">
        <x:f>IF(B1168="","", C1168 + $F$12*$F$9*(-H1168)/IF(SQRT(G1168^2+H1168^2)=0,1,SQRT(G1168^2+H1168^2)))</x:f>
      </x:c>
      <x:c r="F1168" s="14">
        <x:f>IF(B1168="","", D1168 + $F$12*$F$9*(G1168)/IF(SQRT(G1168^2+H1168^2)=0,1,SQRT(G1168^2+H1168^2)))</x:f>
      </x:c>
      <x:c r="G1168" s="14">
        <x:f>IF(B1168="","", -$F$8*SIN(B1168) - $B$7*$F$6*SIN($F$6*B1168))</x:f>
      </x:c>
      <x:c r="H1168" s="14">
        <x:f>IF(B1168="","", $F$8*COS(B1168) - $B$7*$F$6*COS($F$6*B1168))</x:f>
      </x:c>
    </x:row>
    <x:row r="1169">
      <x:c r="A1169" s="13" t="n">
        <x:v>1150</x:v>
      </x:c>
      <x:c r="B1169" s="14">
        <x:f>IF($B$12&lt;1150,"",$B$13+(1150-1)*($B$14-$B$13)/($B$12-1))</x:f>
      </x:c>
      <x:c r="C1169" s="14">
        <x:f>IF(B1169="","",$F$8*COS(B1169) + $B$7*COS($F$6*B1169))</x:f>
      </x:c>
      <x:c r="D1169" s="14">
        <x:f>IF(B1169="","",$F$8*SIN(B1169) - $B$7*SIN($F$6*B1169))</x:f>
      </x:c>
      <x:c r="E1169" s="14">
        <x:f>IF(B1169="","", C1169 + $F$12*$F$9*(-H1169)/IF(SQRT(G1169^2+H1169^2)=0,1,SQRT(G1169^2+H1169^2)))</x:f>
      </x:c>
      <x:c r="F1169" s="14">
        <x:f>IF(B1169="","", D1169 + $F$12*$F$9*(G1169)/IF(SQRT(G1169^2+H1169^2)=0,1,SQRT(G1169^2+H1169^2)))</x:f>
      </x:c>
      <x:c r="G1169" s="14">
        <x:f>IF(B1169="","", -$F$8*SIN(B1169) - $B$7*$F$6*SIN($F$6*B1169))</x:f>
      </x:c>
      <x:c r="H1169" s="14">
        <x:f>IF(B1169="","", $F$8*COS(B1169) - $B$7*$F$6*COS($F$6*B1169))</x:f>
      </x:c>
    </x:row>
    <x:row r="1170">
      <x:c r="A1170" s="13" t="n">
        <x:v>1151</x:v>
      </x:c>
      <x:c r="B1170" s="14">
        <x:f>IF($B$12&lt;1151,"",$B$13+(1151-1)*($B$14-$B$13)/($B$12-1))</x:f>
      </x:c>
      <x:c r="C1170" s="14">
        <x:f>IF(B1170="","",$F$8*COS(B1170) + $B$7*COS($F$6*B1170))</x:f>
      </x:c>
      <x:c r="D1170" s="14">
        <x:f>IF(B1170="","",$F$8*SIN(B1170) - $B$7*SIN($F$6*B1170))</x:f>
      </x:c>
      <x:c r="E1170" s="14">
        <x:f>IF(B1170="","", C1170 + $F$12*$F$9*(-H1170)/IF(SQRT(G1170^2+H1170^2)=0,1,SQRT(G1170^2+H1170^2)))</x:f>
      </x:c>
      <x:c r="F1170" s="14">
        <x:f>IF(B1170="","", D1170 + $F$12*$F$9*(G1170)/IF(SQRT(G1170^2+H1170^2)=0,1,SQRT(G1170^2+H1170^2)))</x:f>
      </x:c>
      <x:c r="G1170" s="14">
        <x:f>IF(B1170="","", -$F$8*SIN(B1170) - $B$7*$F$6*SIN($F$6*B1170))</x:f>
      </x:c>
      <x:c r="H1170" s="14">
        <x:f>IF(B1170="","", $F$8*COS(B1170) - $B$7*$F$6*COS($F$6*B1170))</x:f>
      </x:c>
    </x:row>
    <x:row r="1171">
      <x:c r="A1171" s="13" t="n">
        <x:v>1152</x:v>
      </x:c>
      <x:c r="B1171" s="14">
        <x:f>IF($B$12&lt;1152,"",$B$13+(1152-1)*($B$14-$B$13)/($B$12-1))</x:f>
      </x:c>
      <x:c r="C1171" s="14">
        <x:f>IF(B1171="","",$F$8*COS(B1171) + $B$7*COS($F$6*B1171))</x:f>
      </x:c>
      <x:c r="D1171" s="14">
        <x:f>IF(B1171="","",$F$8*SIN(B1171) - $B$7*SIN($F$6*B1171))</x:f>
      </x:c>
      <x:c r="E1171" s="14">
        <x:f>IF(B1171="","", C1171 + $F$12*$F$9*(-H1171)/IF(SQRT(G1171^2+H1171^2)=0,1,SQRT(G1171^2+H1171^2)))</x:f>
      </x:c>
      <x:c r="F1171" s="14">
        <x:f>IF(B1171="","", D1171 + $F$12*$F$9*(G1171)/IF(SQRT(G1171^2+H1171^2)=0,1,SQRT(G1171^2+H1171^2)))</x:f>
      </x:c>
      <x:c r="G1171" s="14">
        <x:f>IF(B1171="","", -$F$8*SIN(B1171) - $B$7*$F$6*SIN($F$6*B1171))</x:f>
      </x:c>
      <x:c r="H1171" s="14">
        <x:f>IF(B1171="","", $F$8*COS(B1171) - $B$7*$F$6*COS($F$6*B1171))</x:f>
      </x:c>
    </x:row>
    <x:row r="1172">
      <x:c r="A1172" s="13" t="n">
        <x:v>1153</x:v>
      </x:c>
      <x:c r="B1172" s="14">
        <x:f>IF($B$12&lt;1153,"",$B$13+(1153-1)*($B$14-$B$13)/($B$12-1))</x:f>
      </x:c>
      <x:c r="C1172" s="14">
        <x:f>IF(B1172="","",$F$8*COS(B1172) + $B$7*COS($F$6*B1172))</x:f>
      </x:c>
      <x:c r="D1172" s="14">
        <x:f>IF(B1172="","",$F$8*SIN(B1172) - $B$7*SIN($F$6*B1172))</x:f>
      </x:c>
      <x:c r="E1172" s="14">
        <x:f>IF(B1172="","", C1172 + $F$12*$F$9*(-H1172)/IF(SQRT(G1172^2+H1172^2)=0,1,SQRT(G1172^2+H1172^2)))</x:f>
      </x:c>
      <x:c r="F1172" s="14">
        <x:f>IF(B1172="","", D1172 + $F$12*$F$9*(G1172)/IF(SQRT(G1172^2+H1172^2)=0,1,SQRT(G1172^2+H1172^2)))</x:f>
      </x:c>
      <x:c r="G1172" s="14">
        <x:f>IF(B1172="","", -$F$8*SIN(B1172) - $B$7*$F$6*SIN($F$6*B1172))</x:f>
      </x:c>
      <x:c r="H1172" s="14">
        <x:f>IF(B1172="","", $F$8*COS(B1172) - $B$7*$F$6*COS($F$6*B1172))</x:f>
      </x:c>
    </x:row>
    <x:row r="1173">
      <x:c r="A1173" s="13" t="n">
        <x:v>1154</x:v>
      </x:c>
      <x:c r="B1173" s="14">
        <x:f>IF($B$12&lt;1154,"",$B$13+(1154-1)*($B$14-$B$13)/($B$12-1))</x:f>
      </x:c>
      <x:c r="C1173" s="14">
        <x:f>IF(B1173="","",$F$8*COS(B1173) + $B$7*COS($F$6*B1173))</x:f>
      </x:c>
      <x:c r="D1173" s="14">
        <x:f>IF(B1173="","",$F$8*SIN(B1173) - $B$7*SIN($F$6*B1173))</x:f>
      </x:c>
      <x:c r="E1173" s="14">
        <x:f>IF(B1173="","", C1173 + $F$12*$F$9*(-H1173)/IF(SQRT(G1173^2+H1173^2)=0,1,SQRT(G1173^2+H1173^2)))</x:f>
      </x:c>
      <x:c r="F1173" s="14">
        <x:f>IF(B1173="","", D1173 + $F$12*$F$9*(G1173)/IF(SQRT(G1173^2+H1173^2)=0,1,SQRT(G1173^2+H1173^2)))</x:f>
      </x:c>
      <x:c r="G1173" s="14">
        <x:f>IF(B1173="","", -$F$8*SIN(B1173) - $B$7*$F$6*SIN($F$6*B1173))</x:f>
      </x:c>
      <x:c r="H1173" s="14">
        <x:f>IF(B1173="","", $F$8*COS(B1173) - $B$7*$F$6*COS($F$6*B1173))</x:f>
      </x:c>
    </x:row>
    <x:row r="1174">
      <x:c r="A1174" s="13" t="n">
        <x:v>1155</x:v>
      </x:c>
      <x:c r="B1174" s="14">
        <x:f>IF($B$12&lt;1155,"",$B$13+(1155-1)*($B$14-$B$13)/($B$12-1))</x:f>
      </x:c>
      <x:c r="C1174" s="14">
        <x:f>IF(B1174="","",$F$8*COS(B1174) + $B$7*COS($F$6*B1174))</x:f>
      </x:c>
      <x:c r="D1174" s="14">
        <x:f>IF(B1174="","",$F$8*SIN(B1174) - $B$7*SIN($F$6*B1174))</x:f>
      </x:c>
      <x:c r="E1174" s="14">
        <x:f>IF(B1174="","", C1174 + $F$12*$F$9*(-H1174)/IF(SQRT(G1174^2+H1174^2)=0,1,SQRT(G1174^2+H1174^2)))</x:f>
      </x:c>
      <x:c r="F1174" s="14">
        <x:f>IF(B1174="","", D1174 + $F$12*$F$9*(G1174)/IF(SQRT(G1174^2+H1174^2)=0,1,SQRT(G1174^2+H1174^2)))</x:f>
      </x:c>
      <x:c r="G1174" s="14">
        <x:f>IF(B1174="","", -$F$8*SIN(B1174) - $B$7*$F$6*SIN($F$6*B1174))</x:f>
      </x:c>
      <x:c r="H1174" s="14">
        <x:f>IF(B1174="","", $F$8*COS(B1174) - $B$7*$F$6*COS($F$6*B1174))</x:f>
      </x:c>
    </x:row>
    <x:row r="1175">
      <x:c r="A1175" s="13" t="n">
        <x:v>1156</x:v>
      </x:c>
      <x:c r="B1175" s="14">
        <x:f>IF($B$12&lt;1156,"",$B$13+(1156-1)*($B$14-$B$13)/($B$12-1))</x:f>
      </x:c>
      <x:c r="C1175" s="14">
        <x:f>IF(B1175="","",$F$8*COS(B1175) + $B$7*COS($F$6*B1175))</x:f>
      </x:c>
      <x:c r="D1175" s="14">
        <x:f>IF(B1175="","",$F$8*SIN(B1175) - $B$7*SIN($F$6*B1175))</x:f>
      </x:c>
      <x:c r="E1175" s="14">
        <x:f>IF(B1175="","", C1175 + $F$12*$F$9*(-H1175)/IF(SQRT(G1175^2+H1175^2)=0,1,SQRT(G1175^2+H1175^2)))</x:f>
      </x:c>
      <x:c r="F1175" s="14">
        <x:f>IF(B1175="","", D1175 + $F$12*$F$9*(G1175)/IF(SQRT(G1175^2+H1175^2)=0,1,SQRT(G1175^2+H1175^2)))</x:f>
      </x:c>
      <x:c r="G1175" s="14">
        <x:f>IF(B1175="","", -$F$8*SIN(B1175) - $B$7*$F$6*SIN($F$6*B1175))</x:f>
      </x:c>
      <x:c r="H1175" s="14">
        <x:f>IF(B1175="","", $F$8*COS(B1175) - $B$7*$F$6*COS($F$6*B1175))</x:f>
      </x:c>
    </x:row>
    <x:row r="1176">
      <x:c r="A1176" s="13" t="n">
        <x:v>1157</x:v>
      </x:c>
      <x:c r="B1176" s="14">
        <x:f>IF($B$12&lt;1157,"",$B$13+(1157-1)*($B$14-$B$13)/($B$12-1))</x:f>
      </x:c>
      <x:c r="C1176" s="14">
        <x:f>IF(B1176="","",$F$8*COS(B1176) + $B$7*COS($F$6*B1176))</x:f>
      </x:c>
      <x:c r="D1176" s="14">
        <x:f>IF(B1176="","",$F$8*SIN(B1176) - $B$7*SIN($F$6*B1176))</x:f>
      </x:c>
      <x:c r="E1176" s="14">
        <x:f>IF(B1176="","", C1176 + $F$12*$F$9*(-H1176)/IF(SQRT(G1176^2+H1176^2)=0,1,SQRT(G1176^2+H1176^2)))</x:f>
      </x:c>
      <x:c r="F1176" s="14">
        <x:f>IF(B1176="","", D1176 + $F$12*$F$9*(G1176)/IF(SQRT(G1176^2+H1176^2)=0,1,SQRT(G1176^2+H1176^2)))</x:f>
      </x:c>
      <x:c r="G1176" s="14">
        <x:f>IF(B1176="","", -$F$8*SIN(B1176) - $B$7*$F$6*SIN($F$6*B1176))</x:f>
      </x:c>
      <x:c r="H1176" s="14">
        <x:f>IF(B1176="","", $F$8*COS(B1176) - $B$7*$F$6*COS($F$6*B1176))</x:f>
      </x:c>
    </x:row>
    <x:row r="1177">
      <x:c r="A1177" s="13" t="n">
        <x:v>1158</x:v>
      </x:c>
      <x:c r="B1177" s="14">
        <x:f>IF($B$12&lt;1158,"",$B$13+(1158-1)*($B$14-$B$13)/($B$12-1))</x:f>
      </x:c>
      <x:c r="C1177" s="14">
        <x:f>IF(B1177="","",$F$8*COS(B1177) + $B$7*COS($F$6*B1177))</x:f>
      </x:c>
      <x:c r="D1177" s="14">
        <x:f>IF(B1177="","",$F$8*SIN(B1177) - $B$7*SIN($F$6*B1177))</x:f>
      </x:c>
      <x:c r="E1177" s="14">
        <x:f>IF(B1177="","", C1177 + $F$12*$F$9*(-H1177)/IF(SQRT(G1177^2+H1177^2)=0,1,SQRT(G1177^2+H1177^2)))</x:f>
      </x:c>
      <x:c r="F1177" s="14">
        <x:f>IF(B1177="","", D1177 + $F$12*$F$9*(G1177)/IF(SQRT(G1177^2+H1177^2)=0,1,SQRT(G1177^2+H1177^2)))</x:f>
      </x:c>
      <x:c r="G1177" s="14">
        <x:f>IF(B1177="","", -$F$8*SIN(B1177) - $B$7*$F$6*SIN($F$6*B1177))</x:f>
      </x:c>
      <x:c r="H1177" s="14">
        <x:f>IF(B1177="","", $F$8*COS(B1177) - $B$7*$F$6*COS($F$6*B1177))</x:f>
      </x:c>
    </x:row>
    <x:row r="1178">
      <x:c r="A1178" s="13" t="n">
        <x:v>1159</x:v>
      </x:c>
      <x:c r="B1178" s="14">
        <x:f>IF($B$12&lt;1159,"",$B$13+(1159-1)*($B$14-$B$13)/($B$12-1))</x:f>
      </x:c>
      <x:c r="C1178" s="14">
        <x:f>IF(B1178="","",$F$8*COS(B1178) + $B$7*COS($F$6*B1178))</x:f>
      </x:c>
      <x:c r="D1178" s="14">
        <x:f>IF(B1178="","",$F$8*SIN(B1178) - $B$7*SIN($F$6*B1178))</x:f>
      </x:c>
      <x:c r="E1178" s="14">
        <x:f>IF(B1178="","", C1178 + $F$12*$F$9*(-H1178)/IF(SQRT(G1178^2+H1178^2)=0,1,SQRT(G1178^2+H1178^2)))</x:f>
      </x:c>
      <x:c r="F1178" s="14">
        <x:f>IF(B1178="","", D1178 + $F$12*$F$9*(G1178)/IF(SQRT(G1178^2+H1178^2)=0,1,SQRT(G1178^2+H1178^2)))</x:f>
      </x:c>
      <x:c r="G1178" s="14">
        <x:f>IF(B1178="","", -$F$8*SIN(B1178) - $B$7*$F$6*SIN($F$6*B1178))</x:f>
      </x:c>
      <x:c r="H1178" s="14">
        <x:f>IF(B1178="","", $F$8*COS(B1178) - $B$7*$F$6*COS($F$6*B1178))</x:f>
      </x:c>
    </x:row>
    <x:row r="1179">
      <x:c r="A1179" s="13" t="n">
        <x:v>1160</x:v>
      </x:c>
      <x:c r="B1179" s="14">
        <x:f>IF($B$12&lt;1160,"",$B$13+(1160-1)*($B$14-$B$13)/($B$12-1))</x:f>
      </x:c>
      <x:c r="C1179" s="14">
        <x:f>IF(B1179="","",$F$8*COS(B1179) + $B$7*COS($F$6*B1179))</x:f>
      </x:c>
      <x:c r="D1179" s="14">
        <x:f>IF(B1179="","",$F$8*SIN(B1179) - $B$7*SIN($F$6*B1179))</x:f>
      </x:c>
      <x:c r="E1179" s="14">
        <x:f>IF(B1179="","", C1179 + $F$12*$F$9*(-H1179)/IF(SQRT(G1179^2+H1179^2)=0,1,SQRT(G1179^2+H1179^2)))</x:f>
      </x:c>
      <x:c r="F1179" s="14">
        <x:f>IF(B1179="","", D1179 + $F$12*$F$9*(G1179)/IF(SQRT(G1179^2+H1179^2)=0,1,SQRT(G1179^2+H1179^2)))</x:f>
      </x:c>
      <x:c r="G1179" s="14">
        <x:f>IF(B1179="","", -$F$8*SIN(B1179) - $B$7*$F$6*SIN($F$6*B1179))</x:f>
      </x:c>
      <x:c r="H1179" s="14">
        <x:f>IF(B1179="","", $F$8*COS(B1179) - $B$7*$F$6*COS($F$6*B1179))</x:f>
      </x:c>
    </x:row>
    <x:row r="1180">
      <x:c r="A1180" s="13" t="n">
        <x:v>1161</x:v>
      </x:c>
      <x:c r="B1180" s="14">
        <x:f>IF($B$12&lt;1161,"",$B$13+(1161-1)*($B$14-$B$13)/($B$12-1))</x:f>
      </x:c>
      <x:c r="C1180" s="14">
        <x:f>IF(B1180="","",$F$8*COS(B1180) + $B$7*COS($F$6*B1180))</x:f>
      </x:c>
      <x:c r="D1180" s="14">
        <x:f>IF(B1180="","",$F$8*SIN(B1180) - $B$7*SIN($F$6*B1180))</x:f>
      </x:c>
      <x:c r="E1180" s="14">
        <x:f>IF(B1180="","", C1180 + $F$12*$F$9*(-H1180)/IF(SQRT(G1180^2+H1180^2)=0,1,SQRT(G1180^2+H1180^2)))</x:f>
      </x:c>
      <x:c r="F1180" s="14">
        <x:f>IF(B1180="","", D1180 + $F$12*$F$9*(G1180)/IF(SQRT(G1180^2+H1180^2)=0,1,SQRT(G1180^2+H1180^2)))</x:f>
      </x:c>
      <x:c r="G1180" s="14">
        <x:f>IF(B1180="","", -$F$8*SIN(B1180) - $B$7*$F$6*SIN($F$6*B1180))</x:f>
      </x:c>
      <x:c r="H1180" s="14">
        <x:f>IF(B1180="","", $F$8*COS(B1180) - $B$7*$F$6*COS($F$6*B1180))</x:f>
      </x:c>
    </x:row>
    <x:row r="1181">
      <x:c r="A1181" s="13" t="n">
        <x:v>1162</x:v>
      </x:c>
      <x:c r="B1181" s="14">
        <x:f>IF($B$12&lt;1162,"",$B$13+(1162-1)*($B$14-$B$13)/($B$12-1))</x:f>
      </x:c>
      <x:c r="C1181" s="14">
        <x:f>IF(B1181="","",$F$8*COS(B1181) + $B$7*COS($F$6*B1181))</x:f>
      </x:c>
      <x:c r="D1181" s="14">
        <x:f>IF(B1181="","",$F$8*SIN(B1181) - $B$7*SIN($F$6*B1181))</x:f>
      </x:c>
      <x:c r="E1181" s="14">
        <x:f>IF(B1181="","", C1181 + $F$12*$F$9*(-H1181)/IF(SQRT(G1181^2+H1181^2)=0,1,SQRT(G1181^2+H1181^2)))</x:f>
      </x:c>
      <x:c r="F1181" s="14">
        <x:f>IF(B1181="","", D1181 + $F$12*$F$9*(G1181)/IF(SQRT(G1181^2+H1181^2)=0,1,SQRT(G1181^2+H1181^2)))</x:f>
      </x:c>
      <x:c r="G1181" s="14">
        <x:f>IF(B1181="","", -$F$8*SIN(B1181) - $B$7*$F$6*SIN($F$6*B1181))</x:f>
      </x:c>
      <x:c r="H1181" s="14">
        <x:f>IF(B1181="","", $F$8*COS(B1181) - $B$7*$F$6*COS($F$6*B1181))</x:f>
      </x:c>
    </x:row>
    <x:row r="1182">
      <x:c r="A1182" s="13" t="n">
        <x:v>1163</x:v>
      </x:c>
      <x:c r="B1182" s="14">
        <x:f>IF($B$12&lt;1163,"",$B$13+(1163-1)*($B$14-$B$13)/($B$12-1))</x:f>
      </x:c>
      <x:c r="C1182" s="14">
        <x:f>IF(B1182="","",$F$8*COS(B1182) + $B$7*COS($F$6*B1182))</x:f>
      </x:c>
      <x:c r="D1182" s="14">
        <x:f>IF(B1182="","",$F$8*SIN(B1182) - $B$7*SIN($F$6*B1182))</x:f>
      </x:c>
      <x:c r="E1182" s="14">
        <x:f>IF(B1182="","", C1182 + $F$12*$F$9*(-H1182)/IF(SQRT(G1182^2+H1182^2)=0,1,SQRT(G1182^2+H1182^2)))</x:f>
      </x:c>
      <x:c r="F1182" s="14">
        <x:f>IF(B1182="","", D1182 + $F$12*$F$9*(G1182)/IF(SQRT(G1182^2+H1182^2)=0,1,SQRT(G1182^2+H1182^2)))</x:f>
      </x:c>
      <x:c r="G1182" s="14">
        <x:f>IF(B1182="","", -$F$8*SIN(B1182) - $B$7*$F$6*SIN($F$6*B1182))</x:f>
      </x:c>
      <x:c r="H1182" s="14">
        <x:f>IF(B1182="","", $F$8*COS(B1182) - $B$7*$F$6*COS($F$6*B1182))</x:f>
      </x:c>
    </x:row>
    <x:row r="1183">
      <x:c r="A1183" s="13" t="n">
        <x:v>1164</x:v>
      </x:c>
      <x:c r="B1183" s="14">
        <x:f>IF($B$12&lt;1164,"",$B$13+(1164-1)*($B$14-$B$13)/($B$12-1))</x:f>
      </x:c>
      <x:c r="C1183" s="14">
        <x:f>IF(B1183="","",$F$8*COS(B1183) + $B$7*COS($F$6*B1183))</x:f>
      </x:c>
      <x:c r="D1183" s="14">
        <x:f>IF(B1183="","",$F$8*SIN(B1183) - $B$7*SIN($F$6*B1183))</x:f>
      </x:c>
      <x:c r="E1183" s="14">
        <x:f>IF(B1183="","", C1183 + $F$12*$F$9*(-H1183)/IF(SQRT(G1183^2+H1183^2)=0,1,SQRT(G1183^2+H1183^2)))</x:f>
      </x:c>
      <x:c r="F1183" s="14">
        <x:f>IF(B1183="","", D1183 + $F$12*$F$9*(G1183)/IF(SQRT(G1183^2+H1183^2)=0,1,SQRT(G1183^2+H1183^2)))</x:f>
      </x:c>
      <x:c r="G1183" s="14">
        <x:f>IF(B1183="","", -$F$8*SIN(B1183) - $B$7*$F$6*SIN($F$6*B1183))</x:f>
      </x:c>
      <x:c r="H1183" s="14">
        <x:f>IF(B1183="","", $F$8*COS(B1183) - $B$7*$F$6*COS($F$6*B1183))</x:f>
      </x:c>
    </x:row>
    <x:row r="1184">
      <x:c r="A1184" s="13" t="n">
        <x:v>1165</x:v>
      </x:c>
      <x:c r="B1184" s="14">
        <x:f>IF($B$12&lt;1165,"",$B$13+(1165-1)*($B$14-$B$13)/($B$12-1))</x:f>
      </x:c>
      <x:c r="C1184" s="14">
        <x:f>IF(B1184="","",$F$8*COS(B1184) + $B$7*COS($F$6*B1184))</x:f>
      </x:c>
      <x:c r="D1184" s="14">
        <x:f>IF(B1184="","",$F$8*SIN(B1184) - $B$7*SIN($F$6*B1184))</x:f>
      </x:c>
      <x:c r="E1184" s="14">
        <x:f>IF(B1184="","", C1184 + $F$12*$F$9*(-H1184)/IF(SQRT(G1184^2+H1184^2)=0,1,SQRT(G1184^2+H1184^2)))</x:f>
      </x:c>
      <x:c r="F1184" s="14">
        <x:f>IF(B1184="","", D1184 + $F$12*$F$9*(G1184)/IF(SQRT(G1184^2+H1184^2)=0,1,SQRT(G1184^2+H1184^2)))</x:f>
      </x:c>
      <x:c r="G1184" s="14">
        <x:f>IF(B1184="","", -$F$8*SIN(B1184) - $B$7*$F$6*SIN($F$6*B1184))</x:f>
      </x:c>
      <x:c r="H1184" s="14">
        <x:f>IF(B1184="","", $F$8*COS(B1184) - $B$7*$F$6*COS($F$6*B1184))</x:f>
      </x:c>
    </x:row>
    <x:row r="1185">
      <x:c r="A1185" s="13" t="n">
        <x:v>1166</x:v>
      </x:c>
      <x:c r="B1185" s="14">
        <x:f>IF($B$12&lt;1166,"",$B$13+(1166-1)*($B$14-$B$13)/($B$12-1))</x:f>
      </x:c>
      <x:c r="C1185" s="14">
        <x:f>IF(B1185="","",$F$8*COS(B1185) + $B$7*COS($F$6*B1185))</x:f>
      </x:c>
      <x:c r="D1185" s="14">
        <x:f>IF(B1185="","",$F$8*SIN(B1185) - $B$7*SIN($F$6*B1185))</x:f>
      </x:c>
      <x:c r="E1185" s="14">
        <x:f>IF(B1185="","", C1185 + $F$12*$F$9*(-H1185)/IF(SQRT(G1185^2+H1185^2)=0,1,SQRT(G1185^2+H1185^2)))</x:f>
      </x:c>
      <x:c r="F1185" s="14">
        <x:f>IF(B1185="","", D1185 + $F$12*$F$9*(G1185)/IF(SQRT(G1185^2+H1185^2)=0,1,SQRT(G1185^2+H1185^2)))</x:f>
      </x:c>
      <x:c r="G1185" s="14">
        <x:f>IF(B1185="","", -$F$8*SIN(B1185) - $B$7*$F$6*SIN($F$6*B1185))</x:f>
      </x:c>
      <x:c r="H1185" s="14">
        <x:f>IF(B1185="","", $F$8*COS(B1185) - $B$7*$F$6*COS($F$6*B1185))</x:f>
      </x:c>
    </x:row>
    <x:row r="1186">
      <x:c r="A1186" s="13" t="n">
        <x:v>1167</x:v>
      </x:c>
      <x:c r="B1186" s="14">
        <x:f>IF($B$12&lt;1167,"",$B$13+(1167-1)*($B$14-$B$13)/($B$12-1))</x:f>
      </x:c>
      <x:c r="C1186" s="14">
        <x:f>IF(B1186="","",$F$8*COS(B1186) + $B$7*COS($F$6*B1186))</x:f>
      </x:c>
      <x:c r="D1186" s="14">
        <x:f>IF(B1186="","",$F$8*SIN(B1186) - $B$7*SIN($F$6*B1186))</x:f>
      </x:c>
      <x:c r="E1186" s="14">
        <x:f>IF(B1186="","", C1186 + $F$12*$F$9*(-H1186)/IF(SQRT(G1186^2+H1186^2)=0,1,SQRT(G1186^2+H1186^2)))</x:f>
      </x:c>
      <x:c r="F1186" s="14">
        <x:f>IF(B1186="","", D1186 + $F$12*$F$9*(G1186)/IF(SQRT(G1186^2+H1186^2)=0,1,SQRT(G1186^2+H1186^2)))</x:f>
      </x:c>
      <x:c r="G1186" s="14">
        <x:f>IF(B1186="","", -$F$8*SIN(B1186) - $B$7*$F$6*SIN($F$6*B1186))</x:f>
      </x:c>
      <x:c r="H1186" s="14">
        <x:f>IF(B1186="","", $F$8*COS(B1186) - $B$7*$F$6*COS($F$6*B1186))</x:f>
      </x:c>
    </x:row>
    <x:row r="1187">
      <x:c r="A1187" s="13" t="n">
        <x:v>1168</x:v>
      </x:c>
      <x:c r="B1187" s="14">
        <x:f>IF($B$12&lt;1168,"",$B$13+(1168-1)*($B$14-$B$13)/($B$12-1))</x:f>
      </x:c>
      <x:c r="C1187" s="14">
        <x:f>IF(B1187="","",$F$8*COS(B1187) + $B$7*COS($F$6*B1187))</x:f>
      </x:c>
      <x:c r="D1187" s="14">
        <x:f>IF(B1187="","",$F$8*SIN(B1187) - $B$7*SIN($F$6*B1187))</x:f>
      </x:c>
      <x:c r="E1187" s="14">
        <x:f>IF(B1187="","", C1187 + $F$12*$F$9*(-H1187)/IF(SQRT(G1187^2+H1187^2)=0,1,SQRT(G1187^2+H1187^2)))</x:f>
      </x:c>
      <x:c r="F1187" s="14">
        <x:f>IF(B1187="","", D1187 + $F$12*$F$9*(G1187)/IF(SQRT(G1187^2+H1187^2)=0,1,SQRT(G1187^2+H1187^2)))</x:f>
      </x:c>
      <x:c r="G1187" s="14">
        <x:f>IF(B1187="","", -$F$8*SIN(B1187) - $B$7*$F$6*SIN($F$6*B1187))</x:f>
      </x:c>
      <x:c r="H1187" s="14">
        <x:f>IF(B1187="","", $F$8*COS(B1187) - $B$7*$F$6*COS($F$6*B1187))</x:f>
      </x:c>
    </x:row>
    <x:row r="1188">
      <x:c r="A1188" s="13" t="n">
        <x:v>1169</x:v>
      </x:c>
      <x:c r="B1188" s="14">
        <x:f>IF($B$12&lt;1169,"",$B$13+(1169-1)*($B$14-$B$13)/($B$12-1))</x:f>
      </x:c>
      <x:c r="C1188" s="14">
        <x:f>IF(B1188="","",$F$8*COS(B1188) + $B$7*COS($F$6*B1188))</x:f>
      </x:c>
      <x:c r="D1188" s="14">
        <x:f>IF(B1188="","",$F$8*SIN(B1188) - $B$7*SIN($F$6*B1188))</x:f>
      </x:c>
      <x:c r="E1188" s="14">
        <x:f>IF(B1188="","", C1188 + $F$12*$F$9*(-H1188)/IF(SQRT(G1188^2+H1188^2)=0,1,SQRT(G1188^2+H1188^2)))</x:f>
      </x:c>
      <x:c r="F1188" s="14">
        <x:f>IF(B1188="","", D1188 + $F$12*$F$9*(G1188)/IF(SQRT(G1188^2+H1188^2)=0,1,SQRT(G1188^2+H1188^2)))</x:f>
      </x:c>
      <x:c r="G1188" s="14">
        <x:f>IF(B1188="","", -$F$8*SIN(B1188) - $B$7*$F$6*SIN($F$6*B1188))</x:f>
      </x:c>
      <x:c r="H1188" s="14">
        <x:f>IF(B1188="","", $F$8*COS(B1188) - $B$7*$F$6*COS($F$6*B1188))</x:f>
      </x:c>
    </x:row>
    <x:row r="1189">
      <x:c r="A1189" s="13" t="n">
        <x:v>1170</x:v>
      </x:c>
      <x:c r="B1189" s="14">
        <x:f>IF($B$12&lt;1170,"",$B$13+(1170-1)*($B$14-$B$13)/($B$12-1))</x:f>
      </x:c>
      <x:c r="C1189" s="14">
        <x:f>IF(B1189="","",$F$8*COS(B1189) + $B$7*COS($F$6*B1189))</x:f>
      </x:c>
      <x:c r="D1189" s="14">
        <x:f>IF(B1189="","",$F$8*SIN(B1189) - $B$7*SIN($F$6*B1189))</x:f>
      </x:c>
      <x:c r="E1189" s="14">
        <x:f>IF(B1189="","", C1189 + $F$12*$F$9*(-H1189)/IF(SQRT(G1189^2+H1189^2)=0,1,SQRT(G1189^2+H1189^2)))</x:f>
      </x:c>
      <x:c r="F1189" s="14">
        <x:f>IF(B1189="","", D1189 + $F$12*$F$9*(G1189)/IF(SQRT(G1189^2+H1189^2)=0,1,SQRT(G1189^2+H1189^2)))</x:f>
      </x:c>
      <x:c r="G1189" s="14">
        <x:f>IF(B1189="","", -$F$8*SIN(B1189) - $B$7*$F$6*SIN($F$6*B1189))</x:f>
      </x:c>
      <x:c r="H1189" s="14">
        <x:f>IF(B1189="","", $F$8*COS(B1189) - $B$7*$F$6*COS($F$6*B1189))</x:f>
      </x:c>
    </x:row>
    <x:row r="1190">
      <x:c r="A1190" s="13" t="n">
        <x:v>1171</x:v>
      </x:c>
      <x:c r="B1190" s="14">
        <x:f>IF($B$12&lt;1171,"",$B$13+(1171-1)*($B$14-$B$13)/($B$12-1))</x:f>
      </x:c>
      <x:c r="C1190" s="14">
        <x:f>IF(B1190="","",$F$8*COS(B1190) + $B$7*COS($F$6*B1190))</x:f>
      </x:c>
      <x:c r="D1190" s="14">
        <x:f>IF(B1190="","",$F$8*SIN(B1190) - $B$7*SIN($F$6*B1190))</x:f>
      </x:c>
      <x:c r="E1190" s="14">
        <x:f>IF(B1190="","", C1190 + $F$12*$F$9*(-H1190)/IF(SQRT(G1190^2+H1190^2)=0,1,SQRT(G1190^2+H1190^2)))</x:f>
      </x:c>
      <x:c r="F1190" s="14">
        <x:f>IF(B1190="","", D1190 + $F$12*$F$9*(G1190)/IF(SQRT(G1190^2+H1190^2)=0,1,SQRT(G1190^2+H1190^2)))</x:f>
      </x:c>
      <x:c r="G1190" s="14">
        <x:f>IF(B1190="","", -$F$8*SIN(B1190) - $B$7*$F$6*SIN($F$6*B1190))</x:f>
      </x:c>
      <x:c r="H1190" s="14">
        <x:f>IF(B1190="","", $F$8*COS(B1190) - $B$7*$F$6*COS($F$6*B1190))</x:f>
      </x:c>
    </x:row>
    <x:row r="1191">
      <x:c r="A1191" s="13" t="n">
        <x:v>1172</x:v>
      </x:c>
      <x:c r="B1191" s="14">
        <x:f>IF($B$12&lt;1172,"",$B$13+(1172-1)*($B$14-$B$13)/($B$12-1))</x:f>
      </x:c>
      <x:c r="C1191" s="14">
        <x:f>IF(B1191="","",$F$8*COS(B1191) + $B$7*COS($F$6*B1191))</x:f>
      </x:c>
      <x:c r="D1191" s="14">
        <x:f>IF(B1191="","",$F$8*SIN(B1191) - $B$7*SIN($F$6*B1191))</x:f>
      </x:c>
      <x:c r="E1191" s="14">
        <x:f>IF(B1191="","", C1191 + $F$12*$F$9*(-H1191)/IF(SQRT(G1191^2+H1191^2)=0,1,SQRT(G1191^2+H1191^2)))</x:f>
      </x:c>
      <x:c r="F1191" s="14">
        <x:f>IF(B1191="","", D1191 + $F$12*$F$9*(G1191)/IF(SQRT(G1191^2+H1191^2)=0,1,SQRT(G1191^2+H1191^2)))</x:f>
      </x:c>
      <x:c r="G1191" s="14">
        <x:f>IF(B1191="","", -$F$8*SIN(B1191) - $B$7*$F$6*SIN($F$6*B1191))</x:f>
      </x:c>
      <x:c r="H1191" s="14">
        <x:f>IF(B1191="","", $F$8*COS(B1191) - $B$7*$F$6*COS($F$6*B1191))</x:f>
      </x:c>
    </x:row>
    <x:row r="1192">
      <x:c r="A1192" s="13" t="n">
        <x:v>1173</x:v>
      </x:c>
      <x:c r="B1192" s="14">
        <x:f>IF($B$12&lt;1173,"",$B$13+(1173-1)*($B$14-$B$13)/($B$12-1))</x:f>
      </x:c>
      <x:c r="C1192" s="14">
        <x:f>IF(B1192="","",$F$8*COS(B1192) + $B$7*COS($F$6*B1192))</x:f>
      </x:c>
      <x:c r="D1192" s="14">
        <x:f>IF(B1192="","",$F$8*SIN(B1192) - $B$7*SIN($F$6*B1192))</x:f>
      </x:c>
      <x:c r="E1192" s="14">
        <x:f>IF(B1192="","", C1192 + $F$12*$F$9*(-H1192)/IF(SQRT(G1192^2+H1192^2)=0,1,SQRT(G1192^2+H1192^2)))</x:f>
      </x:c>
      <x:c r="F1192" s="14">
        <x:f>IF(B1192="","", D1192 + $F$12*$F$9*(G1192)/IF(SQRT(G1192^2+H1192^2)=0,1,SQRT(G1192^2+H1192^2)))</x:f>
      </x:c>
      <x:c r="G1192" s="14">
        <x:f>IF(B1192="","", -$F$8*SIN(B1192) - $B$7*$F$6*SIN($F$6*B1192))</x:f>
      </x:c>
      <x:c r="H1192" s="14">
        <x:f>IF(B1192="","", $F$8*COS(B1192) - $B$7*$F$6*COS($F$6*B1192))</x:f>
      </x:c>
    </x:row>
    <x:row r="1193">
      <x:c r="A1193" s="13" t="n">
        <x:v>1174</x:v>
      </x:c>
      <x:c r="B1193" s="14">
        <x:f>IF($B$12&lt;1174,"",$B$13+(1174-1)*($B$14-$B$13)/($B$12-1))</x:f>
      </x:c>
      <x:c r="C1193" s="14">
        <x:f>IF(B1193="","",$F$8*COS(B1193) + $B$7*COS($F$6*B1193))</x:f>
      </x:c>
      <x:c r="D1193" s="14">
        <x:f>IF(B1193="","",$F$8*SIN(B1193) - $B$7*SIN($F$6*B1193))</x:f>
      </x:c>
      <x:c r="E1193" s="14">
        <x:f>IF(B1193="","", C1193 + $F$12*$F$9*(-H1193)/IF(SQRT(G1193^2+H1193^2)=0,1,SQRT(G1193^2+H1193^2)))</x:f>
      </x:c>
      <x:c r="F1193" s="14">
        <x:f>IF(B1193="","", D1193 + $F$12*$F$9*(G1193)/IF(SQRT(G1193^2+H1193^2)=0,1,SQRT(G1193^2+H1193^2)))</x:f>
      </x:c>
      <x:c r="G1193" s="14">
        <x:f>IF(B1193="","", -$F$8*SIN(B1193) - $B$7*$F$6*SIN($F$6*B1193))</x:f>
      </x:c>
      <x:c r="H1193" s="14">
        <x:f>IF(B1193="","", $F$8*COS(B1193) - $B$7*$F$6*COS($F$6*B1193))</x:f>
      </x:c>
    </x:row>
    <x:row r="1194">
      <x:c r="A1194" s="13" t="n">
        <x:v>1175</x:v>
      </x:c>
      <x:c r="B1194" s="14">
        <x:f>IF($B$12&lt;1175,"",$B$13+(1175-1)*($B$14-$B$13)/($B$12-1))</x:f>
      </x:c>
      <x:c r="C1194" s="14">
        <x:f>IF(B1194="","",$F$8*COS(B1194) + $B$7*COS($F$6*B1194))</x:f>
      </x:c>
      <x:c r="D1194" s="14">
        <x:f>IF(B1194="","",$F$8*SIN(B1194) - $B$7*SIN($F$6*B1194))</x:f>
      </x:c>
      <x:c r="E1194" s="14">
        <x:f>IF(B1194="","", C1194 + $F$12*$F$9*(-H1194)/IF(SQRT(G1194^2+H1194^2)=0,1,SQRT(G1194^2+H1194^2)))</x:f>
      </x:c>
      <x:c r="F1194" s="14">
        <x:f>IF(B1194="","", D1194 + $F$12*$F$9*(G1194)/IF(SQRT(G1194^2+H1194^2)=0,1,SQRT(G1194^2+H1194^2)))</x:f>
      </x:c>
      <x:c r="G1194" s="14">
        <x:f>IF(B1194="","", -$F$8*SIN(B1194) - $B$7*$F$6*SIN($F$6*B1194))</x:f>
      </x:c>
      <x:c r="H1194" s="14">
        <x:f>IF(B1194="","", $F$8*COS(B1194) - $B$7*$F$6*COS($F$6*B1194))</x:f>
      </x:c>
    </x:row>
    <x:row r="1195">
      <x:c r="A1195" s="13" t="n">
        <x:v>1176</x:v>
      </x:c>
      <x:c r="B1195" s="14">
        <x:f>IF($B$12&lt;1176,"",$B$13+(1176-1)*($B$14-$B$13)/($B$12-1))</x:f>
      </x:c>
      <x:c r="C1195" s="14">
        <x:f>IF(B1195="","",$F$8*COS(B1195) + $B$7*COS($F$6*B1195))</x:f>
      </x:c>
      <x:c r="D1195" s="14">
        <x:f>IF(B1195="","",$F$8*SIN(B1195) - $B$7*SIN($F$6*B1195))</x:f>
      </x:c>
      <x:c r="E1195" s="14">
        <x:f>IF(B1195="","", C1195 + $F$12*$F$9*(-H1195)/IF(SQRT(G1195^2+H1195^2)=0,1,SQRT(G1195^2+H1195^2)))</x:f>
      </x:c>
      <x:c r="F1195" s="14">
        <x:f>IF(B1195="","", D1195 + $F$12*$F$9*(G1195)/IF(SQRT(G1195^2+H1195^2)=0,1,SQRT(G1195^2+H1195^2)))</x:f>
      </x:c>
      <x:c r="G1195" s="14">
        <x:f>IF(B1195="","", -$F$8*SIN(B1195) - $B$7*$F$6*SIN($F$6*B1195))</x:f>
      </x:c>
      <x:c r="H1195" s="14">
        <x:f>IF(B1195="","", $F$8*COS(B1195) - $B$7*$F$6*COS($F$6*B1195))</x:f>
      </x:c>
    </x:row>
    <x:row r="1196">
      <x:c r="A1196" s="13" t="n">
        <x:v>1177</x:v>
      </x:c>
      <x:c r="B1196" s="14">
        <x:f>IF($B$12&lt;1177,"",$B$13+(1177-1)*($B$14-$B$13)/($B$12-1))</x:f>
      </x:c>
      <x:c r="C1196" s="14">
        <x:f>IF(B1196="","",$F$8*COS(B1196) + $B$7*COS($F$6*B1196))</x:f>
      </x:c>
      <x:c r="D1196" s="14">
        <x:f>IF(B1196="","",$F$8*SIN(B1196) - $B$7*SIN($F$6*B1196))</x:f>
      </x:c>
      <x:c r="E1196" s="14">
        <x:f>IF(B1196="","", C1196 + $F$12*$F$9*(-H1196)/IF(SQRT(G1196^2+H1196^2)=0,1,SQRT(G1196^2+H1196^2)))</x:f>
      </x:c>
      <x:c r="F1196" s="14">
        <x:f>IF(B1196="","", D1196 + $F$12*$F$9*(G1196)/IF(SQRT(G1196^2+H1196^2)=0,1,SQRT(G1196^2+H1196^2)))</x:f>
      </x:c>
      <x:c r="G1196" s="14">
        <x:f>IF(B1196="","", -$F$8*SIN(B1196) - $B$7*$F$6*SIN($F$6*B1196))</x:f>
      </x:c>
      <x:c r="H1196" s="14">
        <x:f>IF(B1196="","", $F$8*COS(B1196) - $B$7*$F$6*COS($F$6*B1196))</x:f>
      </x:c>
    </x:row>
    <x:row r="1197">
      <x:c r="A1197" s="13" t="n">
        <x:v>1178</x:v>
      </x:c>
      <x:c r="B1197" s="14">
        <x:f>IF($B$12&lt;1178,"",$B$13+(1178-1)*($B$14-$B$13)/($B$12-1))</x:f>
      </x:c>
      <x:c r="C1197" s="14">
        <x:f>IF(B1197="","",$F$8*COS(B1197) + $B$7*COS($F$6*B1197))</x:f>
      </x:c>
      <x:c r="D1197" s="14">
        <x:f>IF(B1197="","",$F$8*SIN(B1197) - $B$7*SIN($F$6*B1197))</x:f>
      </x:c>
      <x:c r="E1197" s="14">
        <x:f>IF(B1197="","", C1197 + $F$12*$F$9*(-H1197)/IF(SQRT(G1197^2+H1197^2)=0,1,SQRT(G1197^2+H1197^2)))</x:f>
      </x:c>
      <x:c r="F1197" s="14">
        <x:f>IF(B1197="","", D1197 + $F$12*$F$9*(G1197)/IF(SQRT(G1197^2+H1197^2)=0,1,SQRT(G1197^2+H1197^2)))</x:f>
      </x:c>
      <x:c r="G1197" s="14">
        <x:f>IF(B1197="","", -$F$8*SIN(B1197) - $B$7*$F$6*SIN($F$6*B1197))</x:f>
      </x:c>
      <x:c r="H1197" s="14">
        <x:f>IF(B1197="","", $F$8*COS(B1197) - $B$7*$F$6*COS($F$6*B1197))</x:f>
      </x:c>
    </x:row>
    <x:row r="1198">
      <x:c r="A1198" s="13" t="n">
        <x:v>1179</x:v>
      </x:c>
      <x:c r="B1198" s="14">
        <x:f>IF($B$12&lt;1179,"",$B$13+(1179-1)*($B$14-$B$13)/($B$12-1))</x:f>
      </x:c>
      <x:c r="C1198" s="14">
        <x:f>IF(B1198="","",$F$8*COS(B1198) + $B$7*COS($F$6*B1198))</x:f>
      </x:c>
      <x:c r="D1198" s="14">
        <x:f>IF(B1198="","",$F$8*SIN(B1198) - $B$7*SIN($F$6*B1198))</x:f>
      </x:c>
      <x:c r="E1198" s="14">
        <x:f>IF(B1198="","", C1198 + $F$12*$F$9*(-H1198)/IF(SQRT(G1198^2+H1198^2)=0,1,SQRT(G1198^2+H1198^2)))</x:f>
      </x:c>
      <x:c r="F1198" s="14">
        <x:f>IF(B1198="","", D1198 + $F$12*$F$9*(G1198)/IF(SQRT(G1198^2+H1198^2)=0,1,SQRT(G1198^2+H1198^2)))</x:f>
      </x:c>
      <x:c r="G1198" s="14">
        <x:f>IF(B1198="","", -$F$8*SIN(B1198) - $B$7*$F$6*SIN($F$6*B1198))</x:f>
      </x:c>
      <x:c r="H1198" s="14">
        <x:f>IF(B1198="","", $F$8*COS(B1198) - $B$7*$F$6*COS($F$6*B1198))</x:f>
      </x:c>
    </x:row>
    <x:row r="1199">
      <x:c r="A1199" s="13" t="n">
        <x:v>1180</x:v>
      </x:c>
      <x:c r="B1199" s="14">
        <x:f>IF($B$12&lt;1180,"",$B$13+(1180-1)*($B$14-$B$13)/($B$12-1))</x:f>
      </x:c>
      <x:c r="C1199" s="14">
        <x:f>IF(B1199="","",$F$8*COS(B1199) + $B$7*COS($F$6*B1199))</x:f>
      </x:c>
      <x:c r="D1199" s="14">
        <x:f>IF(B1199="","",$F$8*SIN(B1199) - $B$7*SIN($F$6*B1199))</x:f>
      </x:c>
      <x:c r="E1199" s="14">
        <x:f>IF(B1199="","", C1199 + $F$12*$F$9*(-H1199)/IF(SQRT(G1199^2+H1199^2)=0,1,SQRT(G1199^2+H1199^2)))</x:f>
      </x:c>
      <x:c r="F1199" s="14">
        <x:f>IF(B1199="","", D1199 + $F$12*$F$9*(G1199)/IF(SQRT(G1199^2+H1199^2)=0,1,SQRT(G1199^2+H1199^2)))</x:f>
      </x:c>
      <x:c r="G1199" s="14">
        <x:f>IF(B1199="","", -$F$8*SIN(B1199) - $B$7*$F$6*SIN($F$6*B1199))</x:f>
      </x:c>
      <x:c r="H1199" s="14">
        <x:f>IF(B1199="","", $F$8*COS(B1199) - $B$7*$F$6*COS($F$6*B1199))</x:f>
      </x:c>
    </x:row>
    <x:row r="1200">
      <x:c r="A1200" s="13" t="n">
        <x:v>1181</x:v>
      </x:c>
      <x:c r="B1200" s="14">
        <x:f>IF($B$12&lt;1181,"",$B$13+(1181-1)*($B$14-$B$13)/($B$12-1))</x:f>
      </x:c>
      <x:c r="C1200" s="14">
        <x:f>IF(B1200="","",$F$8*COS(B1200) + $B$7*COS($F$6*B1200))</x:f>
      </x:c>
      <x:c r="D1200" s="14">
        <x:f>IF(B1200="","",$F$8*SIN(B1200) - $B$7*SIN($F$6*B1200))</x:f>
      </x:c>
      <x:c r="E1200" s="14">
        <x:f>IF(B1200="","", C1200 + $F$12*$F$9*(-H1200)/IF(SQRT(G1200^2+H1200^2)=0,1,SQRT(G1200^2+H1200^2)))</x:f>
      </x:c>
      <x:c r="F1200" s="14">
        <x:f>IF(B1200="","", D1200 + $F$12*$F$9*(G1200)/IF(SQRT(G1200^2+H1200^2)=0,1,SQRT(G1200^2+H1200^2)))</x:f>
      </x:c>
      <x:c r="G1200" s="14">
        <x:f>IF(B1200="","", -$F$8*SIN(B1200) - $B$7*$F$6*SIN($F$6*B1200))</x:f>
      </x:c>
      <x:c r="H1200" s="14">
        <x:f>IF(B1200="","", $F$8*COS(B1200) - $B$7*$F$6*COS($F$6*B1200))</x:f>
      </x:c>
    </x:row>
    <x:row r="1201">
      <x:c r="A1201" s="13" t="n">
        <x:v>1182</x:v>
      </x:c>
      <x:c r="B1201" s="14">
        <x:f>IF($B$12&lt;1182,"",$B$13+(1182-1)*($B$14-$B$13)/($B$12-1))</x:f>
      </x:c>
      <x:c r="C1201" s="14">
        <x:f>IF(B1201="","",$F$8*COS(B1201) + $B$7*COS($F$6*B1201))</x:f>
      </x:c>
      <x:c r="D1201" s="14">
        <x:f>IF(B1201="","",$F$8*SIN(B1201) - $B$7*SIN($F$6*B1201))</x:f>
      </x:c>
      <x:c r="E1201" s="14">
        <x:f>IF(B1201="","", C1201 + $F$12*$F$9*(-H1201)/IF(SQRT(G1201^2+H1201^2)=0,1,SQRT(G1201^2+H1201^2)))</x:f>
      </x:c>
      <x:c r="F1201" s="14">
        <x:f>IF(B1201="","", D1201 + $F$12*$F$9*(G1201)/IF(SQRT(G1201^2+H1201^2)=0,1,SQRT(G1201^2+H1201^2)))</x:f>
      </x:c>
      <x:c r="G1201" s="14">
        <x:f>IF(B1201="","", -$F$8*SIN(B1201) - $B$7*$F$6*SIN($F$6*B1201))</x:f>
      </x:c>
      <x:c r="H1201" s="14">
        <x:f>IF(B1201="","", $F$8*COS(B1201) - $B$7*$F$6*COS($F$6*B1201))</x:f>
      </x:c>
    </x:row>
    <x:row r="1202">
      <x:c r="A1202" s="13" t="n">
        <x:v>1183</x:v>
      </x:c>
      <x:c r="B1202" s="14">
        <x:f>IF($B$12&lt;1183,"",$B$13+(1183-1)*($B$14-$B$13)/($B$12-1))</x:f>
      </x:c>
      <x:c r="C1202" s="14">
        <x:f>IF(B1202="","",$F$8*COS(B1202) + $B$7*COS($F$6*B1202))</x:f>
      </x:c>
      <x:c r="D1202" s="14">
        <x:f>IF(B1202="","",$F$8*SIN(B1202) - $B$7*SIN($F$6*B1202))</x:f>
      </x:c>
      <x:c r="E1202" s="14">
        <x:f>IF(B1202="","", C1202 + $F$12*$F$9*(-H1202)/IF(SQRT(G1202^2+H1202^2)=0,1,SQRT(G1202^2+H1202^2)))</x:f>
      </x:c>
      <x:c r="F1202" s="14">
        <x:f>IF(B1202="","", D1202 + $F$12*$F$9*(G1202)/IF(SQRT(G1202^2+H1202^2)=0,1,SQRT(G1202^2+H1202^2)))</x:f>
      </x:c>
      <x:c r="G1202" s="14">
        <x:f>IF(B1202="","", -$F$8*SIN(B1202) - $B$7*$F$6*SIN($F$6*B1202))</x:f>
      </x:c>
      <x:c r="H1202" s="14">
        <x:f>IF(B1202="","", $F$8*COS(B1202) - $B$7*$F$6*COS($F$6*B1202))</x:f>
      </x:c>
    </x:row>
    <x:row r="1203">
      <x:c r="A1203" s="13" t="n">
        <x:v>1184</x:v>
      </x:c>
      <x:c r="B1203" s="14">
        <x:f>IF($B$12&lt;1184,"",$B$13+(1184-1)*($B$14-$B$13)/($B$12-1))</x:f>
      </x:c>
      <x:c r="C1203" s="14">
        <x:f>IF(B1203="","",$F$8*COS(B1203) + $B$7*COS($F$6*B1203))</x:f>
      </x:c>
      <x:c r="D1203" s="14">
        <x:f>IF(B1203="","",$F$8*SIN(B1203) - $B$7*SIN($F$6*B1203))</x:f>
      </x:c>
      <x:c r="E1203" s="14">
        <x:f>IF(B1203="","", C1203 + $F$12*$F$9*(-H1203)/IF(SQRT(G1203^2+H1203^2)=0,1,SQRT(G1203^2+H1203^2)))</x:f>
      </x:c>
      <x:c r="F1203" s="14">
        <x:f>IF(B1203="","", D1203 + $F$12*$F$9*(G1203)/IF(SQRT(G1203^2+H1203^2)=0,1,SQRT(G1203^2+H1203^2)))</x:f>
      </x:c>
      <x:c r="G1203" s="14">
        <x:f>IF(B1203="","", -$F$8*SIN(B1203) - $B$7*$F$6*SIN($F$6*B1203))</x:f>
      </x:c>
      <x:c r="H1203" s="14">
        <x:f>IF(B1203="","", $F$8*COS(B1203) - $B$7*$F$6*COS($F$6*B1203))</x:f>
      </x:c>
    </x:row>
    <x:row r="1204">
      <x:c r="A1204" s="13" t="n">
        <x:v>1185</x:v>
      </x:c>
      <x:c r="B1204" s="14">
        <x:f>IF($B$12&lt;1185,"",$B$13+(1185-1)*($B$14-$B$13)/($B$12-1))</x:f>
      </x:c>
      <x:c r="C1204" s="14">
        <x:f>IF(B1204="","",$F$8*COS(B1204) + $B$7*COS($F$6*B1204))</x:f>
      </x:c>
      <x:c r="D1204" s="14">
        <x:f>IF(B1204="","",$F$8*SIN(B1204) - $B$7*SIN($F$6*B1204))</x:f>
      </x:c>
      <x:c r="E1204" s="14">
        <x:f>IF(B1204="","", C1204 + $F$12*$F$9*(-H1204)/IF(SQRT(G1204^2+H1204^2)=0,1,SQRT(G1204^2+H1204^2)))</x:f>
      </x:c>
      <x:c r="F1204" s="14">
        <x:f>IF(B1204="","", D1204 + $F$12*$F$9*(G1204)/IF(SQRT(G1204^2+H1204^2)=0,1,SQRT(G1204^2+H1204^2)))</x:f>
      </x:c>
      <x:c r="G1204" s="14">
        <x:f>IF(B1204="","", -$F$8*SIN(B1204) - $B$7*$F$6*SIN($F$6*B1204))</x:f>
      </x:c>
      <x:c r="H1204" s="14">
        <x:f>IF(B1204="","", $F$8*COS(B1204) - $B$7*$F$6*COS($F$6*B1204))</x:f>
      </x:c>
    </x:row>
    <x:row r="1205">
      <x:c r="A1205" s="13" t="n">
        <x:v>1186</x:v>
      </x:c>
      <x:c r="B1205" s="14">
        <x:f>IF($B$12&lt;1186,"",$B$13+(1186-1)*($B$14-$B$13)/($B$12-1))</x:f>
      </x:c>
      <x:c r="C1205" s="14">
        <x:f>IF(B1205="","",$F$8*COS(B1205) + $B$7*COS($F$6*B1205))</x:f>
      </x:c>
      <x:c r="D1205" s="14">
        <x:f>IF(B1205="","",$F$8*SIN(B1205) - $B$7*SIN($F$6*B1205))</x:f>
      </x:c>
      <x:c r="E1205" s="14">
        <x:f>IF(B1205="","", C1205 + $F$12*$F$9*(-H1205)/IF(SQRT(G1205^2+H1205^2)=0,1,SQRT(G1205^2+H1205^2)))</x:f>
      </x:c>
      <x:c r="F1205" s="14">
        <x:f>IF(B1205="","", D1205 + $F$12*$F$9*(G1205)/IF(SQRT(G1205^2+H1205^2)=0,1,SQRT(G1205^2+H1205^2)))</x:f>
      </x:c>
      <x:c r="G1205" s="14">
        <x:f>IF(B1205="","", -$F$8*SIN(B1205) - $B$7*$F$6*SIN($F$6*B1205))</x:f>
      </x:c>
      <x:c r="H1205" s="14">
        <x:f>IF(B1205="","", $F$8*COS(B1205) - $B$7*$F$6*COS($F$6*B1205))</x:f>
      </x:c>
    </x:row>
    <x:row r="1206">
      <x:c r="A1206" s="13" t="n">
        <x:v>1187</x:v>
      </x:c>
      <x:c r="B1206" s="14">
        <x:f>IF($B$12&lt;1187,"",$B$13+(1187-1)*($B$14-$B$13)/($B$12-1))</x:f>
      </x:c>
      <x:c r="C1206" s="14">
        <x:f>IF(B1206="","",$F$8*COS(B1206) + $B$7*COS($F$6*B1206))</x:f>
      </x:c>
      <x:c r="D1206" s="14">
        <x:f>IF(B1206="","",$F$8*SIN(B1206) - $B$7*SIN($F$6*B1206))</x:f>
      </x:c>
      <x:c r="E1206" s="14">
        <x:f>IF(B1206="","", C1206 + $F$12*$F$9*(-H1206)/IF(SQRT(G1206^2+H1206^2)=0,1,SQRT(G1206^2+H1206^2)))</x:f>
      </x:c>
      <x:c r="F1206" s="14">
        <x:f>IF(B1206="","", D1206 + $F$12*$F$9*(G1206)/IF(SQRT(G1206^2+H1206^2)=0,1,SQRT(G1206^2+H1206^2)))</x:f>
      </x:c>
      <x:c r="G1206" s="14">
        <x:f>IF(B1206="","", -$F$8*SIN(B1206) - $B$7*$F$6*SIN($F$6*B1206))</x:f>
      </x:c>
      <x:c r="H1206" s="14">
        <x:f>IF(B1206="","", $F$8*COS(B1206) - $B$7*$F$6*COS($F$6*B1206))</x:f>
      </x:c>
    </x:row>
    <x:row r="1207">
      <x:c r="A1207" s="13" t="n">
        <x:v>1188</x:v>
      </x:c>
      <x:c r="B1207" s="14">
        <x:f>IF($B$12&lt;1188,"",$B$13+(1188-1)*($B$14-$B$13)/($B$12-1))</x:f>
      </x:c>
      <x:c r="C1207" s="14">
        <x:f>IF(B1207="","",$F$8*COS(B1207) + $B$7*COS($F$6*B1207))</x:f>
      </x:c>
      <x:c r="D1207" s="14">
        <x:f>IF(B1207="","",$F$8*SIN(B1207) - $B$7*SIN($F$6*B1207))</x:f>
      </x:c>
      <x:c r="E1207" s="14">
        <x:f>IF(B1207="","", C1207 + $F$12*$F$9*(-H1207)/IF(SQRT(G1207^2+H1207^2)=0,1,SQRT(G1207^2+H1207^2)))</x:f>
      </x:c>
      <x:c r="F1207" s="14">
        <x:f>IF(B1207="","", D1207 + $F$12*$F$9*(G1207)/IF(SQRT(G1207^2+H1207^2)=0,1,SQRT(G1207^2+H1207^2)))</x:f>
      </x:c>
      <x:c r="G1207" s="14">
        <x:f>IF(B1207="","", -$F$8*SIN(B1207) - $B$7*$F$6*SIN($F$6*B1207))</x:f>
      </x:c>
      <x:c r="H1207" s="14">
        <x:f>IF(B1207="","", $F$8*COS(B1207) - $B$7*$F$6*COS($F$6*B1207))</x:f>
      </x:c>
    </x:row>
    <x:row r="1208">
      <x:c r="A1208" s="13" t="n">
        <x:v>1189</x:v>
      </x:c>
      <x:c r="B1208" s="14">
        <x:f>IF($B$12&lt;1189,"",$B$13+(1189-1)*($B$14-$B$13)/($B$12-1))</x:f>
      </x:c>
      <x:c r="C1208" s="14">
        <x:f>IF(B1208="","",$F$8*COS(B1208) + $B$7*COS($F$6*B1208))</x:f>
      </x:c>
      <x:c r="D1208" s="14">
        <x:f>IF(B1208="","",$F$8*SIN(B1208) - $B$7*SIN($F$6*B1208))</x:f>
      </x:c>
      <x:c r="E1208" s="14">
        <x:f>IF(B1208="","", C1208 + $F$12*$F$9*(-H1208)/IF(SQRT(G1208^2+H1208^2)=0,1,SQRT(G1208^2+H1208^2)))</x:f>
      </x:c>
      <x:c r="F1208" s="14">
        <x:f>IF(B1208="","", D1208 + $F$12*$F$9*(G1208)/IF(SQRT(G1208^2+H1208^2)=0,1,SQRT(G1208^2+H1208^2)))</x:f>
      </x:c>
      <x:c r="G1208" s="14">
        <x:f>IF(B1208="","", -$F$8*SIN(B1208) - $B$7*$F$6*SIN($F$6*B1208))</x:f>
      </x:c>
      <x:c r="H1208" s="14">
        <x:f>IF(B1208="","", $F$8*COS(B1208) - $B$7*$F$6*COS($F$6*B1208))</x:f>
      </x:c>
    </x:row>
    <x:row r="1209">
      <x:c r="A1209" s="13" t="n">
        <x:v>1190</x:v>
      </x:c>
      <x:c r="B1209" s="14">
        <x:f>IF($B$12&lt;1190,"",$B$13+(1190-1)*($B$14-$B$13)/($B$12-1))</x:f>
      </x:c>
      <x:c r="C1209" s="14">
        <x:f>IF(B1209="","",$F$8*COS(B1209) + $B$7*COS($F$6*B1209))</x:f>
      </x:c>
      <x:c r="D1209" s="14">
        <x:f>IF(B1209="","",$F$8*SIN(B1209) - $B$7*SIN($F$6*B1209))</x:f>
      </x:c>
      <x:c r="E1209" s="14">
        <x:f>IF(B1209="","", C1209 + $F$12*$F$9*(-H1209)/IF(SQRT(G1209^2+H1209^2)=0,1,SQRT(G1209^2+H1209^2)))</x:f>
      </x:c>
      <x:c r="F1209" s="14">
        <x:f>IF(B1209="","", D1209 + $F$12*$F$9*(G1209)/IF(SQRT(G1209^2+H1209^2)=0,1,SQRT(G1209^2+H1209^2)))</x:f>
      </x:c>
      <x:c r="G1209" s="14">
        <x:f>IF(B1209="","", -$F$8*SIN(B1209) - $B$7*$F$6*SIN($F$6*B1209))</x:f>
      </x:c>
      <x:c r="H1209" s="14">
        <x:f>IF(B1209="","", $F$8*COS(B1209) - $B$7*$F$6*COS($F$6*B1209))</x:f>
      </x:c>
    </x:row>
    <x:row r="1210">
      <x:c r="A1210" s="13" t="n">
        <x:v>1191</x:v>
      </x:c>
      <x:c r="B1210" s="14">
        <x:f>IF($B$12&lt;1191,"",$B$13+(1191-1)*($B$14-$B$13)/($B$12-1))</x:f>
      </x:c>
      <x:c r="C1210" s="14">
        <x:f>IF(B1210="","",$F$8*COS(B1210) + $B$7*COS($F$6*B1210))</x:f>
      </x:c>
      <x:c r="D1210" s="14">
        <x:f>IF(B1210="","",$F$8*SIN(B1210) - $B$7*SIN($F$6*B1210))</x:f>
      </x:c>
      <x:c r="E1210" s="14">
        <x:f>IF(B1210="","", C1210 + $F$12*$F$9*(-H1210)/IF(SQRT(G1210^2+H1210^2)=0,1,SQRT(G1210^2+H1210^2)))</x:f>
      </x:c>
      <x:c r="F1210" s="14">
        <x:f>IF(B1210="","", D1210 + $F$12*$F$9*(G1210)/IF(SQRT(G1210^2+H1210^2)=0,1,SQRT(G1210^2+H1210^2)))</x:f>
      </x:c>
      <x:c r="G1210" s="14">
        <x:f>IF(B1210="","", -$F$8*SIN(B1210) - $B$7*$F$6*SIN($F$6*B1210))</x:f>
      </x:c>
      <x:c r="H1210" s="14">
        <x:f>IF(B1210="","", $F$8*COS(B1210) - $B$7*$F$6*COS($F$6*B1210))</x:f>
      </x:c>
    </x:row>
    <x:row r="1211">
      <x:c r="A1211" s="13" t="n">
        <x:v>1192</x:v>
      </x:c>
      <x:c r="B1211" s="14">
        <x:f>IF($B$12&lt;1192,"",$B$13+(1192-1)*($B$14-$B$13)/($B$12-1))</x:f>
      </x:c>
      <x:c r="C1211" s="14">
        <x:f>IF(B1211="","",$F$8*COS(B1211) + $B$7*COS($F$6*B1211))</x:f>
      </x:c>
      <x:c r="D1211" s="14">
        <x:f>IF(B1211="","",$F$8*SIN(B1211) - $B$7*SIN($F$6*B1211))</x:f>
      </x:c>
      <x:c r="E1211" s="14">
        <x:f>IF(B1211="","", C1211 + $F$12*$F$9*(-H1211)/IF(SQRT(G1211^2+H1211^2)=0,1,SQRT(G1211^2+H1211^2)))</x:f>
      </x:c>
      <x:c r="F1211" s="14">
        <x:f>IF(B1211="","", D1211 + $F$12*$F$9*(G1211)/IF(SQRT(G1211^2+H1211^2)=0,1,SQRT(G1211^2+H1211^2)))</x:f>
      </x:c>
      <x:c r="G1211" s="14">
        <x:f>IF(B1211="","", -$F$8*SIN(B1211) - $B$7*$F$6*SIN($F$6*B1211))</x:f>
      </x:c>
      <x:c r="H1211" s="14">
        <x:f>IF(B1211="","", $F$8*COS(B1211) - $B$7*$F$6*COS($F$6*B1211))</x:f>
      </x:c>
    </x:row>
    <x:row r="1212">
      <x:c r="A1212" s="13" t="n">
        <x:v>1193</x:v>
      </x:c>
      <x:c r="B1212" s="14">
        <x:f>IF($B$12&lt;1193,"",$B$13+(1193-1)*($B$14-$B$13)/($B$12-1))</x:f>
      </x:c>
      <x:c r="C1212" s="14">
        <x:f>IF(B1212="","",$F$8*COS(B1212) + $B$7*COS($F$6*B1212))</x:f>
      </x:c>
      <x:c r="D1212" s="14">
        <x:f>IF(B1212="","",$F$8*SIN(B1212) - $B$7*SIN($F$6*B1212))</x:f>
      </x:c>
      <x:c r="E1212" s="14">
        <x:f>IF(B1212="","", C1212 + $F$12*$F$9*(-H1212)/IF(SQRT(G1212^2+H1212^2)=0,1,SQRT(G1212^2+H1212^2)))</x:f>
      </x:c>
      <x:c r="F1212" s="14">
        <x:f>IF(B1212="","", D1212 + $F$12*$F$9*(G1212)/IF(SQRT(G1212^2+H1212^2)=0,1,SQRT(G1212^2+H1212^2)))</x:f>
      </x:c>
      <x:c r="G1212" s="14">
        <x:f>IF(B1212="","", -$F$8*SIN(B1212) - $B$7*$F$6*SIN($F$6*B1212))</x:f>
      </x:c>
      <x:c r="H1212" s="14">
        <x:f>IF(B1212="","", $F$8*COS(B1212) - $B$7*$F$6*COS($F$6*B1212))</x:f>
      </x:c>
    </x:row>
    <x:row r="1213">
      <x:c r="A1213" s="13" t="n">
        <x:v>1194</x:v>
      </x:c>
      <x:c r="B1213" s="14">
        <x:f>IF($B$12&lt;1194,"",$B$13+(1194-1)*($B$14-$B$13)/($B$12-1))</x:f>
      </x:c>
      <x:c r="C1213" s="14">
        <x:f>IF(B1213="","",$F$8*COS(B1213) + $B$7*COS($F$6*B1213))</x:f>
      </x:c>
      <x:c r="D1213" s="14">
        <x:f>IF(B1213="","",$F$8*SIN(B1213) - $B$7*SIN($F$6*B1213))</x:f>
      </x:c>
      <x:c r="E1213" s="14">
        <x:f>IF(B1213="","", C1213 + $F$12*$F$9*(-H1213)/IF(SQRT(G1213^2+H1213^2)=0,1,SQRT(G1213^2+H1213^2)))</x:f>
      </x:c>
      <x:c r="F1213" s="14">
        <x:f>IF(B1213="","", D1213 + $F$12*$F$9*(G1213)/IF(SQRT(G1213^2+H1213^2)=0,1,SQRT(G1213^2+H1213^2)))</x:f>
      </x:c>
      <x:c r="G1213" s="14">
        <x:f>IF(B1213="","", -$F$8*SIN(B1213) - $B$7*$F$6*SIN($F$6*B1213))</x:f>
      </x:c>
      <x:c r="H1213" s="14">
        <x:f>IF(B1213="","", $F$8*COS(B1213) - $B$7*$F$6*COS($F$6*B1213))</x:f>
      </x:c>
    </x:row>
    <x:row r="1214">
      <x:c r="A1214" s="13" t="n">
        <x:v>1195</x:v>
      </x:c>
      <x:c r="B1214" s="14">
        <x:f>IF($B$12&lt;1195,"",$B$13+(1195-1)*($B$14-$B$13)/($B$12-1))</x:f>
      </x:c>
      <x:c r="C1214" s="14">
        <x:f>IF(B1214="","",$F$8*COS(B1214) + $B$7*COS($F$6*B1214))</x:f>
      </x:c>
      <x:c r="D1214" s="14">
        <x:f>IF(B1214="","",$F$8*SIN(B1214) - $B$7*SIN($F$6*B1214))</x:f>
      </x:c>
      <x:c r="E1214" s="14">
        <x:f>IF(B1214="","", C1214 + $F$12*$F$9*(-H1214)/IF(SQRT(G1214^2+H1214^2)=0,1,SQRT(G1214^2+H1214^2)))</x:f>
      </x:c>
      <x:c r="F1214" s="14">
        <x:f>IF(B1214="","", D1214 + $F$12*$F$9*(G1214)/IF(SQRT(G1214^2+H1214^2)=0,1,SQRT(G1214^2+H1214^2)))</x:f>
      </x:c>
      <x:c r="G1214" s="14">
        <x:f>IF(B1214="","", -$F$8*SIN(B1214) - $B$7*$F$6*SIN($F$6*B1214))</x:f>
      </x:c>
      <x:c r="H1214" s="14">
        <x:f>IF(B1214="","", $F$8*COS(B1214) - $B$7*$F$6*COS($F$6*B1214))</x:f>
      </x:c>
    </x:row>
    <x:row r="1215">
      <x:c r="A1215" s="13" t="n">
        <x:v>1196</x:v>
      </x:c>
      <x:c r="B1215" s="14">
        <x:f>IF($B$12&lt;1196,"",$B$13+(1196-1)*($B$14-$B$13)/($B$12-1))</x:f>
      </x:c>
      <x:c r="C1215" s="14">
        <x:f>IF(B1215="","",$F$8*COS(B1215) + $B$7*COS($F$6*B1215))</x:f>
      </x:c>
      <x:c r="D1215" s="14">
        <x:f>IF(B1215="","",$F$8*SIN(B1215) - $B$7*SIN($F$6*B1215))</x:f>
      </x:c>
      <x:c r="E1215" s="14">
        <x:f>IF(B1215="","", C1215 + $F$12*$F$9*(-H1215)/IF(SQRT(G1215^2+H1215^2)=0,1,SQRT(G1215^2+H1215^2)))</x:f>
      </x:c>
      <x:c r="F1215" s="14">
        <x:f>IF(B1215="","", D1215 + $F$12*$F$9*(G1215)/IF(SQRT(G1215^2+H1215^2)=0,1,SQRT(G1215^2+H1215^2)))</x:f>
      </x:c>
      <x:c r="G1215" s="14">
        <x:f>IF(B1215="","", -$F$8*SIN(B1215) - $B$7*$F$6*SIN($F$6*B1215))</x:f>
      </x:c>
      <x:c r="H1215" s="14">
        <x:f>IF(B1215="","", $F$8*COS(B1215) - $B$7*$F$6*COS($F$6*B1215))</x:f>
      </x:c>
    </x:row>
    <x:row r="1216">
      <x:c r="A1216" s="13" t="n">
        <x:v>1197</x:v>
      </x:c>
      <x:c r="B1216" s="14">
        <x:f>IF($B$12&lt;1197,"",$B$13+(1197-1)*($B$14-$B$13)/($B$12-1))</x:f>
      </x:c>
      <x:c r="C1216" s="14">
        <x:f>IF(B1216="","",$F$8*COS(B1216) + $B$7*COS($F$6*B1216))</x:f>
      </x:c>
      <x:c r="D1216" s="14">
        <x:f>IF(B1216="","",$F$8*SIN(B1216) - $B$7*SIN($F$6*B1216))</x:f>
      </x:c>
      <x:c r="E1216" s="14">
        <x:f>IF(B1216="","", C1216 + $F$12*$F$9*(-H1216)/IF(SQRT(G1216^2+H1216^2)=0,1,SQRT(G1216^2+H1216^2)))</x:f>
      </x:c>
      <x:c r="F1216" s="14">
        <x:f>IF(B1216="","", D1216 + $F$12*$F$9*(G1216)/IF(SQRT(G1216^2+H1216^2)=0,1,SQRT(G1216^2+H1216^2)))</x:f>
      </x:c>
      <x:c r="G1216" s="14">
        <x:f>IF(B1216="","", -$F$8*SIN(B1216) - $B$7*$F$6*SIN($F$6*B1216))</x:f>
      </x:c>
      <x:c r="H1216" s="14">
        <x:f>IF(B1216="","", $F$8*COS(B1216) - $B$7*$F$6*COS($F$6*B1216))</x:f>
      </x:c>
    </x:row>
    <x:row r="1217">
      <x:c r="A1217" s="13" t="n">
        <x:v>1198</x:v>
      </x:c>
      <x:c r="B1217" s="14">
        <x:f>IF($B$12&lt;1198,"",$B$13+(1198-1)*($B$14-$B$13)/($B$12-1))</x:f>
      </x:c>
      <x:c r="C1217" s="14">
        <x:f>IF(B1217="","",$F$8*COS(B1217) + $B$7*COS($F$6*B1217))</x:f>
      </x:c>
      <x:c r="D1217" s="14">
        <x:f>IF(B1217="","",$F$8*SIN(B1217) - $B$7*SIN($F$6*B1217))</x:f>
      </x:c>
      <x:c r="E1217" s="14">
        <x:f>IF(B1217="","", C1217 + $F$12*$F$9*(-H1217)/IF(SQRT(G1217^2+H1217^2)=0,1,SQRT(G1217^2+H1217^2)))</x:f>
      </x:c>
      <x:c r="F1217" s="14">
        <x:f>IF(B1217="","", D1217 + $F$12*$F$9*(G1217)/IF(SQRT(G1217^2+H1217^2)=0,1,SQRT(G1217^2+H1217^2)))</x:f>
      </x:c>
      <x:c r="G1217" s="14">
        <x:f>IF(B1217="","", -$F$8*SIN(B1217) - $B$7*$F$6*SIN($F$6*B1217))</x:f>
      </x:c>
      <x:c r="H1217" s="14">
        <x:f>IF(B1217="","", $F$8*COS(B1217) - $B$7*$F$6*COS($F$6*B1217))</x:f>
      </x:c>
    </x:row>
    <x:row r="1218">
      <x:c r="A1218" s="13" t="n">
        <x:v>1199</x:v>
      </x:c>
      <x:c r="B1218" s="14">
        <x:f>IF($B$12&lt;1199,"",$B$13+(1199-1)*($B$14-$B$13)/($B$12-1))</x:f>
      </x:c>
      <x:c r="C1218" s="14">
        <x:f>IF(B1218="","",$F$8*COS(B1218) + $B$7*COS($F$6*B1218))</x:f>
      </x:c>
      <x:c r="D1218" s="14">
        <x:f>IF(B1218="","",$F$8*SIN(B1218) - $B$7*SIN($F$6*B1218))</x:f>
      </x:c>
      <x:c r="E1218" s="14">
        <x:f>IF(B1218="","", C1218 + $F$12*$F$9*(-H1218)/IF(SQRT(G1218^2+H1218^2)=0,1,SQRT(G1218^2+H1218^2)))</x:f>
      </x:c>
      <x:c r="F1218" s="14">
        <x:f>IF(B1218="","", D1218 + $F$12*$F$9*(G1218)/IF(SQRT(G1218^2+H1218^2)=0,1,SQRT(G1218^2+H1218^2)))</x:f>
      </x:c>
      <x:c r="G1218" s="14">
        <x:f>IF(B1218="","", -$F$8*SIN(B1218) - $B$7*$F$6*SIN($F$6*B1218))</x:f>
      </x:c>
      <x:c r="H1218" s="14">
        <x:f>IF(B1218="","", $F$8*COS(B1218) - $B$7*$F$6*COS($F$6*B1218))</x:f>
      </x:c>
    </x:row>
    <x:row r="1219">
      <x:c r="A1219" s="13" t="n">
        <x:v>1200</x:v>
      </x:c>
      <x:c r="B1219" s="14">
        <x:f>IF($B$12&lt;1200,"",$B$13+(1200-1)*($B$14-$B$13)/($B$12-1))</x:f>
      </x:c>
      <x:c r="C1219" s="14">
        <x:f>IF(B1219="","",$F$8*COS(B1219) + $B$7*COS($F$6*B1219))</x:f>
      </x:c>
      <x:c r="D1219" s="14">
        <x:f>IF(B1219="","",$F$8*SIN(B1219) - $B$7*SIN($F$6*B1219))</x:f>
      </x:c>
      <x:c r="E1219" s="14">
        <x:f>IF(B1219="","", C1219 + $F$12*$F$9*(-H1219)/IF(SQRT(G1219^2+H1219^2)=0,1,SQRT(G1219^2+H1219^2)))</x:f>
      </x:c>
      <x:c r="F1219" s="14">
        <x:f>IF(B1219="","", D1219 + $F$12*$F$9*(G1219)/IF(SQRT(G1219^2+H1219^2)=0,1,SQRT(G1219^2+H1219^2)))</x:f>
      </x:c>
      <x:c r="G1219" s="14">
        <x:f>IF(B1219="","", -$F$8*SIN(B1219) - $B$7*$F$6*SIN($F$6*B1219))</x:f>
      </x:c>
      <x:c r="H1219" s="14">
        <x:f>IF(B1219="","", $F$8*COS(B1219) - $B$7*$F$6*COS($F$6*B1219))</x:f>
      </x:c>
    </x:row>
    <x:row r="1220">
      <x:c r="A1220" s="13" t="n">
        <x:v>1201</x:v>
      </x:c>
      <x:c r="B1220" s="14">
        <x:f>IF($B$12&lt;1201,"",$B$13+(1201-1)*($B$14-$B$13)/($B$12-1))</x:f>
      </x:c>
      <x:c r="C1220" s="14">
        <x:f>IF(B1220="","",$F$8*COS(B1220) + $B$7*COS($F$6*B1220))</x:f>
      </x:c>
      <x:c r="D1220" s="14">
        <x:f>IF(B1220="","",$F$8*SIN(B1220) - $B$7*SIN($F$6*B1220))</x:f>
      </x:c>
      <x:c r="E1220" s="14">
        <x:f>IF(B1220="","", C1220 + $F$12*$F$9*(-H1220)/IF(SQRT(G1220^2+H1220^2)=0,1,SQRT(G1220^2+H1220^2)))</x:f>
      </x:c>
      <x:c r="F1220" s="14">
        <x:f>IF(B1220="","", D1220 + $F$12*$F$9*(G1220)/IF(SQRT(G1220^2+H1220^2)=0,1,SQRT(G1220^2+H1220^2)))</x:f>
      </x:c>
      <x:c r="G1220" s="14">
        <x:f>IF(B1220="","", -$F$8*SIN(B1220) - $B$7*$F$6*SIN($F$6*B1220))</x:f>
      </x:c>
      <x:c r="H1220" s="14">
        <x:f>IF(B1220="","", $F$8*COS(B1220) - $B$7*$F$6*COS($F$6*B1220))</x:f>
      </x:c>
    </x:row>
    <x:row r="1221">
      <x:c r="A1221" s="13" t="n">
        <x:v>1202</x:v>
      </x:c>
      <x:c r="B1221" s="14">
        <x:f>IF($B$12&lt;1202,"",$B$13+(1202-1)*($B$14-$B$13)/($B$12-1))</x:f>
      </x:c>
      <x:c r="C1221" s="14">
        <x:f>IF(B1221="","",$F$8*COS(B1221) + $B$7*COS($F$6*B1221))</x:f>
      </x:c>
      <x:c r="D1221" s="14">
        <x:f>IF(B1221="","",$F$8*SIN(B1221) - $B$7*SIN($F$6*B1221))</x:f>
      </x:c>
      <x:c r="E1221" s="14">
        <x:f>IF(B1221="","", C1221 + $F$12*$F$9*(-H1221)/IF(SQRT(G1221^2+H1221^2)=0,1,SQRT(G1221^2+H1221^2)))</x:f>
      </x:c>
      <x:c r="F1221" s="14">
        <x:f>IF(B1221="","", D1221 + $F$12*$F$9*(G1221)/IF(SQRT(G1221^2+H1221^2)=0,1,SQRT(G1221^2+H1221^2)))</x:f>
      </x:c>
      <x:c r="G1221" s="14">
        <x:f>IF(B1221="","", -$F$8*SIN(B1221) - $B$7*$F$6*SIN($F$6*B1221))</x:f>
      </x:c>
      <x:c r="H1221" s="14">
        <x:f>IF(B1221="","", $F$8*COS(B1221) - $B$7*$F$6*COS($F$6*B1221))</x:f>
      </x:c>
    </x:row>
    <x:row r="1222">
      <x:c r="A1222" s="13" t="n">
        <x:v>1203</x:v>
      </x:c>
      <x:c r="B1222" s="14">
        <x:f>IF($B$12&lt;1203,"",$B$13+(1203-1)*($B$14-$B$13)/($B$12-1))</x:f>
      </x:c>
      <x:c r="C1222" s="14">
        <x:f>IF(B1222="","",$F$8*COS(B1222) + $B$7*COS($F$6*B1222))</x:f>
      </x:c>
      <x:c r="D1222" s="14">
        <x:f>IF(B1222="","",$F$8*SIN(B1222) - $B$7*SIN($F$6*B1222))</x:f>
      </x:c>
      <x:c r="E1222" s="14">
        <x:f>IF(B1222="","", C1222 + $F$12*$F$9*(-H1222)/IF(SQRT(G1222^2+H1222^2)=0,1,SQRT(G1222^2+H1222^2)))</x:f>
      </x:c>
      <x:c r="F1222" s="14">
        <x:f>IF(B1222="","", D1222 + $F$12*$F$9*(G1222)/IF(SQRT(G1222^2+H1222^2)=0,1,SQRT(G1222^2+H1222^2)))</x:f>
      </x:c>
      <x:c r="G1222" s="14">
        <x:f>IF(B1222="","", -$F$8*SIN(B1222) - $B$7*$F$6*SIN($F$6*B1222))</x:f>
      </x:c>
      <x:c r="H1222" s="14">
        <x:f>IF(B1222="","", $F$8*COS(B1222) - $B$7*$F$6*COS($F$6*B1222))</x:f>
      </x:c>
    </x:row>
    <x:row r="1223">
      <x:c r="A1223" s="13" t="n">
        <x:v>1204</x:v>
      </x:c>
      <x:c r="B1223" s="14">
        <x:f>IF($B$12&lt;1204,"",$B$13+(1204-1)*($B$14-$B$13)/($B$12-1))</x:f>
      </x:c>
      <x:c r="C1223" s="14">
        <x:f>IF(B1223="","",$F$8*COS(B1223) + $B$7*COS($F$6*B1223))</x:f>
      </x:c>
      <x:c r="D1223" s="14">
        <x:f>IF(B1223="","",$F$8*SIN(B1223) - $B$7*SIN($F$6*B1223))</x:f>
      </x:c>
      <x:c r="E1223" s="14">
        <x:f>IF(B1223="","", C1223 + $F$12*$F$9*(-H1223)/IF(SQRT(G1223^2+H1223^2)=0,1,SQRT(G1223^2+H1223^2)))</x:f>
      </x:c>
      <x:c r="F1223" s="14">
        <x:f>IF(B1223="","", D1223 + $F$12*$F$9*(G1223)/IF(SQRT(G1223^2+H1223^2)=0,1,SQRT(G1223^2+H1223^2)))</x:f>
      </x:c>
      <x:c r="G1223" s="14">
        <x:f>IF(B1223="","", -$F$8*SIN(B1223) - $B$7*$F$6*SIN($F$6*B1223))</x:f>
      </x:c>
      <x:c r="H1223" s="14">
        <x:f>IF(B1223="","", $F$8*COS(B1223) - $B$7*$F$6*COS($F$6*B1223))</x:f>
      </x:c>
    </x:row>
    <x:row r="1224">
      <x:c r="A1224" s="13" t="n">
        <x:v>1205</x:v>
      </x:c>
      <x:c r="B1224" s="14">
        <x:f>IF($B$12&lt;1205,"",$B$13+(1205-1)*($B$14-$B$13)/($B$12-1))</x:f>
      </x:c>
      <x:c r="C1224" s="14">
        <x:f>IF(B1224="","",$F$8*COS(B1224) + $B$7*COS($F$6*B1224))</x:f>
      </x:c>
      <x:c r="D1224" s="14">
        <x:f>IF(B1224="","",$F$8*SIN(B1224) - $B$7*SIN($F$6*B1224))</x:f>
      </x:c>
      <x:c r="E1224" s="14">
        <x:f>IF(B1224="","", C1224 + $F$12*$F$9*(-H1224)/IF(SQRT(G1224^2+H1224^2)=0,1,SQRT(G1224^2+H1224^2)))</x:f>
      </x:c>
      <x:c r="F1224" s="14">
        <x:f>IF(B1224="","", D1224 + $F$12*$F$9*(G1224)/IF(SQRT(G1224^2+H1224^2)=0,1,SQRT(G1224^2+H1224^2)))</x:f>
      </x:c>
      <x:c r="G1224" s="14">
        <x:f>IF(B1224="","", -$F$8*SIN(B1224) - $B$7*$F$6*SIN($F$6*B1224))</x:f>
      </x:c>
      <x:c r="H1224" s="14">
        <x:f>IF(B1224="","", $F$8*COS(B1224) - $B$7*$F$6*COS($F$6*B1224))</x:f>
      </x:c>
    </x:row>
    <x:row r="1225">
      <x:c r="A1225" s="13" t="n">
        <x:v>1206</x:v>
      </x:c>
      <x:c r="B1225" s="14">
        <x:f>IF($B$12&lt;1206,"",$B$13+(1206-1)*($B$14-$B$13)/($B$12-1))</x:f>
      </x:c>
      <x:c r="C1225" s="14">
        <x:f>IF(B1225="","",$F$8*COS(B1225) + $B$7*COS($F$6*B1225))</x:f>
      </x:c>
      <x:c r="D1225" s="14">
        <x:f>IF(B1225="","",$F$8*SIN(B1225) - $B$7*SIN($F$6*B1225))</x:f>
      </x:c>
      <x:c r="E1225" s="14">
        <x:f>IF(B1225="","", C1225 + $F$12*$F$9*(-H1225)/IF(SQRT(G1225^2+H1225^2)=0,1,SQRT(G1225^2+H1225^2)))</x:f>
      </x:c>
      <x:c r="F1225" s="14">
        <x:f>IF(B1225="","", D1225 + $F$12*$F$9*(G1225)/IF(SQRT(G1225^2+H1225^2)=0,1,SQRT(G1225^2+H1225^2)))</x:f>
      </x:c>
      <x:c r="G1225" s="14">
        <x:f>IF(B1225="","", -$F$8*SIN(B1225) - $B$7*$F$6*SIN($F$6*B1225))</x:f>
      </x:c>
      <x:c r="H1225" s="14">
        <x:f>IF(B1225="","", $F$8*COS(B1225) - $B$7*$F$6*COS($F$6*B1225))</x:f>
      </x:c>
    </x:row>
    <x:row r="1226">
      <x:c r="A1226" s="13" t="n">
        <x:v>1207</x:v>
      </x:c>
      <x:c r="B1226" s="14">
        <x:f>IF($B$12&lt;1207,"",$B$13+(1207-1)*($B$14-$B$13)/($B$12-1))</x:f>
      </x:c>
      <x:c r="C1226" s="14">
        <x:f>IF(B1226="","",$F$8*COS(B1226) + $B$7*COS($F$6*B1226))</x:f>
      </x:c>
      <x:c r="D1226" s="14">
        <x:f>IF(B1226="","",$F$8*SIN(B1226) - $B$7*SIN($F$6*B1226))</x:f>
      </x:c>
      <x:c r="E1226" s="14">
        <x:f>IF(B1226="","", C1226 + $F$12*$F$9*(-H1226)/IF(SQRT(G1226^2+H1226^2)=0,1,SQRT(G1226^2+H1226^2)))</x:f>
      </x:c>
      <x:c r="F1226" s="14">
        <x:f>IF(B1226="","", D1226 + $F$12*$F$9*(G1226)/IF(SQRT(G1226^2+H1226^2)=0,1,SQRT(G1226^2+H1226^2)))</x:f>
      </x:c>
      <x:c r="G1226" s="14">
        <x:f>IF(B1226="","", -$F$8*SIN(B1226) - $B$7*$F$6*SIN($F$6*B1226))</x:f>
      </x:c>
      <x:c r="H1226" s="14">
        <x:f>IF(B1226="","", $F$8*COS(B1226) - $B$7*$F$6*COS($F$6*B1226))</x:f>
      </x:c>
    </x:row>
    <x:row r="1227">
      <x:c r="A1227" s="13" t="n">
        <x:v>1208</x:v>
      </x:c>
      <x:c r="B1227" s="14">
        <x:f>IF($B$12&lt;1208,"",$B$13+(1208-1)*($B$14-$B$13)/($B$12-1))</x:f>
      </x:c>
      <x:c r="C1227" s="14">
        <x:f>IF(B1227="","",$F$8*COS(B1227) + $B$7*COS($F$6*B1227))</x:f>
      </x:c>
      <x:c r="D1227" s="14">
        <x:f>IF(B1227="","",$F$8*SIN(B1227) - $B$7*SIN($F$6*B1227))</x:f>
      </x:c>
      <x:c r="E1227" s="14">
        <x:f>IF(B1227="","", C1227 + $F$12*$F$9*(-H1227)/IF(SQRT(G1227^2+H1227^2)=0,1,SQRT(G1227^2+H1227^2)))</x:f>
      </x:c>
      <x:c r="F1227" s="14">
        <x:f>IF(B1227="","", D1227 + $F$12*$F$9*(G1227)/IF(SQRT(G1227^2+H1227^2)=0,1,SQRT(G1227^2+H1227^2)))</x:f>
      </x:c>
      <x:c r="G1227" s="14">
        <x:f>IF(B1227="","", -$F$8*SIN(B1227) - $B$7*$F$6*SIN($F$6*B1227))</x:f>
      </x:c>
      <x:c r="H1227" s="14">
        <x:f>IF(B1227="","", $F$8*COS(B1227) - $B$7*$F$6*COS($F$6*B1227))</x:f>
      </x:c>
    </x:row>
    <x:row r="1228">
      <x:c r="A1228" s="13" t="n">
        <x:v>1209</x:v>
      </x:c>
      <x:c r="B1228" s="14">
        <x:f>IF($B$12&lt;1209,"",$B$13+(1209-1)*($B$14-$B$13)/($B$12-1))</x:f>
      </x:c>
      <x:c r="C1228" s="14">
        <x:f>IF(B1228="","",$F$8*COS(B1228) + $B$7*COS($F$6*B1228))</x:f>
      </x:c>
      <x:c r="D1228" s="14">
        <x:f>IF(B1228="","",$F$8*SIN(B1228) - $B$7*SIN($F$6*B1228))</x:f>
      </x:c>
      <x:c r="E1228" s="14">
        <x:f>IF(B1228="","", C1228 + $F$12*$F$9*(-H1228)/IF(SQRT(G1228^2+H1228^2)=0,1,SQRT(G1228^2+H1228^2)))</x:f>
      </x:c>
      <x:c r="F1228" s="14">
        <x:f>IF(B1228="","", D1228 + $F$12*$F$9*(G1228)/IF(SQRT(G1228^2+H1228^2)=0,1,SQRT(G1228^2+H1228^2)))</x:f>
      </x:c>
      <x:c r="G1228" s="14">
        <x:f>IF(B1228="","", -$F$8*SIN(B1228) - $B$7*$F$6*SIN($F$6*B1228))</x:f>
      </x:c>
      <x:c r="H1228" s="14">
        <x:f>IF(B1228="","", $F$8*COS(B1228) - $B$7*$F$6*COS($F$6*B1228))</x:f>
      </x:c>
    </x:row>
    <x:row r="1229">
      <x:c r="A1229" s="13" t="n">
        <x:v>1210</x:v>
      </x:c>
      <x:c r="B1229" s="14">
        <x:f>IF($B$12&lt;1210,"",$B$13+(1210-1)*($B$14-$B$13)/($B$12-1))</x:f>
      </x:c>
      <x:c r="C1229" s="14">
        <x:f>IF(B1229="","",$F$8*COS(B1229) + $B$7*COS($F$6*B1229))</x:f>
      </x:c>
      <x:c r="D1229" s="14">
        <x:f>IF(B1229="","",$F$8*SIN(B1229) - $B$7*SIN($F$6*B1229))</x:f>
      </x:c>
      <x:c r="E1229" s="14">
        <x:f>IF(B1229="","", C1229 + $F$12*$F$9*(-H1229)/IF(SQRT(G1229^2+H1229^2)=0,1,SQRT(G1229^2+H1229^2)))</x:f>
      </x:c>
      <x:c r="F1229" s="14">
        <x:f>IF(B1229="","", D1229 + $F$12*$F$9*(G1229)/IF(SQRT(G1229^2+H1229^2)=0,1,SQRT(G1229^2+H1229^2)))</x:f>
      </x:c>
      <x:c r="G1229" s="14">
        <x:f>IF(B1229="","", -$F$8*SIN(B1229) - $B$7*$F$6*SIN($F$6*B1229))</x:f>
      </x:c>
      <x:c r="H1229" s="14">
        <x:f>IF(B1229="","", $F$8*COS(B1229) - $B$7*$F$6*COS($F$6*B1229))</x:f>
      </x:c>
    </x:row>
    <x:row r="1230">
      <x:c r="A1230" s="13" t="n">
        <x:v>1211</x:v>
      </x:c>
      <x:c r="B1230" s="14">
        <x:f>IF($B$12&lt;1211,"",$B$13+(1211-1)*($B$14-$B$13)/($B$12-1))</x:f>
      </x:c>
      <x:c r="C1230" s="14">
        <x:f>IF(B1230="","",$F$8*COS(B1230) + $B$7*COS($F$6*B1230))</x:f>
      </x:c>
      <x:c r="D1230" s="14">
        <x:f>IF(B1230="","",$F$8*SIN(B1230) - $B$7*SIN($F$6*B1230))</x:f>
      </x:c>
      <x:c r="E1230" s="14">
        <x:f>IF(B1230="","", C1230 + $F$12*$F$9*(-H1230)/IF(SQRT(G1230^2+H1230^2)=0,1,SQRT(G1230^2+H1230^2)))</x:f>
      </x:c>
      <x:c r="F1230" s="14">
        <x:f>IF(B1230="","", D1230 + $F$12*$F$9*(G1230)/IF(SQRT(G1230^2+H1230^2)=0,1,SQRT(G1230^2+H1230^2)))</x:f>
      </x:c>
      <x:c r="G1230" s="14">
        <x:f>IF(B1230="","", -$F$8*SIN(B1230) - $B$7*$F$6*SIN($F$6*B1230))</x:f>
      </x:c>
      <x:c r="H1230" s="14">
        <x:f>IF(B1230="","", $F$8*COS(B1230) - $B$7*$F$6*COS($F$6*B1230))</x:f>
      </x:c>
    </x:row>
    <x:row r="1231">
      <x:c r="A1231" s="13" t="n">
        <x:v>1212</x:v>
      </x:c>
      <x:c r="B1231" s="14">
        <x:f>IF($B$12&lt;1212,"",$B$13+(1212-1)*($B$14-$B$13)/($B$12-1))</x:f>
      </x:c>
      <x:c r="C1231" s="14">
        <x:f>IF(B1231="","",$F$8*COS(B1231) + $B$7*COS($F$6*B1231))</x:f>
      </x:c>
      <x:c r="D1231" s="14">
        <x:f>IF(B1231="","",$F$8*SIN(B1231) - $B$7*SIN($F$6*B1231))</x:f>
      </x:c>
      <x:c r="E1231" s="14">
        <x:f>IF(B1231="","", C1231 + $F$12*$F$9*(-H1231)/IF(SQRT(G1231^2+H1231^2)=0,1,SQRT(G1231^2+H1231^2)))</x:f>
      </x:c>
      <x:c r="F1231" s="14">
        <x:f>IF(B1231="","", D1231 + $F$12*$F$9*(G1231)/IF(SQRT(G1231^2+H1231^2)=0,1,SQRT(G1231^2+H1231^2)))</x:f>
      </x:c>
      <x:c r="G1231" s="14">
        <x:f>IF(B1231="","", -$F$8*SIN(B1231) - $B$7*$F$6*SIN($F$6*B1231))</x:f>
      </x:c>
      <x:c r="H1231" s="14">
        <x:f>IF(B1231="","", $F$8*COS(B1231) - $B$7*$F$6*COS($F$6*B1231))</x:f>
      </x:c>
    </x:row>
    <x:row r="1232">
      <x:c r="A1232" s="13" t="n">
        <x:v>1213</x:v>
      </x:c>
      <x:c r="B1232" s="14">
        <x:f>IF($B$12&lt;1213,"",$B$13+(1213-1)*($B$14-$B$13)/($B$12-1))</x:f>
      </x:c>
      <x:c r="C1232" s="14">
        <x:f>IF(B1232="","",$F$8*COS(B1232) + $B$7*COS($F$6*B1232))</x:f>
      </x:c>
      <x:c r="D1232" s="14">
        <x:f>IF(B1232="","",$F$8*SIN(B1232) - $B$7*SIN($F$6*B1232))</x:f>
      </x:c>
      <x:c r="E1232" s="14">
        <x:f>IF(B1232="","", C1232 + $F$12*$F$9*(-H1232)/IF(SQRT(G1232^2+H1232^2)=0,1,SQRT(G1232^2+H1232^2)))</x:f>
      </x:c>
      <x:c r="F1232" s="14">
        <x:f>IF(B1232="","", D1232 + $F$12*$F$9*(G1232)/IF(SQRT(G1232^2+H1232^2)=0,1,SQRT(G1232^2+H1232^2)))</x:f>
      </x:c>
      <x:c r="G1232" s="14">
        <x:f>IF(B1232="","", -$F$8*SIN(B1232) - $B$7*$F$6*SIN($F$6*B1232))</x:f>
      </x:c>
      <x:c r="H1232" s="14">
        <x:f>IF(B1232="","", $F$8*COS(B1232) - $B$7*$F$6*COS($F$6*B1232))</x:f>
      </x:c>
    </x:row>
    <x:row r="1233">
      <x:c r="A1233" s="13" t="n">
        <x:v>1214</x:v>
      </x:c>
      <x:c r="B1233" s="14">
        <x:f>IF($B$12&lt;1214,"",$B$13+(1214-1)*($B$14-$B$13)/($B$12-1))</x:f>
      </x:c>
      <x:c r="C1233" s="14">
        <x:f>IF(B1233="","",$F$8*COS(B1233) + $B$7*COS($F$6*B1233))</x:f>
      </x:c>
      <x:c r="D1233" s="14">
        <x:f>IF(B1233="","",$F$8*SIN(B1233) - $B$7*SIN($F$6*B1233))</x:f>
      </x:c>
      <x:c r="E1233" s="14">
        <x:f>IF(B1233="","", C1233 + $F$12*$F$9*(-H1233)/IF(SQRT(G1233^2+H1233^2)=0,1,SQRT(G1233^2+H1233^2)))</x:f>
      </x:c>
      <x:c r="F1233" s="14">
        <x:f>IF(B1233="","", D1233 + $F$12*$F$9*(G1233)/IF(SQRT(G1233^2+H1233^2)=0,1,SQRT(G1233^2+H1233^2)))</x:f>
      </x:c>
      <x:c r="G1233" s="14">
        <x:f>IF(B1233="","", -$F$8*SIN(B1233) - $B$7*$F$6*SIN($F$6*B1233))</x:f>
      </x:c>
      <x:c r="H1233" s="14">
        <x:f>IF(B1233="","", $F$8*COS(B1233) - $B$7*$F$6*COS($F$6*B1233))</x:f>
      </x:c>
    </x:row>
    <x:row r="1234">
      <x:c r="A1234" s="13" t="n">
        <x:v>1215</x:v>
      </x:c>
      <x:c r="B1234" s="14">
        <x:f>IF($B$12&lt;1215,"",$B$13+(1215-1)*($B$14-$B$13)/($B$12-1))</x:f>
      </x:c>
      <x:c r="C1234" s="14">
        <x:f>IF(B1234="","",$F$8*COS(B1234) + $B$7*COS($F$6*B1234))</x:f>
      </x:c>
      <x:c r="D1234" s="14">
        <x:f>IF(B1234="","",$F$8*SIN(B1234) - $B$7*SIN($F$6*B1234))</x:f>
      </x:c>
      <x:c r="E1234" s="14">
        <x:f>IF(B1234="","", C1234 + $F$12*$F$9*(-H1234)/IF(SQRT(G1234^2+H1234^2)=0,1,SQRT(G1234^2+H1234^2)))</x:f>
      </x:c>
      <x:c r="F1234" s="14">
        <x:f>IF(B1234="","", D1234 + $F$12*$F$9*(G1234)/IF(SQRT(G1234^2+H1234^2)=0,1,SQRT(G1234^2+H1234^2)))</x:f>
      </x:c>
      <x:c r="G1234" s="14">
        <x:f>IF(B1234="","", -$F$8*SIN(B1234) - $B$7*$F$6*SIN($F$6*B1234))</x:f>
      </x:c>
      <x:c r="H1234" s="14">
        <x:f>IF(B1234="","", $F$8*COS(B1234) - $B$7*$F$6*COS($F$6*B1234))</x:f>
      </x:c>
    </x:row>
    <x:row r="1235">
      <x:c r="A1235" s="13" t="n">
        <x:v>1216</x:v>
      </x:c>
      <x:c r="B1235" s="14">
        <x:f>IF($B$12&lt;1216,"",$B$13+(1216-1)*($B$14-$B$13)/($B$12-1))</x:f>
      </x:c>
      <x:c r="C1235" s="14">
        <x:f>IF(B1235="","",$F$8*COS(B1235) + $B$7*COS($F$6*B1235))</x:f>
      </x:c>
      <x:c r="D1235" s="14">
        <x:f>IF(B1235="","",$F$8*SIN(B1235) - $B$7*SIN($F$6*B1235))</x:f>
      </x:c>
      <x:c r="E1235" s="14">
        <x:f>IF(B1235="","", C1235 + $F$12*$F$9*(-H1235)/IF(SQRT(G1235^2+H1235^2)=0,1,SQRT(G1235^2+H1235^2)))</x:f>
      </x:c>
      <x:c r="F1235" s="14">
        <x:f>IF(B1235="","", D1235 + $F$12*$F$9*(G1235)/IF(SQRT(G1235^2+H1235^2)=0,1,SQRT(G1235^2+H1235^2)))</x:f>
      </x:c>
      <x:c r="G1235" s="14">
        <x:f>IF(B1235="","", -$F$8*SIN(B1235) - $B$7*$F$6*SIN($F$6*B1235))</x:f>
      </x:c>
      <x:c r="H1235" s="14">
        <x:f>IF(B1235="","", $F$8*COS(B1235) - $B$7*$F$6*COS($F$6*B1235))</x:f>
      </x:c>
    </x:row>
    <x:row r="1236">
      <x:c r="A1236" s="13" t="n">
        <x:v>1217</x:v>
      </x:c>
      <x:c r="B1236" s="14">
        <x:f>IF($B$12&lt;1217,"",$B$13+(1217-1)*($B$14-$B$13)/($B$12-1))</x:f>
      </x:c>
      <x:c r="C1236" s="14">
        <x:f>IF(B1236="","",$F$8*COS(B1236) + $B$7*COS($F$6*B1236))</x:f>
      </x:c>
      <x:c r="D1236" s="14">
        <x:f>IF(B1236="","",$F$8*SIN(B1236) - $B$7*SIN($F$6*B1236))</x:f>
      </x:c>
      <x:c r="E1236" s="14">
        <x:f>IF(B1236="","", C1236 + $F$12*$F$9*(-H1236)/IF(SQRT(G1236^2+H1236^2)=0,1,SQRT(G1236^2+H1236^2)))</x:f>
      </x:c>
      <x:c r="F1236" s="14">
        <x:f>IF(B1236="","", D1236 + $F$12*$F$9*(G1236)/IF(SQRT(G1236^2+H1236^2)=0,1,SQRT(G1236^2+H1236^2)))</x:f>
      </x:c>
      <x:c r="G1236" s="14">
        <x:f>IF(B1236="","", -$F$8*SIN(B1236) - $B$7*$F$6*SIN($F$6*B1236))</x:f>
      </x:c>
      <x:c r="H1236" s="14">
        <x:f>IF(B1236="","", $F$8*COS(B1236) - $B$7*$F$6*COS($F$6*B1236))</x:f>
      </x:c>
    </x:row>
    <x:row r="1237">
      <x:c r="A1237" s="13" t="n">
        <x:v>1218</x:v>
      </x:c>
      <x:c r="B1237" s="14">
        <x:f>IF($B$12&lt;1218,"",$B$13+(1218-1)*($B$14-$B$13)/($B$12-1))</x:f>
      </x:c>
      <x:c r="C1237" s="14">
        <x:f>IF(B1237="","",$F$8*COS(B1237) + $B$7*COS($F$6*B1237))</x:f>
      </x:c>
      <x:c r="D1237" s="14">
        <x:f>IF(B1237="","",$F$8*SIN(B1237) - $B$7*SIN($F$6*B1237))</x:f>
      </x:c>
      <x:c r="E1237" s="14">
        <x:f>IF(B1237="","", C1237 + $F$12*$F$9*(-H1237)/IF(SQRT(G1237^2+H1237^2)=0,1,SQRT(G1237^2+H1237^2)))</x:f>
      </x:c>
      <x:c r="F1237" s="14">
        <x:f>IF(B1237="","", D1237 + $F$12*$F$9*(G1237)/IF(SQRT(G1237^2+H1237^2)=0,1,SQRT(G1237^2+H1237^2)))</x:f>
      </x:c>
      <x:c r="G1237" s="14">
        <x:f>IF(B1237="","", -$F$8*SIN(B1237) - $B$7*$F$6*SIN($F$6*B1237))</x:f>
      </x:c>
      <x:c r="H1237" s="14">
        <x:f>IF(B1237="","", $F$8*COS(B1237) - $B$7*$F$6*COS($F$6*B1237))</x:f>
      </x:c>
    </x:row>
    <x:row r="1238">
      <x:c r="A1238" s="13" t="n">
        <x:v>1219</x:v>
      </x:c>
      <x:c r="B1238" s="14">
        <x:f>IF($B$12&lt;1219,"",$B$13+(1219-1)*($B$14-$B$13)/($B$12-1))</x:f>
      </x:c>
      <x:c r="C1238" s="14">
        <x:f>IF(B1238="","",$F$8*COS(B1238) + $B$7*COS($F$6*B1238))</x:f>
      </x:c>
      <x:c r="D1238" s="14">
        <x:f>IF(B1238="","",$F$8*SIN(B1238) - $B$7*SIN($F$6*B1238))</x:f>
      </x:c>
      <x:c r="E1238" s="14">
        <x:f>IF(B1238="","", C1238 + $F$12*$F$9*(-H1238)/IF(SQRT(G1238^2+H1238^2)=0,1,SQRT(G1238^2+H1238^2)))</x:f>
      </x:c>
      <x:c r="F1238" s="14">
        <x:f>IF(B1238="","", D1238 + $F$12*$F$9*(G1238)/IF(SQRT(G1238^2+H1238^2)=0,1,SQRT(G1238^2+H1238^2)))</x:f>
      </x:c>
      <x:c r="G1238" s="14">
        <x:f>IF(B1238="","", -$F$8*SIN(B1238) - $B$7*$F$6*SIN($F$6*B1238))</x:f>
      </x:c>
      <x:c r="H1238" s="14">
        <x:f>IF(B1238="","", $F$8*COS(B1238) - $B$7*$F$6*COS($F$6*B1238))</x:f>
      </x:c>
    </x:row>
    <x:row r="1239">
      <x:c r="A1239" s="13" t="n">
        <x:v>1220</x:v>
      </x:c>
      <x:c r="B1239" s="14">
        <x:f>IF($B$12&lt;1220,"",$B$13+(1220-1)*($B$14-$B$13)/($B$12-1))</x:f>
      </x:c>
      <x:c r="C1239" s="14">
        <x:f>IF(B1239="","",$F$8*COS(B1239) + $B$7*COS($F$6*B1239))</x:f>
      </x:c>
      <x:c r="D1239" s="14">
        <x:f>IF(B1239="","",$F$8*SIN(B1239) - $B$7*SIN($F$6*B1239))</x:f>
      </x:c>
      <x:c r="E1239" s="14">
        <x:f>IF(B1239="","", C1239 + $F$12*$F$9*(-H1239)/IF(SQRT(G1239^2+H1239^2)=0,1,SQRT(G1239^2+H1239^2)))</x:f>
      </x:c>
      <x:c r="F1239" s="14">
        <x:f>IF(B1239="","", D1239 + $F$12*$F$9*(G1239)/IF(SQRT(G1239^2+H1239^2)=0,1,SQRT(G1239^2+H1239^2)))</x:f>
      </x:c>
      <x:c r="G1239" s="14">
        <x:f>IF(B1239="","", -$F$8*SIN(B1239) - $B$7*$F$6*SIN($F$6*B1239))</x:f>
      </x:c>
      <x:c r="H1239" s="14">
        <x:f>IF(B1239="","", $F$8*COS(B1239) - $B$7*$F$6*COS($F$6*B1239))</x:f>
      </x:c>
    </x:row>
    <x:row r="1240">
      <x:c r="A1240" s="13" t="n">
        <x:v>1221</x:v>
      </x:c>
      <x:c r="B1240" s="14">
        <x:f>IF($B$12&lt;1221,"",$B$13+(1221-1)*($B$14-$B$13)/($B$12-1))</x:f>
      </x:c>
      <x:c r="C1240" s="14">
        <x:f>IF(B1240="","",$F$8*COS(B1240) + $B$7*COS($F$6*B1240))</x:f>
      </x:c>
      <x:c r="D1240" s="14">
        <x:f>IF(B1240="","",$F$8*SIN(B1240) - $B$7*SIN($F$6*B1240))</x:f>
      </x:c>
      <x:c r="E1240" s="14">
        <x:f>IF(B1240="","", C1240 + $F$12*$F$9*(-H1240)/IF(SQRT(G1240^2+H1240^2)=0,1,SQRT(G1240^2+H1240^2)))</x:f>
      </x:c>
      <x:c r="F1240" s="14">
        <x:f>IF(B1240="","", D1240 + $F$12*$F$9*(G1240)/IF(SQRT(G1240^2+H1240^2)=0,1,SQRT(G1240^2+H1240^2)))</x:f>
      </x:c>
      <x:c r="G1240" s="14">
        <x:f>IF(B1240="","", -$F$8*SIN(B1240) - $B$7*$F$6*SIN($F$6*B1240))</x:f>
      </x:c>
      <x:c r="H1240" s="14">
        <x:f>IF(B1240="","", $F$8*COS(B1240) - $B$7*$F$6*COS($F$6*B1240))</x:f>
      </x:c>
    </x:row>
    <x:row r="1241">
      <x:c r="A1241" s="13" t="n">
        <x:v>1222</x:v>
      </x:c>
      <x:c r="B1241" s="14">
        <x:f>IF($B$12&lt;1222,"",$B$13+(1222-1)*($B$14-$B$13)/($B$12-1))</x:f>
      </x:c>
      <x:c r="C1241" s="14">
        <x:f>IF(B1241="","",$F$8*COS(B1241) + $B$7*COS($F$6*B1241))</x:f>
      </x:c>
      <x:c r="D1241" s="14">
        <x:f>IF(B1241="","",$F$8*SIN(B1241) - $B$7*SIN($F$6*B1241))</x:f>
      </x:c>
      <x:c r="E1241" s="14">
        <x:f>IF(B1241="","", C1241 + $F$12*$F$9*(-H1241)/IF(SQRT(G1241^2+H1241^2)=0,1,SQRT(G1241^2+H1241^2)))</x:f>
      </x:c>
      <x:c r="F1241" s="14">
        <x:f>IF(B1241="","", D1241 + $F$12*$F$9*(G1241)/IF(SQRT(G1241^2+H1241^2)=0,1,SQRT(G1241^2+H1241^2)))</x:f>
      </x:c>
      <x:c r="G1241" s="14">
        <x:f>IF(B1241="","", -$F$8*SIN(B1241) - $B$7*$F$6*SIN($F$6*B1241))</x:f>
      </x:c>
      <x:c r="H1241" s="14">
        <x:f>IF(B1241="","", $F$8*COS(B1241) - $B$7*$F$6*COS($F$6*B1241))</x:f>
      </x:c>
    </x:row>
    <x:row r="1242">
      <x:c r="A1242" s="13" t="n">
        <x:v>1223</x:v>
      </x:c>
      <x:c r="B1242" s="14">
        <x:f>IF($B$12&lt;1223,"",$B$13+(1223-1)*($B$14-$B$13)/($B$12-1))</x:f>
      </x:c>
      <x:c r="C1242" s="14">
        <x:f>IF(B1242="","",$F$8*COS(B1242) + $B$7*COS($F$6*B1242))</x:f>
      </x:c>
      <x:c r="D1242" s="14">
        <x:f>IF(B1242="","",$F$8*SIN(B1242) - $B$7*SIN($F$6*B1242))</x:f>
      </x:c>
      <x:c r="E1242" s="14">
        <x:f>IF(B1242="","", C1242 + $F$12*$F$9*(-H1242)/IF(SQRT(G1242^2+H1242^2)=0,1,SQRT(G1242^2+H1242^2)))</x:f>
      </x:c>
      <x:c r="F1242" s="14">
        <x:f>IF(B1242="","", D1242 + $F$12*$F$9*(G1242)/IF(SQRT(G1242^2+H1242^2)=0,1,SQRT(G1242^2+H1242^2)))</x:f>
      </x:c>
      <x:c r="G1242" s="14">
        <x:f>IF(B1242="","", -$F$8*SIN(B1242) - $B$7*$F$6*SIN($F$6*B1242))</x:f>
      </x:c>
      <x:c r="H1242" s="14">
        <x:f>IF(B1242="","", $F$8*COS(B1242) - $B$7*$F$6*COS($F$6*B1242))</x:f>
      </x:c>
    </x:row>
    <x:row r="1243">
      <x:c r="A1243" s="13" t="n">
        <x:v>1224</x:v>
      </x:c>
      <x:c r="B1243" s="14">
        <x:f>IF($B$12&lt;1224,"",$B$13+(1224-1)*($B$14-$B$13)/($B$12-1))</x:f>
      </x:c>
      <x:c r="C1243" s="14">
        <x:f>IF(B1243="","",$F$8*COS(B1243) + $B$7*COS($F$6*B1243))</x:f>
      </x:c>
      <x:c r="D1243" s="14">
        <x:f>IF(B1243="","",$F$8*SIN(B1243) - $B$7*SIN($F$6*B1243))</x:f>
      </x:c>
      <x:c r="E1243" s="14">
        <x:f>IF(B1243="","", C1243 + $F$12*$F$9*(-H1243)/IF(SQRT(G1243^2+H1243^2)=0,1,SQRT(G1243^2+H1243^2)))</x:f>
      </x:c>
      <x:c r="F1243" s="14">
        <x:f>IF(B1243="","", D1243 + $F$12*$F$9*(G1243)/IF(SQRT(G1243^2+H1243^2)=0,1,SQRT(G1243^2+H1243^2)))</x:f>
      </x:c>
      <x:c r="G1243" s="14">
        <x:f>IF(B1243="","", -$F$8*SIN(B1243) - $B$7*$F$6*SIN($F$6*B1243))</x:f>
      </x:c>
      <x:c r="H1243" s="14">
        <x:f>IF(B1243="","", $F$8*COS(B1243) - $B$7*$F$6*COS($F$6*B1243))</x:f>
      </x:c>
    </x:row>
    <x:row r="1244">
      <x:c r="A1244" s="13" t="n">
        <x:v>1225</x:v>
      </x:c>
      <x:c r="B1244" s="14">
        <x:f>IF($B$12&lt;1225,"",$B$13+(1225-1)*($B$14-$B$13)/($B$12-1))</x:f>
      </x:c>
      <x:c r="C1244" s="14">
        <x:f>IF(B1244="","",$F$8*COS(B1244) + $B$7*COS($F$6*B1244))</x:f>
      </x:c>
      <x:c r="D1244" s="14">
        <x:f>IF(B1244="","",$F$8*SIN(B1244) - $B$7*SIN($F$6*B1244))</x:f>
      </x:c>
      <x:c r="E1244" s="14">
        <x:f>IF(B1244="","", C1244 + $F$12*$F$9*(-H1244)/IF(SQRT(G1244^2+H1244^2)=0,1,SQRT(G1244^2+H1244^2)))</x:f>
      </x:c>
      <x:c r="F1244" s="14">
        <x:f>IF(B1244="","", D1244 + $F$12*$F$9*(G1244)/IF(SQRT(G1244^2+H1244^2)=0,1,SQRT(G1244^2+H1244^2)))</x:f>
      </x:c>
      <x:c r="G1244" s="14">
        <x:f>IF(B1244="","", -$F$8*SIN(B1244) - $B$7*$F$6*SIN($F$6*B1244))</x:f>
      </x:c>
      <x:c r="H1244" s="14">
        <x:f>IF(B1244="","", $F$8*COS(B1244) - $B$7*$F$6*COS($F$6*B1244))</x:f>
      </x:c>
    </x:row>
    <x:row r="1245">
      <x:c r="A1245" s="13" t="n">
        <x:v>1226</x:v>
      </x:c>
      <x:c r="B1245" s="14">
        <x:f>IF($B$12&lt;1226,"",$B$13+(1226-1)*($B$14-$B$13)/($B$12-1))</x:f>
      </x:c>
      <x:c r="C1245" s="14">
        <x:f>IF(B1245="","",$F$8*COS(B1245) + $B$7*COS($F$6*B1245))</x:f>
      </x:c>
      <x:c r="D1245" s="14">
        <x:f>IF(B1245="","",$F$8*SIN(B1245) - $B$7*SIN($F$6*B1245))</x:f>
      </x:c>
      <x:c r="E1245" s="14">
        <x:f>IF(B1245="","", C1245 + $F$12*$F$9*(-H1245)/IF(SQRT(G1245^2+H1245^2)=0,1,SQRT(G1245^2+H1245^2)))</x:f>
      </x:c>
      <x:c r="F1245" s="14">
        <x:f>IF(B1245="","", D1245 + $F$12*$F$9*(G1245)/IF(SQRT(G1245^2+H1245^2)=0,1,SQRT(G1245^2+H1245^2)))</x:f>
      </x:c>
      <x:c r="G1245" s="14">
        <x:f>IF(B1245="","", -$F$8*SIN(B1245) - $B$7*$F$6*SIN($F$6*B1245))</x:f>
      </x:c>
      <x:c r="H1245" s="14">
        <x:f>IF(B1245="","", $F$8*COS(B1245) - $B$7*$F$6*COS($F$6*B1245))</x:f>
      </x:c>
    </x:row>
    <x:row r="1246">
      <x:c r="A1246" s="13" t="n">
        <x:v>1227</x:v>
      </x:c>
      <x:c r="B1246" s="14">
        <x:f>IF($B$12&lt;1227,"",$B$13+(1227-1)*($B$14-$B$13)/($B$12-1))</x:f>
      </x:c>
      <x:c r="C1246" s="14">
        <x:f>IF(B1246="","",$F$8*COS(B1246) + $B$7*COS($F$6*B1246))</x:f>
      </x:c>
      <x:c r="D1246" s="14">
        <x:f>IF(B1246="","",$F$8*SIN(B1246) - $B$7*SIN($F$6*B1246))</x:f>
      </x:c>
      <x:c r="E1246" s="14">
        <x:f>IF(B1246="","", C1246 + $F$12*$F$9*(-H1246)/IF(SQRT(G1246^2+H1246^2)=0,1,SQRT(G1246^2+H1246^2)))</x:f>
      </x:c>
      <x:c r="F1246" s="14">
        <x:f>IF(B1246="","", D1246 + $F$12*$F$9*(G1246)/IF(SQRT(G1246^2+H1246^2)=0,1,SQRT(G1246^2+H1246^2)))</x:f>
      </x:c>
      <x:c r="G1246" s="14">
        <x:f>IF(B1246="","", -$F$8*SIN(B1246) - $B$7*$F$6*SIN($F$6*B1246))</x:f>
      </x:c>
      <x:c r="H1246" s="14">
        <x:f>IF(B1246="","", $F$8*COS(B1246) - $B$7*$F$6*COS($F$6*B1246))</x:f>
      </x:c>
    </x:row>
    <x:row r="1247">
      <x:c r="A1247" s="13" t="n">
        <x:v>1228</x:v>
      </x:c>
      <x:c r="B1247" s="14">
        <x:f>IF($B$12&lt;1228,"",$B$13+(1228-1)*($B$14-$B$13)/($B$12-1))</x:f>
      </x:c>
      <x:c r="C1247" s="14">
        <x:f>IF(B1247="","",$F$8*COS(B1247) + $B$7*COS($F$6*B1247))</x:f>
      </x:c>
      <x:c r="D1247" s="14">
        <x:f>IF(B1247="","",$F$8*SIN(B1247) - $B$7*SIN($F$6*B1247))</x:f>
      </x:c>
      <x:c r="E1247" s="14">
        <x:f>IF(B1247="","", C1247 + $F$12*$F$9*(-H1247)/IF(SQRT(G1247^2+H1247^2)=0,1,SQRT(G1247^2+H1247^2)))</x:f>
      </x:c>
      <x:c r="F1247" s="14">
        <x:f>IF(B1247="","", D1247 + $F$12*$F$9*(G1247)/IF(SQRT(G1247^2+H1247^2)=0,1,SQRT(G1247^2+H1247^2)))</x:f>
      </x:c>
      <x:c r="G1247" s="14">
        <x:f>IF(B1247="","", -$F$8*SIN(B1247) - $B$7*$F$6*SIN($F$6*B1247))</x:f>
      </x:c>
      <x:c r="H1247" s="14">
        <x:f>IF(B1247="","", $F$8*COS(B1247) - $B$7*$F$6*COS($F$6*B1247))</x:f>
      </x:c>
    </x:row>
    <x:row r="1248">
      <x:c r="A1248" s="13" t="n">
        <x:v>1229</x:v>
      </x:c>
      <x:c r="B1248" s="14">
        <x:f>IF($B$12&lt;1229,"",$B$13+(1229-1)*($B$14-$B$13)/($B$12-1))</x:f>
      </x:c>
      <x:c r="C1248" s="14">
        <x:f>IF(B1248="","",$F$8*COS(B1248) + $B$7*COS($F$6*B1248))</x:f>
      </x:c>
      <x:c r="D1248" s="14">
        <x:f>IF(B1248="","",$F$8*SIN(B1248) - $B$7*SIN($F$6*B1248))</x:f>
      </x:c>
      <x:c r="E1248" s="14">
        <x:f>IF(B1248="","", C1248 + $F$12*$F$9*(-H1248)/IF(SQRT(G1248^2+H1248^2)=0,1,SQRT(G1248^2+H1248^2)))</x:f>
      </x:c>
      <x:c r="F1248" s="14">
        <x:f>IF(B1248="","", D1248 + $F$12*$F$9*(G1248)/IF(SQRT(G1248^2+H1248^2)=0,1,SQRT(G1248^2+H1248^2)))</x:f>
      </x:c>
      <x:c r="G1248" s="14">
        <x:f>IF(B1248="","", -$F$8*SIN(B1248) - $B$7*$F$6*SIN($F$6*B1248))</x:f>
      </x:c>
      <x:c r="H1248" s="14">
        <x:f>IF(B1248="","", $F$8*COS(B1248) - $B$7*$F$6*COS($F$6*B1248))</x:f>
      </x:c>
    </x:row>
    <x:row r="1249">
      <x:c r="A1249" s="13" t="n">
        <x:v>1230</x:v>
      </x:c>
      <x:c r="B1249" s="14">
        <x:f>IF($B$12&lt;1230,"",$B$13+(1230-1)*($B$14-$B$13)/($B$12-1))</x:f>
      </x:c>
      <x:c r="C1249" s="14">
        <x:f>IF(B1249="","",$F$8*COS(B1249) + $B$7*COS($F$6*B1249))</x:f>
      </x:c>
      <x:c r="D1249" s="14">
        <x:f>IF(B1249="","",$F$8*SIN(B1249) - $B$7*SIN($F$6*B1249))</x:f>
      </x:c>
      <x:c r="E1249" s="14">
        <x:f>IF(B1249="","", C1249 + $F$12*$F$9*(-H1249)/IF(SQRT(G1249^2+H1249^2)=0,1,SQRT(G1249^2+H1249^2)))</x:f>
      </x:c>
      <x:c r="F1249" s="14">
        <x:f>IF(B1249="","", D1249 + $F$12*$F$9*(G1249)/IF(SQRT(G1249^2+H1249^2)=0,1,SQRT(G1249^2+H1249^2)))</x:f>
      </x:c>
      <x:c r="G1249" s="14">
        <x:f>IF(B1249="","", -$F$8*SIN(B1249) - $B$7*$F$6*SIN($F$6*B1249))</x:f>
      </x:c>
      <x:c r="H1249" s="14">
        <x:f>IF(B1249="","", $F$8*COS(B1249) - $B$7*$F$6*COS($F$6*B1249))</x:f>
      </x:c>
    </x:row>
    <x:row r="1250">
      <x:c r="A1250" s="13" t="n">
        <x:v>1231</x:v>
      </x:c>
      <x:c r="B1250" s="14">
        <x:f>IF($B$12&lt;1231,"",$B$13+(1231-1)*($B$14-$B$13)/($B$12-1))</x:f>
      </x:c>
      <x:c r="C1250" s="14">
        <x:f>IF(B1250="","",$F$8*COS(B1250) + $B$7*COS($F$6*B1250))</x:f>
      </x:c>
      <x:c r="D1250" s="14">
        <x:f>IF(B1250="","",$F$8*SIN(B1250) - $B$7*SIN($F$6*B1250))</x:f>
      </x:c>
      <x:c r="E1250" s="14">
        <x:f>IF(B1250="","", C1250 + $F$12*$F$9*(-H1250)/IF(SQRT(G1250^2+H1250^2)=0,1,SQRT(G1250^2+H1250^2)))</x:f>
      </x:c>
      <x:c r="F1250" s="14">
        <x:f>IF(B1250="","", D1250 + $F$12*$F$9*(G1250)/IF(SQRT(G1250^2+H1250^2)=0,1,SQRT(G1250^2+H1250^2)))</x:f>
      </x:c>
      <x:c r="G1250" s="14">
        <x:f>IF(B1250="","", -$F$8*SIN(B1250) - $B$7*$F$6*SIN($F$6*B1250))</x:f>
      </x:c>
      <x:c r="H1250" s="14">
        <x:f>IF(B1250="","", $F$8*COS(B1250) - $B$7*$F$6*COS($F$6*B1250))</x:f>
      </x:c>
    </x:row>
    <x:row r="1251">
      <x:c r="A1251" s="13" t="n">
        <x:v>1232</x:v>
      </x:c>
      <x:c r="B1251" s="14">
        <x:f>IF($B$12&lt;1232,"",$B$13+(1232-1)*($B$14-$B$13)/($B$12-1))</x:f>
      </x:c>
      <x:c r="C1251" s="14">
        <x:f>IF(B1251="","",$F$8*COS(B1251) + $B$7*COS($F$6*B1251))</x:f>
      </x:c>
      <x:c r="D1251" s="14">
        <x:f>IF(B1251="","",$F$8*SIN(B1251) - $B$7*SIN($F$6*B1251))</x:f>
      </x:c>
      <x:c r="E1251" s="14">
        <x:f>IF(B1251="","", C1251 + $F$12*$F$9*(-H1251)/IF(SQRT(G1251^2+H1251^2)=0,1,SQRT(G1251^2+H1251^2)))</x:f>
      </x:c>
      <x:c r="F1251" s="14">
        <x:f>IF(B1251="","", D1251 + $F$12*$F$9*(G1251)/IF(SQRT(G1251^2+H1251^2)=0,1,SQRT(G1251^2+H1251^2)))</x:f>
      </x:c>
      <x:c r="G1251" s="14">
        <x:f>IF(B1251="","", -$F$8*SIN(B1251) - $B$7*$F$6*SIN($F$6*B1251))</x:f>
      </x:c>
      <x:c r="H1251" s="14">
        <x:f>IF(B1251="","", $F$8*COS(B1251) - $B$7*$F$6*COS($F$6*B1251))</x:f>
      </x:c>
    </x:row>
    <x:row r="1252">
      <x:c r="A1252" s="13" t="n">
        <x:v>1233</x:v>
      </x:c>
      <x:c r="B1252" s="14">
        <x:f>IF($B$12&lt;1233,"",$B$13+(1233-1)*($B$14-$B$13)/($B$12-1))</x:f>
      </x:c>
      <x:c r="C1252" s="14">
        <x:f>IF(B1252="","",$F$8*COS(B1252) + $B$7*COS($F$6*B1252))</x:f>
      </x:c>
      <x:c r="D1252" s="14">
        <x:f>IF(B1252="","",$F$8*SIN(B1252) - $B$7*SIN($F$6*B1252))</x:f>
      </x:c>
      <x:c r="E1252" s="14">
        <x:f>IF(B1252="","", C1252 + $F$12*$F$9*(-H1252)/IF(SQRT(G1252^2+H1252^2)=0,1,SQRT(G1252^2+H1252^2)))</x:f>
      </x:c>
      <x:c r="F1252" s="14">
        <x:f>IF(B1252="","", D1252 + $F$12*$F$9*(G1252)/IF(SQRT(G1252^2+H1252^2)=0,1,SQRT(G1252^2+H1252^2)))</x:f>
      </x:c>
      <x:c r="G1252" s="14">
        <x:f>IF(B1252="","", -$F$8*SIN(B1252) - $B$7*$F$6*SIN($F$6*B1252))</x:f>
      </x:c>
      <x:c r="H1252" s="14">
        <x:f>IF(B1252="","", $F$8*COS(B1252) - $B$7*$F$6*COS($F$6*B1252))</x:f>
      </x:c>
    </x:row>
    <x:row r="1253">
      <x:c r="A1253" s="13" t="n">
        <x:v>1234</x:v>
      </x:c>
      <x:c r="B1253" s="14">
        <x:f>IF($B$12&lt;1234,"",$B$13+(1234-1)*($B$14-$B$13)/($B$12-1))</x:f>
      </x:c>
      <x:c r="C1253" s="14">
        <x:f>IF(B1253="","",$F$8*COS(B1253) + $B$7*COS($F$6*B1253))</x:f>
      </x:c>
      <x:c r="D1253" s="14">
        <x:f>IF(B1253="","",$F$8*SIN(B1253) - $B$7*SIN($F$6*B1253))</x:f>
      </x:c>
      <x:c r="E1253" s="14">
        <x:f>IF(B1253="","", C1253 + $F$12*$F$9*(-H1253)/IF(SQRT(G1253^2+H1253^2)=0,1,SQRT(G1253^2+H1253^2)))</x:f>
      </x:c>
      <x:c r="F1253" s="14">
        <x:f>IF(B1253="","", D1253 + $F$12*$F$9*(G1253)/IF(SQRT(G1253^2+H1253^2)=0,1,SQRT(G1253^2+H1253^2)))</x:f>
      </x:c>
      <x:c r="G1253" s="14">
        <x:f>IF(B1253="","", -$F$8*SIN(B1253) - $B$7*$F$6*SIN($F$6*B1253))</x:f>
      </x:c>
      <x:c r="H1253" s="14">
        <x:f>IF(B1253="","", $F$8*COS(B1253) - $B$7*$F$6*COS($F$6*B1253))</x:f>
      </x:c>
    </x:row>
    <x:row r="1254">
      <x:c r="A1254" s="13" t="n">
        <x:v>1235</x:v>
      </x:c>
      <x:c r="B1254" s="14">
        <x:f>IF($B$12&lt;1235,"",$B$13+(1235-1)*($B$14-$B$13)/($B$12-1))</x:f>
      </x:c>
      <x:c r="C1254" s="14">
        <x:f>IF(B1254="","",$F$8*COS(B1254) + $B$7*COS($F$6*B1254))</x:f>
      </x:c>
      <x:c r="D1254" s="14">
        <x:f>IF(B1254="","",$F$8*SIN(B1254) - $B$7*SIN($F$6*B1254))</x:f>
      </x:c>
      <x:c r="E1254" s="14">
        <x:f>IF(B1254="","", C1254 + $F$12*$F$9*(-H1254)/IF(SQRT(G1254^2+H1254^2)=0,1,SQRT(G1254^2+H1254^2)))</x:f>
      </x:c>
      <x:c r="F1254" s="14">
        <x:f>IF(B1254="","", D1254 + $F$12*$F$9*(G1254)/IF(SQRT(G1254^2+H1254^2)=0,1,SQRT(G1254^2+H1254^2)))</x:f>
      </x:c>
      <x:c r="G1254" s="14">
        <x:f>IF(B1254="","", -$F$8*SIN(B1254) - $B$7*$F$6*SIN($F$6*B1254))</x:f>
      </x:c>
      <x:c r="H1254" s="14">
        <x:f>IF(B1254="","", $F$8*COS(B1254) - $B$7*$F$6*COS($F$6*B1254))</x:f>
      </x:c>
    </x:row>
    <x:row r="1255">
      <x:c r="A1255" s="13" t="n">
        <x:v>1236</x:v>
      </x:c>
      <x:c r="B1255" s="14">
        <x:f>IF($B$12&lt;1236,"",$B$13+(1236-1)*($B$14-$B$13)/($B$12-1))</x:f>
      </x:c>
      <x:c r="C1255" s="14">
        <x:f>IF(B1255="","",$F$8*COS(B1255) + $B$7*COS($F$6*B1255))</x:f>
      </x:c>
      <x:c r="D1255" s="14">
        <x:f>IF(B1255="","",$F$8*SIN(B1255) - $B$7*SIN($F$6*B1255))</x:f>
      </x:c>
      <x:c r="E1255" s="14">
        <x:f>IF(B1255="","", C1255 + $F$12*$F$9*(-H1255)/IF(SQRT(G1255^2+H1255^2)=0,1,SQRT(G1255^2+H1255^2)))</x:f>
      </x:c>
      <x:c r="F1255" s="14">
        <x:f>IF(B1255="","", D1255 + $F$12*$F$9*(G1255)/IF(SQRT(G1255^2+H1255^2)=0,1,SQRT(G1255^2+H1255^2)))</x:f>
      </x:c>
      <x:c r="G1255" s="14">
        <x:f>IF(B1255="","", -$F$8*SIN(B1255) - $B$7*$F$6*SIN($F$6*B1255))</x:f>
      </x:c>
      <x:c r="H1255" s="14">
        <x:f>IF(B1255="","", $F$8*COS(B1255) - $B$7*$F$6*COS($F$6*B1255))</x:f>
      </x:c>
    </x:row>
    <x:row r="1256">
      <x:c r="A1256" s="13" t="n">
        <x:v>1237</x:v>
      </x:c>
      <x:c r="B1256" s="14">
        <x:f>IF($B$12&lt;1237,"",$B$13+(1237-1)*($B$14-$B$13)/($B$12-1))</x:f>
      </x:c>
      <x:c r="C1256" s="14">
        <x:f>IF(B1256="","",$F$8*COS(B1256) + $B$7*COS($F$6*B1256))</x:f>
      </x:c>
      <x:c r="D1256" s="14">
        <x:f>IF(B1256="","",$F$8*SIN(B1256) - $B$7*SIN($F$6*B1256))</x:f>
      </x:c>
      <x:c r="E1256" s="14">
        <x:f>IF(B1256="","", C1256 + $F$12*$F$9*(-H1256)/IF(SQRT(G1256^2+H1256^2)=0,1,SQRT(G1256^2+H1256^2)))</x:f>
      </x:c>
      <x:c r="F1256" s="14">
        <x:f>IF(B1256="","", D1256 + $F$12*$F$9*(G1256)/IF(SQRT(G1256^2+H1256^2)=0,1,SQRT(G1256^2+H1256^2)))</x:f>
      </x:c>
      <x:c r="G1256" s="14">
        <x:f>IF(B1256="","", -$F$8*SIN(B1256) - $B$7*$F$6*SIN($F$6*B1256))</x:f>
      </x:c>
      <x:c r="H1256" s="14">
        <x:f>IF(B1256="","", $F$8*COS(B1256) - $B$7*$F$6*COS($F$6*B1256))</x:f>
      </x:c>
    </x:row>
    <x:row r="1257">
      <x:c r="A1257" s="13" t="n">
        <x:v>1238</x:v>
      </x:c>
      <x:c r="B1257" s="14">
        <x:f>IF($B$12&lt;1238,"",$B$13+(1238-1)*($B$14-$B$13)/($B$12-1))</x:f>
      </x:c>
      <x:c r="C1257" s="14">
        <x:f>IF(B1257="","",$F$8*COS(B1257) + $B$7*COS($F$6*B1257))</x:f>
      </x:c>
      <x:c r="D1257" s="14">
        <x:f>IF(B1257="","",$F$8*SIN(B1257) - $B$7*SIN($F$6*B1257))</x:f>
      </x:c>
      <x:c r="E1257" s="14">
        <x:f>IF(B1257="","", C1257 + $F$12*$F$9*(-H1257)/IF(SQRT(G1257^2+H1257^2)=0,1,SQRT(G1257^2+H1257^2)))</x:f>
      </x:c>
      <x:c r="F1257" s="14">
        <x:f>IF(B1257="","", D1257 + $F$12*$F$9*(G1257)/IF(SQRT(G1257^2+H1257^2)=0,1,SQRT(G1257^2+H1257^2)))</x:f>
      </x:c>
      <x:c r="G1257" s="14">
        <x:f>IF(B1257="","", -$F$8*SIN(B1257) - $B$7*$F$6*SIN($F$6*B1257))</x:f>
      </x:c>
      <x:c r="H1257" s="14">
        <x:f>IF(B1257="","", $F$8*COS(B1257) - $B$7*$F$6*COS($F$6*B1257))</x:f>
      </x:c>
    </x:row>
    <x:row r="1258">
      <x:c r="A1258" s="13" t="n">
        <x:v>1239</x:v>
      </x:c>
      <x:c r="B1258" s="14">
        <x:f>IF($B$12&lt;1239,"",$B$13+(1239-1)*($B$14-$B$13)/($B$12-1))</x:f>
      </x:c>
      <x:c r="C1258" s="14">
        <x:f>IF(B1258="","",$F$8*COS(B1258) + $B$7*COS($F$6*B1258))</x:f>
      </x:c>
      <x:c r="D1258" s="14">
        <x:f>IF(B1258="","",$F$8*SIN(B1258) - $B$7*SIN($F$6*B1258))</x:f>
      </x:c>
      <x:c r="E1258" s="14">
        <x:f>IF(B1258="","", C1258 + $F$12*$F$9*(-H1258)/IF(SQRT(G1258^2+H1258^2)=0,1,SQRT(G1258^2+H1258^2)))</x:f>
      </x:c>
      <x:c r="F1258" s="14">
        <x:f>IF(B1258="","", D1258 + $F$12*$F$9*(G1258)/IF(SQRT(G1258^2+H1258^2)=0,1,SQRT(G1258^2+H1258^2)))</x:f>
      </x:c>
      <x:c r="G1258" s="14">
        <x:f>IF(B1258="","", -$F$8*SIN(B1258) - $B$7*$F$6*SIN($F$6*B1258))</x:f>
      </x:c>
      <x:c r="H1258" s="14">
        <x:f>IF(B1258="","", $F$8*COS(B1258) - $B$7*$F$6*COS($F$6*B1258))</x:f>
      </x:c>
    </x:row>
    <x:row r="1259">
      <x:c r="A1259" s="13" t="n">
        <x:v>1240</x:v>
      </x:c>
      <x:c r="B1259" s="14">
        <x:f>IF($B$12&lt;1240,"",$B$13+(1240-1)*($B$14-$B$13)/($B$12-1))</x:f>
      </x:c>
      <x:c r="C1259" s="14">
        <x:f>IF(B1259="","",$F$8*COS(B1259) + $B$7*COS($F$6*B1259))</x:f>
      </x:c>
      <x:c r="D1259" s="14">
        <x:f>IF(B1259="","",$F$8*SIN(B1259) - $B$7*SIN($F$6*B1259))</x:f>
      </x:c>
      <x:c r="E1259" s="14">
        <x:f>IF(B1259="","", C1259 + $F$12*$F$9*(-H1259)/IF(SQRT(G1259^2+H1259^2)=0,1,SQRT(G1259^2+H1259^2)))</x:f>
      </x:c>
      <x:c r="F1259" s="14">
        <x:f>IF(B1259="","", D1259 + $F$12*$F$9*(G1259)/IF(SQRT(G1259^2+H1259^2)=0,1,SQRT(G1259^2+H1259^2)))</x:f>
      </x:c>
      <x:c r="G1259" s="14">
        <x:f>IF(B1259="","", -$F$8*SIN(B1259) - $B$7*$F$6*SIN($F$6*B1259))</x:f>
      </x:c>
      <x:c r="H1259" s="14">
        <x:f>IF(B1259="","", $F$8*COS(B1259) - $B$7*$F$6*COS($F$6*B1259))</x:f>
      </x:c>
    </x:row>
    <x:row r="1260">
      <x:c r="A1260" s="13" t="n">
        <x:v>1241</x:v>
      </x:c>
      <x:c r="B1260" s="14">
        <x:f>IF($B$12&lt;1241,"",$B$13+(1241-1)*($B$14-$B$13)/($B$12-1))</x:f>
      </x:c>
      <x:c r="C1260" s="14">
        <x:f>IF(B1260="","",$F$8*COS(B1260) + $B$7*COS($F$6*B1260))</x:f>
      </x:c>
      <x:c r="D1260" s="14">
        <x:f>IF(B1260="","",$F$8*SIN(B1260) - $B$7*SIN($F$6*B1260))</x:f>
      </x:c>
      <x:c r="E1260" s="14">
        <x:f>IF(B1260="","", C1260 + $F$12*$F$9*(-H1260)/IF(SQRT(G1260^2+H1260^2)=0,1,SQRT(G1260^2+H1260^2)))</x:f>
      </x:c>
      <x:c r="F1260" s="14">
        <x:f>IF(B1260="","", D1260 + $F$12*$F$9*(G1260)/IF(SQRT(G1260^2+H1260^2)=0,1,SQRT(G1260^2+H1260^2)))</x:f>
      </x:c>
      <x:c r="G1260" s="14">
        <x:f>IF(B1260="","", -$F$8*SIN(B1260) - $B$7*$F$6*SIN($F$6*B1260))</x:f>
      </x:c>
      <x:c r="H1260" s="14">
        <x:f>IF(B1260="","", $F$8*COS(B1260) - $B$7*$F$6*COS($F$6*B1260))</x:f>
      </x:c>
    </x:row>
    <x:row r="1261">
      <x:c r="A1261" s="13" t="n">
        <x:v>1242</x:v>
      </x:c>
      <x:c r="B1261" s="14">
        <x:f>IF($B$12&lt;1242,"",$B$13+(1242-1)*($B$14-$B$13)/($B$12-1))</x:f>
      </x:c>
      <x:c r="C1261" s="14">
        <x:f>IF(B1261="","",$F$8*COS(B1261) + $B$7*COS($F$6*B1261))</x:f>
      </x:c>
      <x:c r="D1261" s="14">
        <x:f>IF(B1261="","",$F$8*SIN(B1261) - $B$7*SIN($F$6*B1261))</x:f>
      </x:c>
      <x:c r="E1261" s="14">
        <x:f>IF(B1261="","", C1261 + $F$12*$F$9*(-H1261)/IF(SQRT(G1261^2+H1261^2)=0,1,SQRT(G1261^2+H1261^2)))</x:f>
      </x:c>
      <x:c r="F1261" s="14">
        <x:f>IF(B1261="","", D1261 + $F$12*$F$9*(G1261)/IF(SQRT(G1261^2+H1261^2)=0,1,SQRT(G1261^2+H1261^2)))</x:f>
      </x:c>
      <x:c r="G1261" s="14">
        <x:f>IF(B1261="","", -$F$8*SIN(B1261) - $B$7*$F$6*SIN($F$6*B1261))</x:f>
      </x:c>
      <x:c r="H1261" s="14">
        <x:f>IF(B1261="","", $F$8*COS(B1261) - $B$7*$F$6*COS($F$6*B1261))</x:f>
      </x:c>
    </x:row>
    <x:row r="1262">
      <x:c r="A1262" s="13" t="n">
        <x:v>1243</x:v>
      </x:c>
      <x:c r="B1262" s="14">
        <x:f>IF($B$12&lt;1243,"",$B$13+(1243-1)*($B$14-$B$13)/($B$12-1))</x:f>
      </x:c>
      <x:c r="C1262" s="14">
        <x:f>IF(B1262="","",$F$8*COS(B1262) + $B$7*COS($F$6*B1262))</x:f>
      </x:c>
      <x:c r="D1262" s="14">
        <x:f>IF(B1262="","",$F$8*SIN(B1262) - $B$7*SIN($F$6*B1262))</x:f>
      </x:c>
      <x:c r="E1262" s="14">
        <x:f>IF(B1262="","", C1262 + $F$12*$F$9*(-H1262)/IF(SQRT(G1262^2+H1262^2)=0,1,SQRT(G1262^2+H1262^2)))</x:f>
      </x:c>
      <x:c r="F1262" s="14">
        <x:f>IF(B1262="","", D1262 + $F$12*$F$9*(G1262)/IF(SQRT(G1262^2+H1262^2)=0,1,SQRT(G1262^2+H1262^2)))</x:f>
      </x:c>
      <x:c r="G1262" s="14">
        <x:f>IF(B1262="","", -$F$8*SIN(B1262) - $B$7*$F$6*SIN($F$6*B1262))</x:f>
      </x:c>
      <x:c r="H1262" s="14">
        <x:f>IF(B1262="","", $F$8*COS(B1262) - $B$7*$F$6*COS($F$6*B1262))</x:f>
      </x:c>
    </x:row>
    <x:row r="1263">
      <x:c r="A1263" s="13" t="n">
        <x:v>1244</x:v>
      </x:c>
      <x:c r="B1263" s="14">
        <x:f>IF($B$12&lt;1244,"",$B$13+(1244-1)*($B$14-$B$13)/($B$12-1))</x:f>
      </x:c>
      <x:c r="C1263" s="14">
        <x:f>IF(B1263="","",$F$8*COS(B1263) + $B$7*COS($F$6*B1263))</x:f>
      </x:c>
      <x:c r="D1263" s="14">
        <x:f>IF(B1263="","",$F$8*SIN(B1263) - $B$7*SIN($F$6*B1263))</x:f>
      </x:c>
      <x:c r="E1263" s="14">
        <x:f>IF(B1263="","", C1263 + $F$12*$F$9*(-H1263)/IF(SQRT(G1263^2+H1263^2)=0,1,SQRT(G1263^2+H1263^2)))</x:f>
      </x:c>
      <x:c r="F1263" s="14">
        <x:f>IF(B1263="","", D1263 + $F$12*$F$9*(G1263)/IF(SQRT(G1263^2+H1263^2)=0,1,SQRT(G1263^2+H1263^2)))</x:f>
      </x:c>
      <x:c r="G1263" s="14">
        <x:f>IF(B1263="","", -$F$8*SIN(B1263) - $B$7*$F$6*SIN($F$6*B1263))</x:f>
      </x:c>
      <x:c r="H1263" s="14">
        <x:f>IF(B1263="","", $F$8*COS(B1263) - $B$7*$F$6*COS($F$6*B1263))</x:f>
      </x:c>
    </x:row>
    <x:row r="1264">
      <x:c r="A1264" s="13" t="n">
        <x:v>1245</x:v>
      </x:c>
      <x:c r="B1264" s="14">
        <x:f>IF($B$12&lt;1245,"",$B$13+(1245-1)*($B$14-$B$13)/($B$12-1))</x:f>
      </x:c>
      <x:c r="C1264" s="14">
        <x:f>IF(B1264="","",$F$8*COS(B1264) + $B$7*COS($F$6*B1264))</x:f>
      </x:c>
      <x:c r="D1264" s="14">
        <x:f>IF(B1264="","",$F$8*SIN(B1264) - $B$7*SIN($F$6*B1264))</x:f>
      </x:c>
      <x:c r="E1264" s="14">
        <x:f>IF(B1264="","", C1264 + $F$12*$F$9*(-H1264)/IF(SQRT(G1264^2+H1264^2)=0,1,SQRT(G1264^2+H1264^2)))</x:f>
      </x:c>
      <x:c r="F1264" s="14">
        <x:f>IF(B1264="","", D1264 + $F$12*$F$9*(G1264)/IF(SQRT(G1264^2+H1264^2)=0,1,SQRT(G1264^2+H1264^2)))</x:f>
      </x:c>
      <x:c r="G1264" s="14">
        <x:f>IF(B1264="","", -$F$8*SIN(B1264) - $B$7*$F$6*SIN($F$6*B1264))</x:f>
      </x:c>
      <x:c r="H1264" s="14">
        <x:f>IF(B1264="","", $F$8*COS(B1264) - $B$7*$F$6*COS($F$6*B1264))</x:f>
      </x:c>
    </x:row>
    <x:row r="1265">
      <x:c r="A1265" s="13" t="n">
        <x:v>1246</x:v>
      </x:c>
      <x:c r="B1265" s="14">
        <x:f>IF($B$12&lt;1246,"",$B$13+(1246-1)*($B$14-$B$13)/($B$12-1))</x:f>
      </x:c>
      <x:c r="C1265" s="14">
        <x:f>IF(B1265="","",$F$8*COS(B1265) + $B$7*COS($F$6*B1265))</x:f>
      </x:c>
      <x:c r="D1265" s="14">
        <x:f>IF(B1265="","",$F$8*SIN(B1265) - $B$7*SIN($F$6*B1265))</x:f>
      </x:c>
      <x:c r="E1265" s="14">
        <x:f>IF(B1265="","", C1265 + $F$12*$F$9*(-H1265)/IF(SQRT(G1265^2+H1265^2)=0,1,SQRT(G1265^2+H1265^2)))</x:f>
      </x:c>
      <x:c r="F1265" s="14">
        <x:f>IF(B1265="","", D1265 + $F$12*$F$9*(G1265)/IF(SQRT(G1265^2+H1265^2)=0,1,SQRT(G1265^2+H1265^2)))</x:f>
      </x:c>
      <x:c r="G1265" s="14">
        <x:f>IF(B1265="","", -$F$8*SIN(B1265) - $B$7*$F$6*SIN($F$6*B1265))</x:f>
      </x:c>
      <x:c r="H1265" s="14">
        <x:f>IF(B1265="","", $F$8*COS(B1265) - $B$7*$F$6*COS($F$6*B1265))</x:f>
      </x:c>
    </x:row>
    <x:row r="1266">
      <x:c r="A1266" s="13" t="n">
        <x:v>1247</x:v>
      </x:c>
      <x:c r="B1266" s="14">
        <x:f>IF($B$12&lt;1247,"",$B$13+(1247-1)*($B$14-$B$13)/($B$12-1))</x:f>
      </x:c>
      <x:c r="C1266" s="14">
        <x:f>IF(B1266="","",$F$8*COS(B1266) + $B$7*COS($F$6*B1266))</x:f>
      </x:c>
      <x:c r="D1266" s="14">
        <x:f>IF(B1266="","",$F$8*SIN(B1266) - $B$7*SIN($F$6*B1266))</x:f>
      </x:c>
      <x:c r="E1266" s="14">
        <x:f>IF(B1266="","", C1266 + $F$12*$F$9*(-H1266)/IF(SQRT(G1266^2+H1266^2)=0,1,SQRT(G1266^2+H1266^2)))</x:f>
      </x:c>
      <x:c r="F1266" s="14">
        <x:f>IF(B1266="","", D1266 + $F$12*$F$9*(G1266)/IF(SQRT(G1266^2+H1266^2)=0,1,SQRT(G1266^2+H1266^2)))</x:f>
      </x:c>
      <x:c r="G1266" s="14">
        <x:f>IF(B1266="","", -$F$8*SIN(B1266) - $B$7*$F$6*SIN($F$6*B1266))</x:f>
      </x:c>
      <x:c r="H1266" s="14">
        <x:f>IF(B1266="","", $F$8*COS(B1266) - $B$7*$F$6*COS($F$6*B1266))</x:f>
      </x:c>
    </x:row>
    <x:row r="1267">
      <x:c r="A1267" s="13" t="n">
        <x:v>1248</x:v>
      </x:c>
      <x:c r="B1267" s="14">
        <x:f>IF($B$12&lt;1248,"",$B$13+(1248-1)*($B$14-$B$13)/($B$12-1))</x:f>
      </x:c>
      <x:c r="C1267" s="14">
        <x:f>IF(B1267="","",$F$8*COS(B1267) + $B$7*COS($F$6*B1267))</x:f>
      </x:c>
      <x:c r="D1267" s="14">
        <x:f>IF(B1267="","",$F$8*SIN(B1267) - $B$7*SIN($F$6*B1267))</x:f>
      </x:c>
      <x:c r="E1267" s="14">
        <x:f>IF(B1267="","", C1267 + $F$12*$F$9*(-H1267)/IF(SQRT(G1267^2+H1267^2)=0,1,SQRT(G1267^2+H1267^2)))</x:f>
      </x:c>
      <x:c r="F1267" s="14">
        <x:f>IF(B1267="","", D1267 + $F$12*$F$9*(G1267)/IF(SQRT(G1267^2+H1267^2)=0,1,SQRT(G1267^2+H1267^2)))</x:f>
      </x:c>
      <x:c r="G1267" s="14">
        <x:f>IF(B1267="","", -$F$8*SIN(B1267) - $B$7*$F$6*SIN($F$6*B1267))</x:f>
      </x:c>
      <x:c r="H1267" s="14">
        <x:f>IF(B1267="","", $F$8*COS(B1267) - $B$7*$F$6*COS($F$6*B1267))</x:f>
      </x:c>
    </x:row>
    <x:row r="1268">
      <x:c r="A1268" s="13" t="n">
        <x:v>1249</x:v>
      </x:c>
      <x:c r="B1268" s="14">
        <x:f>IF($B$12&lt;1249,"",$B$13+(1249-1)*($B$14-$B$13)/($B$12-1))</x:f>
      </x:c>
      <x:c r="C1268" s="14">
        <x:f>IF(B1268="","",$F$8*COS(B1268) + $B$7*COS($F$6*B1268))</x:f>
      </x:c>
      <x:c r="D1268" s="14">
        <x:f>IF(B1268="","",$F$8*SIN(B1268) - $B$7*SIN($F$6*B1268))</x:f>
      </x:c>
      <x:c r="E1268" s="14">
        <x:f>IF(B1268="","", C1268 + $F$12*$F$9*(-H1268)/IF(SQRT(G1268^2+H1268^2)=0,1,SQRT(G1268^2+H1268^2)))</x:f>
      </x:c>
      <x:c r="F1268" s="14">
        <x:f>IF(B1268="","", D1268 + $F$12*$F$9*(G1268)/IF(SQRT(G1268^2+H1268^2)=0,1,SQRT(G1268^2+H1268^2)))</x:f>
      </x:c>
      <x:c r="G1268" s="14">
        <x:f>IF(B1268="","", -$F$8*SIN(B1268) - $B$7*$F$6*SIN($F$6*B1268))</x:f>
      </x:c>
      <x:c r="H1268" s="14">
        <x:f>IF(B1268="","", $F$8*COS(B1268) - $B$7*$F$6*COS($F$6*B1268))</x:f>
      </x:c>
    </x:row>
    <x:row r="1269">
      <x:c r="A1269" s="13" t="n">
        <x:v>1250</x:v>
      </x:c>
      <x:c r="B1269" s="14">
        <x:f>IF($B$12&lt;1250,"",$B$13+(1250-1)*($B$14-$B$13)/($B$12-1))</x:f>
      </x:c>
      <x:c r="C1269" s="14">
        <x:f>IF(B1269="","",$F$8*COS(B1269) + $B$7*COS($F$6*B1269))</x:f>
      </x:c>
      <x:c r="D1269" s="14">
        <x:f>IF(B1269="","",$F$8*SIN(B1269) - $B$7*SIN($F$6*B1269))</x:f>
      </x:c>
      <x:c r="E1269" s="14">
        <x:f>IF(B1269="","", C1269 + $F$12*$F$9*(-H1269)/IF(SQRT(G1269^2+H1269^2)=0,1,SQRT(G1269^2+H1269^2)))</x:f>
      </x:c>
      <x:c r="F1269" s="14">
        <x:f>IF(B1269="","", D1269 + $F$12*$F$9*(G1269)/IF(SQRT(G1269^2+H1269^2)=0,1,SQRT(G1269^2+H1269^2)))</x:f>
      </x:c>
      <x:c r="G1269" s="14">
        <x:f>IF(B1269="","", -$F$8*SIN(B1269) - $B$7*$F$6*SIN($F$6*B1269))</x:f>
      </x:c>
      <x:c r="H1269" s="14">
        <x:f>IF(B1269="","", $F$8*COS(B1269) - $B$7*$F$6*COS($F$6*B1269))</x:f>
      </x:c>
    </x:row>
    <x:row r="1270">
      <x:c r="A1270" s="13" t="n">
        <x:v>1251</x:v>
      </x:c>
      <x:c r="B1270" s="14">
        <x:f>IF($B$12&lt;1251,"",$B$13+(1251-1)*($B$14-$B$13)/($B$12-1))</x:f>
      </x:c>
      <x:c r="C1270" s="14">
        <x:f>IF(B1270="","",$F$8*COS(B1270) + $B$7*COS($F$6*B1270))</x:f>
      </x:c>
      <x:c r="D1270" s="14">
        <x:f>IF(B1270="","",$F$8*SIN(B1270) - $B$7*SIN($F$6*B1270))</x:f>
      </x:c>
      <x:c r="E1270" s="14">
        <x:f>IF(B1270="","", C1270 + $F$12*$F$9*(-H1270)/IF(SQRT(G1270^2+H1270^2)=0,1,SQRT(G1270^2+H1270^2)))</x:f>
      </x:c>
      <x:c r="F1270" s="14">
        <x:f>IF(B1270="","", D1270 + $F$12*$F$9*(G1270)/IF(SQRT(G1270^2+H1270^2)=0,1,SQRT(G1270^2+H1270^2)))</x:f>
      </x:c>
      <x:c r="G1270" s="14">
        <x:f>IF(B1270="","", -$F$8*SIN(B1270) - $B$7*$F$6*SIN($F$6*B1270))</x:f>
      </x:c>
      <x:c r="H1270" s="14">
        <x:f>IF(B1270="","", $F$8*COS(B1270) - $B$7*$F$6*COS($F$6*B1270))</x:f>
      </x:c>
    </x:row>
    <x:row r="1271">
      <x:c r="A1271" s="13" t="n">
        <x:v>1252</x:v>
      </x:c>
      <x:c r="B1271" s="14">
        <x:f>IF($B$12&lt;1252,"",$B$13+(1252-1)*($B$14-$B$13)/($B$12-1))</x:f>
      </x:c>
      <x:c r="C1271" s="14">
        <x:f>IF(B1271="","",$F$8*COS(B1271) + $B$7*COS($F$6*B1271))</x:f>
      </x:c>
      <x:c r="D1271" s="14">
        <x:f>IF(B1271="","",$F$8*SIN(B1271) - $B$7*SIN($F$6*B1271))</x:f>
      </x:c>
      <x:c r="E1271" s="14">
        <x:f>IF(B1271="","", C1271 + $F$12*$F$9*(-H1271)/IF(SQRT(G1271^2+H1271^2)=0,1,SQRT(G1271^2+H1271^2)))</x:f>
      </x:c>
      <x:c r="F1271" s="14">
        <x:f>IF(B1271="","", D1271 + $F$12*$F$9*(G1271)/IF(SQRT(G1271^2+H1271^2)=0,1,SQRT(G1271^2+H1271^2)))</x:f>
      </x:c>
      <x:c r="G1271" s="14">
        <x:f>IF(B1271="","", -$F$8*SIN(B1271) - $B$7*$F$6*SIN($F$6*B1271))</x:f>
      </x:c>
      <x:c r="H1271" s="14">
        <x:f>IF(B1271="","", $F$8*COS(B1271) - $B$7*$F$6*COS($F$6*B1271))</x:f>
      </x:c>
    </x:row>
    <x:row r="1272">
      <x:c r="A1272" s="13" t="n">
        <x:v>1253</x:v>
      </x:c>
      <x:c r="B1272" s="14">
        <x:f>IF($B$12&lt;1253,"",$B$13+(1253-1)*($B$14-$B$13)/($B$12-1))</x:f>
      </x:c>
      <x:c r="C1272" s="14">
        <x:f>IF(B1272="","",$F$8*COS(B1272) + $B$7*COS($F$6*B1272))</x:f>
      </x:c>
      <x:c r="D1272" s="14">
        <x:f>IF(B1272="","",$F$8*SIN(B1272) - $B$7*SIN($F$6*B1272))</x:f>
      </x:c>
      <x:c r="E1272" s="14">
        <x:f>IF(B1272="","", C1272 + $F$12*$F$9*(-H1272)/IF(SQRT(G1272^2+H1272^2)=0,1,SQRT(G1272^2+H1272^2)))</x:f>
      </x:c>
      <x:c r="F1272" s="14">
        <x:f>IF(B1272="","", D1272 + $F$12*$F$9*(G1272)/IF(SQRT(G1272^2+H1272^2)=0,1,SQRT(G1272^2+H1272^2)))</x:f>
      </x:c>
      <x:c r="G1272" s="14">
        <x:f>IF(B1272="","", -$F$8*SIN(B1272) - $B$7*$F$6*SIN($F$6*B1272))</x:f>
      </x:c>
      <x:c r="H1272" s="14">
        <x:f>IF(B1272="","", $F$8*COS(B1272) - $B$7*$F$6*COS($F$6*B1272))</x:f>
      </x:c>
    </x:row>
    <x:row r="1273">
      <x:c r="A1273" s="13" t="n">
        <x:v>1254</x:v>
      </x:c>
      <x:c r="B1273" s="14">
        <x:f>IF($B$12&lt;1254,"",$B$13+(1254-1)*($B$14-$B$13)/($B$12-1))</x:f>
      </x:c>
      <x:c r="C1273" s="14">
        <x:f>IF(B1273="","",$F$8*COS(B1273) + $B$7*COS($F$6*B1273))</x:f>
      </x:c>
      <x:c r="D1273" s="14">
        <x:f>IF(B1273="","",$F$8*SIN(B1273) - $B$7*SIN($F$6*B1273))</x:f>
      </x:c>
      <x:c r="E1273" s="14">
        <x:f>IF(B1273="","", C1273 + $F$12*$F$9*(-H1273)/IF(SQRT(G1273^2+H1273^2)=0,1,SQRT(G1273^2+H1273^2)))</x:f>
      </x:c>
      <x:c r="F1273" s="14">
        <x:f>IF(B1273="","", D1273 + $F$12*$F$9*(G1273)/IF(SQRT(G1273^2+H1273^2)=0,1,SQRT(G1273^2+H1273^2)))</x:f>
      </x:c>
      <x:c r="G1273" s="14">
        <x:f>IF(B1273="","", -$F$8*SIN(B1273) - $B$7*$F$6*SIN($F$6*B1273))</x:f>
      </x:c>
      <x:c r="H1273" s="14">
        <x:f>IF(B1273="","", $F$8*COS(B1273) - $B$7*$F$6*COS($F$6*B1273))</x:f>
      </x:c>
    </x:row>
    <x:row r="1274">
      <x:c r="A1274" s="13" t="n">
        <x:v>1255</x:v>
      </x:c>
      <x:c r="B1274" s="14">
        <x:f>IF($B$12&lt;1255,"",$B$13+(1255-1)*($B$14-$B$13)/($B$12-1))</x:f>
      </x:c>
      <x:c r="C1274" s="14">
        <x:f>IF(B1274="","",$F$8*COS(B1274) + $B$7*COS($F$6*B1274))</x:f>
      </x:c>
      <x:c r="D1274" s="14">
        <x:f>IF(B1274="","",$F$8*SIN(B1274) - $B$7*SIN($F$6*B1274))</x:f>
      </x:c>
      <x:c r="E1274" s="14">
        <x:f>IF(B1274="","", C1274 + $F$12*$F$9*(-H1274)/IF(SQRT(G1274^2+H1274^2)=0,1,SQRT(G1274^2+H1274^2)))</x:f>
      </x:c>
      <x:c r="F1274" s="14">
        <x:f>IF(B1274="","", D1274 + $F$12*$F$9*(G1274)/IF(SQRT(G1274^2+H1274^2)=0,1,SQRT(G1274^2+H1274^2)))</x:f>
      </x:c>
      <x:c r="G1274" s="14">
        <x:f>IF(B1274="","", -$F$8*SIN(B1274) - $B$7*$F$6*SIN($F$6*B1274))</x:f>
      </x:c>
      <x:c r="H1274" s="14">
        <x:f>IF(B1274="","", $F$8*COS(B1274) - $B$7*$F$6*COS($F$6*B1274))</x:f>
      </x:c>
    </x:row>
    <x:row r="1275">
      <x:c r="A1275" s="13" t="n">
        <x:v>1256</x:v>
      </x:c>
      <x:c r="B1275" s="14">
        <x:f>IF($B$12&lt;1256,"",$B$13+(1256-1)*($B$14-$B$13)/($B$12-1))</x:f>
      </x:c>
      <x:c r="C1275" s="14">
        <x:f>IF(B1275="","",$F$8*COS(B1275) + $B$7*COS($F$6*B1275))</x:f>
      </x:c>
      <x:c r="D1275" s="14">
        <x:f>IF(B1275="","",$F$8*SIN(B1275) - $B$7*SIN($F$6*B1275))</x:f>
      </x:c>
      <x:c r="E1275" s="14">
        <x:f>IF(B1275="","", C1275 + $F$12*$F$9*(-H1275)/IF(SQRT(G1275^2+H1275^2)=0,1,SQRT(G1275^2+H1275^2)))</x:f>
      </x:c>
      <x:c r="F1275" s="14">
        <x:f>IF(B1275="","", D1275 + $F$12*$F$9*(G1275)/IF(SQRT(G1275^2+H1275^2)=0,1,SQRT(G1275^2+H1275^2)))</x:f>
      </x:c>
      <x:c r="G1275" s="14">
        <x:f>IF(B1275="","", -$F$8*SIN(B1275) - $B$7*$F$6*SIN($F$6*B1275))</x:f>
      </x:c>
      <x:c r="H1275" s="14">
        <x:f>IF(B1275="","", $F$8*COS(B1275) - $B$7*$F$6*COS($F$6*B1275))</x:f>
      </x:c>
    </x:row>
    <x:row r="1276">
      <x:c r="A1276" s="13" t="n">
        <x:v>1257</x:v>
      </x:c>
      <x:c r="B1276" s="14">
        <x:f>IF($B$12&lt;1257,"",$B$13+(1257-1)*($B$14-$B$13)/($B$12-1))</x:f>
      </x:c>
      <x:c r="C1276" s="14">
        <x:f>IF(B1276="","",$F$8*COS(B1276) + $B$7*COS($F$6*B1276))</x:f>
      </x:c>
      <x:c r="D1276" s="14">
        <x:f>IF(B1276="","",$F$8*SIN(B1276) - $B$7*SIN($F$6*B1276))</x:f>
      </x:c>
      <x:c r="E1276" s="14">
        <x:f>IF(B1276="","", C1276 + $F$12*$F$9*(-H1276)/IF(SQRT(G1276^2+H1276^2)=0,1,SQRT(G1276^2+H1276^2)))</x:f>
      </x:c>
      <x:c r="F1276" s="14">
        <x:f>IF(B1276="","", D1276 + $F$12*$F$9*(G1276)/IF(SQRT(G1276^2+H1276^2)=0,1,SQRT(G1276^2+H1276^2)))</x:f>
      </x:c>
      <x:c r="G1276" s="14">
        <x:f>IF(B1276="","", -$F$8*SIN(B1276) - $B$7*$F$6*SIN($F$6*B1276))</x:f>
      </x:c>
      <x:c r="H1276" s="14">
        <x:f>IF(B1276="","", $F$8*COS(B1276) - $B$7*$F$6*COS($F$6*B1276))</x:f>
      </x:c>
    </x:row>
    <x:row r="1277">
      <x:c r="A1277" s="13" t="n">
        <x:v>1258</x:v>
      </x:c>
      <x:c r="B1277" s="14">
        <x:f>IF($B$12&lt;1258,"",$B$13+(1258-1)*($B$14-$B$13)/($B$12-1))</x:f>
      </x:c>
      <x:c r="C1277" s="14">
        <x:f>IF(B1277="","",$F$8*COS(B1277) + $B$7*COS($F$6*B1277))</x:f>
      </x:c>
      <x:c r="D1277" s="14">
        <x:f>IF(B1277="","",$F$8*SIN(B1277) - $B$7*SIN($F$6*B1277))</x:f>
      </x:c>
      <x:c r="E1277" s="14">
        <x:f>IF(B1277="","", C1277 + $F$12*$F$9*(-H1277)/IF(SQRT(G1277^2+H1277^2)=0,1,SQRT(G1277^2+H1277^2)))</x:f>
      </x:c>
      <x:c r="F1277" s="14">
        <x:f>IF(B1277="","", D1277 + $F$12*$F$9*(G1277)/IF(SQRT(G1277^2+H1277^2)=0,1,SQRT(G1277^2+H1277^2)))</x:f>
      </x:c>
      <x:c r="G1277" s="14">
        <x:f>IF(B1277="","", -$F$8*SIN(B1277) - $B$7*$F$6*SIN($F$6*B1277))</x:f>
      </x:c>
      <x:c r="H1277" s="14">
        <x:f>IF(B1277="","", $F$8*COS(B1277) - $B$7*$F$6*COS($F$6*B1277))</x:f>
      </x:c>
    </x:row>
    <x:row r="1278">
      <x:c r="A1278" s="13" t="n">
        <x:v>1259</x:v>
      </x:c>
      <x:c r="B1278" s="14">
        <x:f>IF($B$12&lt;1259,"",$B$13+(1259-1)*($B$14-$B$13)/($B$12-1))</x:f>
      </x:c>
      <x:c r="C1278" s="14">
        <x:f>IF(B1278="","",$F$8*COS(B1278) + $B$7*COS($F$6*B1278))</x:f>
      </x:c>
      <x:c r="D1278" s="14">
        <x:f>IF(B1278="","",$F$8*SIN(B1278) - $B$7*SIN($F$6*B1278))</x:f>
      </x:c>
      <x:c r="E1278" s="14">
        <x:f>IF(B1278="","", C1278 + $F$12*$F$9*(-H1278)/IF(SQRT(G1278^2+H1278^2)=0,1,SQRT(G1278^2+H1278^2)))</x:f>
      </x:c>
      <x:c r="F1278" s="14">
        <x:f>IF(B1278="","", D1278 + $F$12*$F$9*(G1278)/IF(SQRT(G1278^2+H1278^2)=0,1,SQRT(G1278^2+H1278^2)))</x:f>
      </x:c>
      <x:c r="G1278" s="14">
        <x:f>IF(B1278="","", -$F$8*SIN(B1278) - $B$7*$F$6*SIN($F$6*B1278))</x:f>
      </x:c>
      <x:c r="H1278" s="14">
        <x:f>IF(B1278="","", $F$8*COS(B1278) - $B$7*$F$6*COS($F$6*B1278))</x:f>
      </x:c>
    </x:row>
    <x:row r="1279">
      <x:c r="A1279" s="13" t="n">
        <x:v>1260</x:v>
      </x:c>
      <x:c r="B1279" s="14">
        <x:f>IF($B$12&lt;1260,"",$B$13+(1260-1)*($B$14-$B$13)/($B$12-1))</x:f>
      </x:c>
      <x:c r="C1279" s="14">
        <x:f>IF(B1279="","",$F$8*COS(B1279) + $B$7*COS($F$6*B1279))</x:f>
      </x:c>
      <x:c r="D1279" s="14">
        <x:f>IF(B1279="","",$F$8*SIN(B1279) - $B$7*SIN($F$6*B1279))</x:f>
      </x:c>
      <x:c r="E1279" s="14">
        <x:f>IF(B1279="","", C1279 + $F$12*$F$9*(-H1279)/IF(SQRT(G1279^2+H1279^2)=0,1,SQRT(G1279^2+H1279^2)))</x:f>
      </x:c>
      <x:c r="F1279" s="14">
        <x:f>IF(B1279="","", D1279 + $F$12*$F$9*(G1279)/IF(SQRT(G1279^2+H1279^2)=0,1,SQRT(G1279^2+H1279^2)))</x:f>
      </x:c>
      <x:c r="G1279" s="14">
        <x:f>IF(B1279="","", -$F$8*SIN(B1279) - $B$7*$F$6*SIN($F$6*B1279))</x:f>
      </x:c>
      <x:c r="H1279" s="14">
        <x:f>IF(B1279="","", $F$8*COS(B1279) - $B$7*$F$6*COS($F$6*B1279))</x:f>
      </x:c>
    </x:row>
    <x:row r="1280">
      <x:c r="A1280" s="13" t="n">
        <x:v>1261</x:v>
      </x:c>
      <x:c r="B1280" s="14">
        <x:f>IF($B$12&lt;1261,"",$B$13+(1261-1)*($B$14-$B$13)/($B$12-1))</x:f>
      </x:c>
      <x:c r="C1280" s="14">
        <x:f>IF(B1280="","",$F$8*COS(B1280) + $B$7*COS($F$6*B1280))</x:f>
      </x:c>
      <x:c r="D1280" s="14">
        <x:f>IF(B1280="","",$F$8*SIN(B1280) - $B$7*SIN($F$6*B1280))</x:f>
      </x:c>
      <x:c r="E1280" s="14">
        <x:f>IF(B1280="","", C1280 + $F$12*$F$9*(-H1280)/IF(SQRT(G1280^2+H1280^2)=0,1,SQRT(G1280^2+H1280^2)))</x:f>
      </x:c>
      <x:c r="F1280" s="14">
        <x:f>IF(B1280="","", D1280 + $F$12*$F$9*(G1280)/IF(SQRT(G1280^2+H1280^2)=0,1,SQRT(G1280^2+H1280^2)))</x:f>
      </x:c>
      <x:c r="G1280" s="14">
        <x:f>IF(B1280="","", -$F$8*SIN(B1280) - $B$7*$F$6*SIN($F$6*B1280))</x:f>
      </x:c>
      <x:c r="H1280" s="14">
        <x:f>IF(B1280="","", $F$8*COS(B1280) - $B$7*$F$6*COS($F$6*B1280))</x:f>
      </x:c>
    </x:row>
    <x:row r="1281">
      <x:c r="A1281" s="13" t="n">
        <x:v>1262</x:v>
      </x:c>
      <x:c r="B1281" s="14">
        <x:f>IF($B$12&lt;1262,"",$B$13+(1262-1)*($B$14-$B$13)/($B$12-1))</x:f>
      </x:c>
      <x:c r="C1281" s="14">
        <x:f>IF(B1281="","",$F$8*COS(B1281) + $B$7*COS($F$6*B1281))</x:f>
      </x:c>
      <x:c r="D1281" s="14">
        <x:f>IF(B1281="","",$F$8*SIN(B1281) - $B$7*SIN($F$6*B1281))</x:f>
      </x:c>
      <x:c r="E1281" s="14">
        <x:f>IF(B1281="","", C1281 + $F$12*$F$9*(-H1281)/IF(SQRT(G1281^2+H1281^2)=0,1,SQRT(G1281^2+H1281^2)))</x:f>
      </x:c>
      <x:c r="F1281" s="14">
        <x:f>IF(B1281="","", D1281 + $F$12*$F$9*(G1281)/IF(SQRT(G1281^2+H1281^2)=0,1,SQRT(G1281^2+H1281^2)))</x:f>
      </x:c>
      <x:c r="G1281" s="14">
        <x:f>IF(B1281="","", -$F$8*SIN(B1281) - $B$7*$F$6*SIN($F$6*B1281))</x:f>
      </x:c>
      <x:c r="H1281" s="14">
        <x:f>IF(B1281="","", $F$8*COS(B1281) - $B$7*$F$6*COS($F$6*B1281))</x:f>
      </x:c>
    </x:row>
    <x:row r="1282">
      <x:c r="A1282" s="13" t="n">
        <x:v>1263</x:v>
      </x:c>
      <x:c r="B1282" s="14">
        <x:f>IF($B$12&lt;1263,"",$B$13+(1263-1)*($B$14-$B$13)/($B$12-1))</x:f>
      </x:c>
      <x:c r="C1282" s="14">
        <x:f>IF(B1282="","",$F$8*COS(B1282) + $B$7*COS($F$6*B1282))</x:f>
      </x:c>
      <x:c r="D1282" s="14">
        <x:f>IF(B1282="","",$F$8*SIN(B1282) - $B$7*SIN($F$6*B1282))</x:f>
      </x:c>
      <x:c r="E1282" s="14">
        <x:f>IF(B1282="","", C1282 + $F$12*$F$9*(-H1282)/IF(SQRT(G1282^2+H1282^2)=0,1,SQRT(G1282^2+H1282^2)))</x:f>
      </x:c>
      <x:c r="F1282" s="14">
        <x:f>IF(B1282="","", D1282 + $F$12*$F$9*(G1282)/IF(SQRT(G1282^2+H1282^2)=0,1,SQRT(G1282^2+H1282^2)))</x:f>
      </x:c>
      <x:c r="G1282" s="14">
        <x:f>IF(B1282="","", -$F$8*SIN(B1282) - $B$7*$F$6*SIN($F$6*B1282))</x:f>
      </x:c>
      <x:c r="H1282" s="14">
        <x:f>IF(B1282="","", $F$8*COS(B1282) - $B$7*$F$6*COS($F$6*B1282))</x:f>
      </x:c>
    </x:row>
    <x:row r="1283">
      <x:c r="A1283" s="13" t="n">
        <x:v>1264</x:v>
      </x:c>
      <x:c r="B1283" s="14">
        <x:f>IF($B$12&lt;1264,"",$B$13+(1264-1)*($B$14-$B$13)/($B$12-1))</x:f>
      </x:c>
      <x:c r="C1283" s="14">
        <x:f>IF(B1283="","",$F$8*COS(B1283) + $B$7*COS($F$6*B1283))</x:f>
      </x:c>
      <x:c r="D1283" s="14">
        <x:f>IF(B1283="","",$F$8*SIN(B1283) - $B$7*SIN($F$6*B1283))</x:f>
      </x:c>
      <x:c r="E1283" s="14">
        <x:f>IF(B1283="","", C1283 + $F$12*$F$9*(-H1283)/IF(SQRT(G1283^2+H1283^2)=0,1,SQRT(G1283^2+H1283^2)))</x:f>
      </x:c>
      <x:c r="F1283" s="14">
        <x:f>IF(B1283="","", D1283 + $F$12*$F$9*(G1283)/IF(SQRT(G1283^2+H1283^2)=0,1,SQRT(G1283^2+H1283^2)))</x:f>
      </x:c>
      <x:c r="G1283" s="14">
        <x:f>IF(B1283="","", -$F$8*SIN(B1283) - $B$7*$F$6*SIN($F$6*B1283))</x:f>
      </x:c>
      <x:c r="H1283" s="14">
        <x:f>IF(B1283="","", $F$8*COS(B1283) - $B$7*$F$6*COS($F$6*B1283))</x:f>
      </x:c>
    </x:row>
    <x:row r="1284">
      <x:c r="A1284" s="13" t="n">
        <x:v>1265</x:v>
      </x:c>
      <x:c r="B1284" s="14">
        <x:f>IF($B$12&lt;1265,"",$B$13+(1265-1)*($B$14-$B$13)/($B$12-1))</x:f>
      </x:c>
      <x:c r="C1284" s="14">
        <x:f>IF(B1284="","",$F$8*COS(B1284) + $B$7*COS($F$6*B1284))</x:f>
      </x:c>
      <x:c r="D1284" s="14">
        <x:f>IF(B1284="","",$F$8*SIN(B1284) - $B$7*SIN($F$6*B1284))</x:f>
      </x:c>
      <x:c r="E1284" s="14">
        <x:f>IF(B1284="","", C1284 + $F$12*$F$9*(-H1284)/IF(SQRT(G1284^2+H1284^2)=0,1,SQRT(G1284^2+H1284^2)))</x:f>
      </x:c>
      <x:c r="F1284" s="14">
        <x:f>IF(B1284="","", D1284 + $F$12*$F$9*(G1284)/IF(SQRT(G1284^2+H1284^2)=0,1,SQRT(G1284^2+H1284^2)))</x:f>
      </x:c>
      <x:c r="G1284" s="14">
        <x:f>IF(B1284="","", -$F$8*SIN(B1284) - $B$7*$F$6*SIN($F$6*B1284))</x:f>
      </x:c>
      <x:c r="H1284" s="14">
        <x:f>IF(B1284="","", $F$8*COS(B1284) - $B$7*$F$6*COS($F$6*B1284))</x:f>
      </x:c>
    </x:row>
    <x:row r="1285">
      <x:c r="A1285" s="13" t="n">
        <x:v>1266</x:v>
      </x:c>
      <x:c r="B1285" s="14">
        <x:f>IF($B$12&lt;1266,"",$B$13+(1266-1)*($B$14-$B$13)/($B$12-1))</x:f>
      </x:c>
      <x:c r="C1285" s="14">
        <x:f>IF(B1285="","",$F$8*COS(B1285) + $B$7*COS($F$6*B1285))</x:f>
      </x:c>
      <x:c r="D1285" s="14">
        <x:f>IF(B1285="","",$F$8*SIN(B1285) - $B$7*SIN($F$6*B1285))</x:f>
      </x:c>
      <x:c r="E1285" s="14">
        <x:f>IF(B1285="","", C1285 + $F$12*$F$9*(-H1285)/IF(SQRT(G1285^2+H1285^2)=0,1,SQRT(G1285^2+H1285^2)))</x:f>
      </x:c>
      <x:c r="F1285" s="14">
        <x:f>IF(B1285="","", D1285 + $F$12*$F$9*(G1285)/IF(SQRT(G1285^2+H1285^2)=0,1,SQRT(G1285^2+H1285^2)))</x:f>
      </x:c>
      <x:c r="G1285" s="14">
        <x:f>IF(B1285="","", -$F$8*SIN(B1285) - $B$7*$F$6*SIN($F$6*B1285))</x:f>
      </x:c>
      <x:c r="H1285" s="14">
        <x:f>IF(B1285="","", $F$8*COS(B1285) - $B$7*$F$6*COS($F$6*B1285))</x:f>
      </x:c>
    </x:row>
    <x:row r="1286">
      <x:c r="A1286" s="13" t="n">
        <x:v>1267</x:v>
      </x:c>
      <x:c r="B1286" s="14">
        <x:f>IF($B$12&lt;1267,"",$B$13+(1267-1)*($B$14-$B$13)/($B$12-1))</x:f>
      </x:c>
      <x:c r="C1286" s="14">
        <x:f>IF(B1286="","",$F$8*COS(B1286) + $B$7*COS($F$6*B1286))</x:f>
      </x:c>
      <x:c r="D1286" s="14">
        <x:f>IF(B1286="","",$F$8*SIN(B1286) - $B$7*SIN($F$6*B1286))</x:f>
      </x:c>
      <x:c r="E1286" s="14">
        <x:f>IF(B1286="","", C1286 + $F$12*$F$9*(-H1286)/IF(SQRT(G1286^2+H1286^2)=0,1,SQRT(G1286^2+H1286^2)))</x:f>
      </x:c>
      <x:c r="F1286" s="14">
        <x:f>IF(B1286="","", D1286 + $F$12*$F$9*(G1286)/IF(SQRT(G1286^2+H1286^2)=0,1,SQRT(G1286^2+H1286^2)))</x:f>
      </x:c>
      <x:c r="G1286" s="14">
        <x:f>IF(B1286="","", -$F$8*SIN(B1286) - $B$7*$F$6*SIN($F$6*B1286))</x:f>
      </x:c>
      <x:c r="H1286" s="14">
        <x:f>IF(B1286="","", $F$8*COS(B1286) - $B$7*$F$6*COS($F$6*B1286))</x:f>
      </x:c>
    </x:row>
    <x:row r="1287">
      <x:c r="A1287" s="13" t="n">
        <x:v>1268</x:v>
      </x:c>
      <x:c r="B1287" s="14">
        <x:f>IF($B$12&lt;1268,"",$B$13+(1268-1)*($B$14-$B$13)/($B$12-1))</x:f>
      </x:c>
      <x:c r="C1287" s="14">
        <x:f>IF(B1287="","",$F$8*COS(B1287) + $B$7*COS($F$6*B1287))</x:f>
      </x:c>
      <x:c r="D1287" s="14">
        <x:f>IF(B1287="","",$F$8*SIN(B1287) - $B$7*SIN($F$6*B1287))</x:f>
      </x:c>
      <x:c r="E1287" s="14">
        <x:f>IF(B1287="","", C1287 + $F$12*$F$9*(-H1287)/IF(SQRT(G1287^2+H1287^2)=0,1,SQRT(G1287^2+H1287^2)))</x:f>
      </x:c>
      <x:c r="F1287" s="14">
        <x:f>IF(B1287="","", D1287 + $F$12*$F$9*(G1287)/IF(SQRT(G1287^2+H1287^2)=0,1,SQRT(G1287^2+H1287^2)))</x:f>
      </x:c>
      <x:c r="G1287" s="14">
        <x:f>IF(B1287="","", -$F$8*SIN(B1287) - $B$7*$F$6*SIN($F$6*B1287))</x:f>
      </x:c>
      <x:c r="H1287" s="14">
        <x:f>IF(B1287="","", $F$8*COS(B1287) - $B$7*$F$6*COS($F$6*B1287))</x:f>
      </x:c>
    </x:row>
    <x:row r="1288">
      <x:c r="A1288" s="13" t="n">
        <x:v>1269</x:v>
      </x:c>
      <x:c r="B1288" s="14">
        <x:f>IF($B$12&lt;1269,"",$B$13+(1269-1)*($B$14-$B$13)/($B$12-1))</x:f>
      </x:c>
      <x:c r="C1288" s="14">
        <x:f>IF(B1288="","",$F$8*COS(B1288) + $B$7*COS($F$6*B1288))</x:f>
      </x:c>
      <x:c r="D1288" s="14">
        <x:f>IF(B1288="","",$F$8*SIN(B1288) - $B$7*SIN($F$6*B1288))</x:f>
      </x:c>
      <x:c r="E1288" s="14">
        <x:f>IF(B1288="","", C1288 + $F$12*$F$9*(-H1288)/IF(SQRT(G1288^2+H1288^2)=0,1,SQRT(G1288^2+H1288^2)))</x:f>
      </x:c>
      <x:c r="F1288" s="14">
        <x:f>IF(B1288="","", D1288 + $F$12*$F$9*(G1288)/IF(SQRT(G1288^2+H1288^2)=0,1,SQRT(G1288^2+H1288^2)))</x:f>
      </x:c>
      <x:c r="G1288" s="14">
        <x:f>IF(B1288="","", -$F$8*SIN(B1288) - $B$7*$F$6*SIN($F$6*B1288))</x:f>
      </x:c>
      <x:c r="H1288" s="14">
        <x:f>IF(B1288="","", $F$8*COS(B1288) - $B$7*$F$6*COS($F$6*B1288))</x:f>
      </x:c>
    </x:row>
    <x:row r="1289">
      <x:c r="A1289" s="13" t="n">
        <x:v>1270</x:v>
      </x:c>
      <x:c r="B1289" s="14">
        <x:f>IF($B$12&lt;1270,"",$B$13+(1270-1)*($B$14-$B$13)/($B$12-1))</x:f>
      </x:c>
      <x:c r="C1289" s="14">
        <x:f>IF(B1289="","",$F$8*COS(B1289) + $B$7*COS($F$6*B1289))</x:f>
      </x:c>
      <x:c r="D1289" s="14">
        <x:f>IF(B1289="","",$F$8*SIN(B1289) - $B$7*SIN($F$6*B1289))</x:f>
      </x:c>
      <x:c r="E1289" s="14">
        <x:f>IF(B1289="","", C1289 + $F$12*$F$9*(-H1289)/IF(SQRT(G1289^2+H1289^2)=0,1,SQRT(G1289^2+H1289^2)))</x:f>
      </x:c>
      <x:c r="F1289" s="14">
        <x:f>IF(B1289="","", D1289 + $F$12*$F$9*(G1289)/IF(SQRT(G1289^2+H1289^2)=0,1,SQRT(G1289^2+H1289^2)))</x:f>
      </x:c>
      <x:c r="G1289" s="14">
        <x:f>IF(B1289="","", -$F$8*SIN(B1289) - $B$7*$F$6*SIN($F$6*B1289))</x:f>
      </x:c>
      <x:c r="H1289" s="14">
        <x:f>IF(B1289="","", $F$8*COS(B1289) - $B$7*$F$6*COS($F$6*B1289))</x:f>
      </x:c>
    </x:row>
    <x:row r="1290">
      <x:c r="A1290" s="13" t="n">
        <x:v>1271</x:v>
      </x:c>
      <x:c r="B1290" s="14">
        <x:f>IF($B$12&lt;1271,"",$B$13+(1271-1)*($B$14-$B$13)/($B$12-1))</x:f>
      </x:c>
      <x:c r="C1290" s="14">
        <x:f>IF(B1290="","",$F$8*COS(B1290) + $B$7*COS($F$6*B1290))</x:f>
      </x:c>
      <x:c r="D1290" s="14">
        <x:f>IF(B1290="","",$F$8*SIN(B1290) - $B$7*SIN($F$6*B1290))</x:f>
      </x:c>
      <x:c r="E1290" s="14">
        <x:f>IF(B1290="","", C1290 + $F$12*$F$9*(-H1290)/IF(SQRT(G1290^2+H1290^2)=0,1,SQRT(G1290^2+H1290^2)))</x:f>
      </x:c>
      <x:c r="F1290" s="14">
        <x:f>IF(B1290="","", D1290 + $F$12*$F$9*(G1290)/IF(SQRT(G1290^2+H1290^2)=0,1,SQRT(G1290^2+H1290^2)))</x:f>
      </x:c>
      <x:c r="G1290" s="14">
        <x:f>IF(B1290="","", -$F$8*SIN(B1290) - $B$7*$F$6*SIN($F$6*B1290))</x:f>
      </x:c>
      <x:c r="H1290" s="14">
        <x:f>IF(B1290="","", $F$8*COS(B1290) - $B$7*$F$6*COS($F$6*B1290))</x:f>
      </x:c>
    </x:row>
    <x:row r="1291">
      <x:c r="A1291" s="13" t="n">
        <x:v>1272</x:v>
      </x:c>
      <x:c r="B1291" s="14">
        <x:f>IF($B$12&lt;1272,"",$B$13+(1272-1)*($B$14-$B$13)/($B$12-1))</x:f>
      </x:c>
      <x:c r="C1291" s="14">
        <x:f>IF(B1291="","",$F$8*COS(B1291) + $B$7*COS($F$6*B1291))</x:f>
      </x:c>
      <x:c r="D1291" s="14">
        <x:f>IF(B1291="","",$F$8*SIN(B1291) - $B$7*SIN($F$6*B1291))</x:f>
      </x:c>
      <x:c r="E1291" s="14">
        <x:f>IF(B1291="","", C1291 + $F$12*$F$9*(-H1291)/IF(SQRT(G1291^2+H1291^2)=0,1,SQRT(G1291^2+H1291^2)))</x:f>
      </x:c>
      <x:c r="F1291" s="14">
        <x:f>IF(B1291="","", D1291 + $F$12*$F$9*(G1291)/IF(SQRT(G1291^2+H1291^2)=0,1,SQRT(G1291^2+H1291^2)))</x:f>
      </x:c>
      <x:c r="G1291" s="14">
        <x:f>IF(B1291="","", -$F$8*SIN(B1291) - $B$7*$F$6*SIN($F$6*B1291))</x:f>
      </x:c>
      <x:c r="H1291" s="14">
        <x:f>IF(B1291="","", $F$8*COS(B1291) - $B$7*$F$6*COS($F$6*B1291))</x:f>
      </x:c>
    </x:row>
    <x:row r="1292">
      <x:c r="A1292" s="13" t="n">
        <x:v>1273</x:v>
      </x:c>
      <x:c r="B1292" s="14">
        <x:f>IF($B$12&lt;1273,"",$B$13+(1273-1)*($B$14-$B$13)/($B$12-1))</x:f>
      </x:c>
      <x:c r="C1292" s="14">
        <x:f>IF(B1292="","",$F$8*COS(B1292) + $B$7*COS($F$6*B1292))</x:f>
      </x:c>
      <x:c r="D1292" s="14">
        <x:f>IF(B1292="","",$F$8*SIN(B1292) - $B$7*SIN($F$6*B1292))</x:f>
      </x:c>
      <x:c r="E1292" s="14">
        <x:f>IF(B1292="","", C1292 + $F$12*$F$9*(-H1292)/IF(SQRT(G1292^2+H1292^2)=0,1,SQRT(G1292^2+H1292^2)))</x:f>
      </x:c>
      <x:c r="F1292" s="14">
        <x:f>IF(B1292="","", D1292 + $F$12*$F$9*(G1292)/IF(SQRT(G1292^2+H1292^2)=0,1,SQRT(G1292^2+H1292^2)))</x:f>
      </x:c>
      <x:c r="G1292" s="14">
        <x:f>IF(B1292="","", -$F$8*SIN(B1292) - $B$7*$F$6*SIN($F$6*B1292))</x:f>
      </x:c>
      <x:c r="H1292" s="14">
        <x:f>IF(B1292="","", $F$8*COS(B1292) - $B$7*$F$6*COS($F$6*B1292))</x:f>
      </x:c>
    </x:row>
    <x:row r="1293">
      <x:c r="A1293" s="13" t="n">
        <x:v>1274</x:v>
      </x:c>
      <x:c r="B1293" s="14">
        <x:f>IF($B$12&lt;1274,"",$B$13+(1274-1)*($B$14-$B$13)/($B$12-1))</x:f>
      </x:c>
      <x:c r="C1293" s="14">
        <x:f>IF(B1293="","",$F$8*COS(B1293) + $B$7*COS($F$6*B1293))</x:f>
      </x:c>
      <x:c r="D1293" s="14">
        <x:f>IF(B1293="","",$F$8*SIN(B1293) - $B$7*SIN($F$6*B1293))</x:f>
      </x:c>
      <x:c r="E1293" s="14">
        <x:f>IF(B1293="","", C1293 + $F$12*$F$9*(-H1293)/IF(SQRT(G1293^2+H1293^2)=0,1,SQRT(G1293^2+H1293^2)))</x:f>
      </x:c>
      <x:c r="F1293" s="14">
        <x:f>IF(B1293="","", D1293 + $F$12*$F$9*(G1293)/IF(SQRT(G1293^2+H1293^2)=0,1,SQRT(G1293^2+H1293^2)))</x:f>
      </x:c>
      <x:c r="G1293" s="14">
        <x:f>IF(B1293="","", -$F$8*SIN(B1293) - $B$7*$F$6*SIN($F$6*B1293))</x:f>
      </x:c>
      <x:c r="H1293" s="14">
        <x:f>IF(B1293="","", $F$8*COS(B1293) - $B$7*$F$6*COS($F$6*B1293))</x:f>
      </x:c>
    </x:row>
    <x:row r="1294">
      <x:c r="A1294" s="13" t="n">
        <x:v>1275</x:v>
      </x:c>
      <x:c r="B1294" s="14">
        <x:f>IF($B$12&lt;1275,"",$B$13+(1275-1)*($B$14-$B$13)/($B$12-1))</x:f>
      </x:c>
      <x:c r="C1294" s="14">
        <x:f>IF(B1294="","",$F$8*COS(B1294) + $B$7*COS($F$6*B1294))</x:f>
      </x:c>
      <x:c r="D1294" s="14">
        <x:f>IF(B1294="","",$F$8*SIN(B1294) - $B$7*SIN($F$6*B1294))</x:f>
      </x:c>
      <x:c r="E1294" s="14">
        <x:f>IF(B1294="","", C1294 + $F$12*$F$9*(-H1294)/IF(SQRT(G1294^2+H1294^2)=0,1,SQRT(G1294^2+H1294^2)))</x:f>
      </x:c>
      <x:c r="F1294" s="14">
        <x:f>IF(B1294="","", D1294 + $F$12*$F$9*(G1294)/IF(SQRT(G1294^2+H1294^2)=0,1,SQRT(G1294^2+H1294^2)))</x:f>
      </x:c>
      <x:c r="G1294" s="14">
        <x:f>IF(B1294="","", -$F$8*SIN(B1294) - $B$7*$F$6*SIN($F$6*B1294))</x:f>
      </x:c>
      <x:c r="H1294" s="14">
        <x:f>IF(B1294="","", $F$8*COS(B1294) - $B$7*$F$6*COS($F$6*B1294))</x:f>
      </x:c>
    </x:row>
    <x:row r="1295">
      <x:c r="A1295" s="13" t="n">
        <x:v>1276</x:v>
      </x:c>
      <x:c r="B1295" s="14">
        <x:f>IF($B$12&lt;1276,"",$B$13+(1276-1)*($B$14-$B$13)/($B$12-1))</x:f>
      </x:c>
      <x:c r="C1295" s="14">
        <x:f>IF(B1295="","",$F$8*COS(B1295) + $B$7*COS($F$6*B1295))</x:f>
      </x:c>
      <x:c r="D1295" s="14">
        <x:f>IF(B1295="","",$F$8*SIN(B1295) - $B$7*SIN($F$6*B1295))</x:f>
      </x:c>
      <x:c r="E1295" s="14">
        <x:f>IF(B1295="","", C1295 + $F$12*$F$9*(-H1295)/IF(SQRT(G1295^2+H1295^2)=0,1,SQRT(G1295^2+H1295^2)))</x:f>
      </x:c>
      <x:c r="F1295" s="14">
        <x:f>IF(B1295="","", D1295 + $F$12*$F$9*(G1295)/IF(SQRT(G1295^2+H1295^2)=0,1,SQRT(G1295^2+H1295^2)))</x:f>
      </x:c>
      <x:c r="G1295" s="14">
        <x:f>IF(B1295="","", -$F$8*SIN(B1295) - $B$7*$F$6*SIN($F$6*B1295))</x:f>
      </x:c>
      <x:c r="H1295" s="14">
        <x:f>IF(B1295="","", $F$8*COS(B1295) - $B$7*$F$6*COS($F$6*B1295))</x:f>
      </x:c>
    </x:row>
    <x:row r="1296">
      <x:c r="A1296" s="13" t="n">
        <x:v>1277</x:v>
      </x:c>
      <x:c r="B1296" s="14">
        <x:f>IF($B$12&lt;1277,"",$B$13+(1277-1)*($B$14-$B$13)/($B$12-1))</x:f>
      </x:c>
      <x:c r="C1296" s="14">
        <x:f>IF(B1296="","",$F$8*COS(B1296) + $B$7*COS($F$6*B1296))</x:f>
      </x:c>
      <x:c r="D1296" s="14">
        <x:f>IF(B1296="","",$F$8*SIN(B1296) - $B$7*SIN($F$6*B1296))</x:f>
      </x:c>
      <x:c r="E1296" s="14">
        <x:f>IF(B1296="","", C1296 + $F$12*$F$9*(-H1296)/IF(SQRT(G1296^2+H1296^2)=0,1,SQRT(G1296^2+H1296^2)))</x:f>
      </x:c>
      <x:c r="F1296" s="14">
        <x:f>IF(B1296="","", D1296 + $F$12*$F$9*(G1296)/IF(SQRT(G1296^2+H1296^2)=0,1,SQRT(G1296^2+H1296^2)))</x:f>
      </x:c>
      <x:c r="G1296" s="14">
        <x:f>IF(B1296="","", -$F$8*SIN(B1296) - $B$7*$F$6*SIN($F$6*B1296))</x:f>
      </x:c>
      <x:c r="H1296" s="14">
        <x:f>IF(B1296="","", $F$8*COS(B1296) - $B$7*$F$6*COS($F$6*B1296))</x:f>
      </x:c>
    </x:row>
    <x:row r="1297">
      <x:c r="A1297" s="13" t="n">
        <x:v>1278</x:v>
      </x:c>
      <x:c r="B1297" s="14">
        <x:f>IF($B$12&lt;1278,"",$B$13+(1278-1)*($B$14-$B$13)/($B$12-1))</x:f>
      </x:c>
      <x:c r="C1297" s="14">
        <x:f>IF(B1297="","",$F$8*COS(B1297) + $B$7*COS($F$6*B1297))</x:f>
      </x:c>
      <x:c r="D1297" s="14">
        <x:f>IF(B1297="","",$F$8*SIN(B1297) - $B$7*SIN($F$6*B1297))</x:f>
      </x:c>
      <x:c r="E1297" s="14">
        <x:f>IF(B1297="","", C1297 + $F$12*$F$9*(-H1297)/IF(SQRT(G1297^2+H1297^2)=0,1,SQRT(G1297^2+H1297^2)))</x:f>
      </x:c>
      <x:c r="F1297" s="14">
        <x:f>IF(B1297="","", D1297 + $F$12*$F$9*(G1297)/IF(SQRT(G1297^2+H1297^2)=0,1,SQRT(G1297^2+H1297^2)))</x:f>
      </x:c>
      <x:c r="G1297" s="14">
        <x:f>IF(B1297="","", -$F$8*SIN(B1297) - $B$7*$F$6*SIN($F$6*B1297))</x:f>
      </x:c>
      <x:c r="H1297" s="14">
        <x:f>IF(B1297="","", $F$8*COS(B1297) - $B$7*$F$6*COS($F$6*B1297))</x:f>
      </x:c>
    </x:row>
    <x:row r="1298">
      <x:c r="A1298" s="13" t="n">
        <x:v>1279</x:v>
      </x:c>
      <x:c r="B1298" s="14">
        <x:f>IF($B$12&lt;1279,"",$B$13+(1279-1)*($B$14-$B$13)/($B$12-1))</x:f>
      </x:c>
      <x:c r="C1298" s="14">
        <x:f>IF(B1298="","",$F$8*COS(B1298) + $B$7*COS($F$6*B1298))</x:f>
      </x:c>
      <x:c r="D1298" s="14">
        <x:f>IF(B1298="","",$F$8*SIN(B1298) - $B$7*SIN($F$6*B1298))</x:f>
      </x:c>
      <x:c r="E1298" s="14">
        <x:f>IF(B1298="","", C1298 + $F$12*$F$9*(-H1298)/IF(SQRT(G1298^2+H1298^2)=0,1,SQRT(G1298^2+H1298^2)))</x:f>
      </x:c>
      <x:c r="F1298" s="14">
        <x:f>IF(B1298="","", D1298 + $F$12*$F$9*(G1298)/IF(SQRT(G1298^2+H1298^2)=0,1,SQRT(G1298^2+H1298^2)))</x:f>
      </x:c>
      <x:c r="G1298" s="14">
        <x:f>IF(B1298="","", -$F$8*SIN(B1298) - $B$7*$F$6*SIN($F$6*B1298))</x:f>
      </x:c>
      <x:c r="H1298" s="14">
        <x:f>IF(B1298="","", $F$8*COS(B1298) - $B$7*$F$6*COS($F$6*B1298))</x:f>
      </x:c>
    </x:row>
    <x:row r="1299">
      <x:c r="A1299" s="13" t="n">
        <x:v>1280</x:v>
      </x:c>
      <x:c r="B1299" s="14">
        <x:f>IF($B$12&lt;1280,"",$B$13+(1280-1)*($B$14-$B$13)/($B$12-1))</x:f>
      </x:c>
      <x:c r="C1299" s="14">
        <x:f>IF(B1299="","",$F$8*COS(B1299) + $B$7*COS($F$6*B1299))</x:f>
      </x:c>
      <x:c r="D1299" s="14">
        <x:f>IF(B1299="","",$F$8*SIN(B1299) - $B$7*SIN($F$6*B1299))</x:f>
      </x:c>
      <x:c r="E1299" s="14">
        <x:f>IF(B1299="","", C1299 + $F$12*$F$9*(-H1299)/IF(SQRT(G1299^2+H1299^2)=0,1,SQRT(G1299^2+H1299^2)))</x:f>
      </x:c>
      <x:c r="F1299" s="14">
        <x:f>IF(B1299="","", D1299 + $F$12*$F$9*(G1299)/IF(SQRT(G1299^2+H1299^2)=0,1,SQRT(G1299^2+H1299^2)))</x:f>
      </x:c>
      <x:c r="G1299" s="14">
        <x:f>IF(B1299="","", -$F$8*SIN(B1299) - $B$7*$F$6*SIN($F$6*B1299))</x:f>
      </x:c>
      <x:c r="H1299" s="14">
        <x:f>IF(B1299="","", $F$8*COS(B1299) - $B$7*$F$6*COS($F$6*B1299))</x:f>
      </x:c>
    </x:row>
    <x:row r="1300">
      <x:c r="A1300" s="13" t="n">
        <x:v>1281</x:v>
      </x:c>
      <x:c r="B1300" s="14">
        <x:f>IF($B$12&lt;1281,"",$B$13+(1281-1)*($B$14-$B$13)/($B$12-1))</x:f>
      </x:c>
      <x:c r="C1300" s="14">
        <x:f>IF(B1300="","",$F$8*COS(B1300) + $B$7*COS($F$6*B1300))</x:f>
      </x:c>
      <x:c r="D1300" s="14">
        <x:f>IF(B1300="","",$F$8*SIN(B1300) - $B$7*SIN($F$6*B1300))</x:f>
      </x:c>
      <x:c r="E1300" s="14">
        <x:f>IF(B1300="","", C1300 + $F$12*$F$9*(-H1300)/IF(SQRT(G1300^2+H1300^2)=0,1,SQRT(G1300^2+H1300^2)))</x:f>
      </x:c>
      <x:c r="F1300" s="14">
        <x:f>IF(B1300="","", D1300 + $F$12*$F$9*(G1300)/IF(SQRT(G1300^2+H1300^2)=0,1,SQRT(G1300^2+H1300^2)))</x:f>
      </x:c>
      <x:c r="G1300" s="14">
        <x:f>IF(B1300="","", -$F$8*SIN(B1300) - $B$7*$F$6*SIN($F$6*B1300))</x:f>
      </x:c>
      <x:c r="H1300" s="14">
        <x:f>IF(B1300="","", $F$8*COS(B1300) - $B$7*$F$6*COS($F$6*B1300))</x:f>
      </x:c>
    </x:row>
    <x:row r="1301">
      <x:c r="A1301" s="13" t="n">
        <x:v>1282</x:v>
      </x:c>
      <x:c r="B1301" s="14">
        <x:f>IF($B$12&lt;1282,"",$B$13+(1282-1)*($B$14-$B$13)/($B$12-1))</x:f>
      </x:c>
      <x:c r="C1301" s="14">
        <x:f>IF(B1301="","",$F$8*COS(B1301) + $B$7*COS($F$6*B1301))</x:f>
      </x:c>
      <x:c r="D1301" s="14">
        <x:f>IF(B1301="","",$F$8*SIN(B1301) - $B$7*SIN($F$6*B1301))</x:f>
      </x:c>
      <x:c r="E1301" s="14">
        <x:f>IF(B1301="","", C1301 + $F$12*$F$9*(-H1301)/IF(SQRT(G1301^2+H1301^2)=0,1,SQRT(G1301^2+H1301^2)))</x:f>
      </x:c>
      <x:c r="F1301" s="14">
        <x:f>IF(B1301="","", D1301 + $F$12*$F$9*(G1301)/IF(SQRT(G1301^2+H1301^2)=0,1,SQRT(G1301^2+H1301^2)))</x:f>
      </x:c>
      <x:c r="G1301" s="14">
        <x:f>IF(B1301="","", -$F$8*SIN(B1301) - $B$7*$F$6*SIN($F$6*B1301))</x:f>
      </x:c>
      <x:c r="H1301" s="14">
        <x:f>IF(B1301="","", $F$8*COS(B1301) - $B$7*$F$6*COS($F$6*B1301))</x:f>
      </x:c>
    </x:row>
    <x:row r="1302">
      <x:c r="A1302" s="13" t="n">
        <x:v>1283</x:v>
      </x:c>
      <x:c r="B1302" s="14">
        <x:f>IF($B$12&lt;1283,"",$B$13+(1283-1)*($B$14-$B$13)/($B$12-1))</x:f>
      </x:c>
      <x:c r="C1302" s="14">
        <x:f>IF(B1302="","",$F$8*COS(B1302) + $B$7*COS($F$6*B1302))</x:f>
      </x:c>
      <x:c r="D1302" s="14">
        <x:f>IF(B1302="","",$F$8*SIN(B1302) - $B$7*SIN($F$6*B1302))</x:f>
      </x:c>
      <x:c r="E1302" s="14">
        <x:f>IF(B1302="","", C1302 + $F$12*$F$9*(-H1302)/IF(SQRT(G1302^2+H1302^2)=0,1,SQRT(G1302^2+H1302^2)))</x:f>
      </x:c>
      <x:c r="F1302" s="14">
        <x:f>IF(B1302="","", D1302 + $F$12*$F$9*(G1302)/IF(SQRT(G1302^2+H1302^2)=0,1,SQRT(G1302^2+H1302^2)))</x:f>
      </x:c>
      <x:c r="G1302" s="14">
        <x:f>IF(B1302="","", -$F$8*SIN(B1302) - $B$7*$F$6*SIN($F$6*B1302))</x:f>
      </x:c>
      <x:c r="H1302" s="14">
        <x:f>IF(B1302="","", $F$8*COS(B1302) - $B$7*$F$6*COS($F$6*B1302))</x:f>
      </x:c>
    </x:row>
    <x:row r="1303">
      <x:c r="A1303" s="13" t="n">
        <x:v>1284</x:v>
      </x:c>
      <x:c r="B1303" s="14">
        <x:f>IF($B$12&lt;1284,"",$B$13+(1284-1)*($B$14-$B$13)/($B$12-1))</x:f>
      </x:c>
      <x:c r="C1303" s="14">
        <x:f>IF(B1303="","",$F$8*COS(B1303) + $B$7*COS($F$6*B1303))</x:f>
      </x:c>
      <x:c r="D1303" s="14">
        <x:f>IF(B1303="","",$F$8*SIN(B1303) - $B$7*SIN($F$6*B1303))</x:f>
      </x:c>
      <x:c r="E1303" s="14">
        <x:f>IF(B1303="","", C1303 + $F$12*$F$9*(-H1303)/IF(SQRT(G1303^2+H1303^2)=0,1,SQRT(G1303^2+H1303^2)))</x:f>
      </x:c>
      <x:c r="F1303" s="14">
        <x:f>IF(B1303="","", D1303 + $F$12*$F$9*(G1303)/IF(SQRT(G1303^2+H1303^2)=0,1,SQRT(G1303^2+H1303^2)))</x:f>
      </x:c>
      <x:c r="G1303" s="14">
        <x:f>IF(B1303="","", -$F$8*SIN(B1303) - $B$7*$F$6*SIN($F$6*B1303))</x:f>
      </x:c>
      <x:c r="H1303" s="14">
        <x:f>IF(B1303="","", $F$8*COS(B1303) - $B$7*$F$6*COS($F$6*B1303))</x:f>
      </x:c>
    </x:row>
    <x:row r="1304">
      <x:c r="A1304" s="13" t="n">
        <x:v>1285</x:v>
      </x:c>
      <x:c r="B1304" s="14">
        <x:f>IF($B$12&lt;1285,"",$B$13+(1285-1)*($B$14-$B$13)/($B$12-1))</x:f>
      </x:c>
      <x:c r="C1304" s="14">
        <x:f>IF(B1304="","",$F$8*COS(B1304) + $B$7*COS($F$6*B1304))</x:f>
      </x:c>
      <x:c r="D1304" s="14">
        <x:f>IF(B1304="","",$F$8*SIN(B1304) - $B$7*SIN($F$6*B1304))</x:f>
      </x:c>
      <x:c r="E1304" s="14">
        <x:f>IF(B1304="","", C1304 + $F$12*$F$9*(-H1304)/IF(SQRT(G1304^2+H1304^2)=0,1,SQRT(G1304^2+H1304^2)))</x:f>
      </x:c>
      <x:c r="F1304" s="14">
        <x:f>IF(B1304="","", D1304 + $F$12*$F$9*(G1304)/IF(SQRT(G1304^2+H1304^2)=0,1,SQRT(G1304^2+H1304^2)))</x:f>
      </x:c>
      <x:c r="G1304" s="14">
        <x:f>IF(B1304="","", -$F$8*SIN(B1304) - $B$7*$F$6*SIN($F$6*B1304))</x:f>
      </x:c>
      <x:c r="H1304" s="14">
        <x:f>IF(B1304="","", $F$8*COS(B1304) - $B$7*$F$6*COS($F$6*B1304))</x:f>
      </x:c>
    </x:row>
    <x:row r="1305">
      <x:c r="A1305" s="13" t="n">
        <x:v>1286</x:v>
      </x:c>
      <x:c r="B1305" s="14">
        <x:f>IF($B$12&lt;1286,"",$B$13+(1286-1)*($B$14-$B$13)/($B$12-1))</x:f>
      </x:c>
      <x:c r="C1305" s="14">
        <x:f>IF(B1305="","",$F$8*COS(B1305) + $B$7*COS($F$6*B1305))</x:f>
      </x:c>
      <x:c r="D1305" s="14">
        <x:f>IF(B1305="","",$F$8*SIN(B1305) - $B$7*SIN($F$6*B1305))</x:f>
      </x:c>
      <x:c r="E1305" s="14">
        <x:f>IF(B1305="","", C1305 + $F$12*$F$9*(-H1305)/IF(SQRT(G1305^2+H1305^2)=0,1,SQRT(G1305^2+H1305^2)))</x:f>
      </x:c>
      <x:c r="F1305" s="14">
        <x:f>IF(B1305="","", D1305 + $F$12*$F$9*(G1305)/IF(SQRT(G1305^2+H1305^2)=0,1,SQRT(G1305^2+H1305^2)))</x:f>
      </x:c>
      <x:c r="G1305" s="14">
        <x:f>IF(B1305="","", -$F$8*SIN(B1305) - $B$7*$F$6*SIN($F$6*B1305))</x:f>
      </x:c>
      <x:c r="H1305" s="14">
        <x:f>IF(B1305="","", $F$8*COS(B1305) - $B$7*$F$6*COS($F$6*B1305))</x:f>
      </x:c>
    </x:row>
    <x:row r="1306">
      <x:c r="A1306" s="13" t="n">
        <x:v>1287</x:v>
      </x:c>
      <x:c r="B1306" s="14">
        <x:f>IF($B$12&lt;1287,"",$B$13+(1287-1)*($B$14-$B$13)/($B$12-1))</x:f>
      </x:c>
      <x:c r="C1306" s="14">
        <x:f>IF(B1306="","",$F$8*COS(B1306) + $B$7*COS($F$6*B1306))</x:f>
      </x:c>
      <x:c r="D1306" s="14">
        <x:f>IF(B1306="","",$F$8*SIN(B1306) - $B$7*SIN($F$6*B1306))</x:f>
      </x:c>
      <x:c r="E1306" s="14">
        <x:f>IF(B1306="","", C1306 + $F$12*$F$9*(-H1306)/IF(SQRT(G1306^2+H1306^2)=0,1,SQRT(G1306^2+H1306^2)))</x:f>
      </x:c>
      <x:c r="F1306" s="14">
        <x:f>IF(B1306="","", D1306 + $F$12*$F$9*(G1306)/IF(SQRT(G1306^2+H1306^2)=0,1,SQRT(G1306^2+H1306^2)))</x:f>
      </x:c>
      <x:c r="G1306" s="14">
        <x:f>IF(B1306="","", -$F$8*SIN(B1306) - $B$7*$F$6*SIN($F$6*B1306))</x:f>
      </x:c>
      <x:c r="H1306" s="14">
        <x:f>IF(B1306="","", $F$8*COS(B1306) - $B$7*$F$6*COS($F$6*B1306))</x:f>
      </x:c>
    </x:row>
    <x:row r="1307">
      <x:c r="A1307" s="13" t="n">
        <x:v>1288</x:v>
      </x:c>
      <x:c r="B1307" s="14">
        <x:f>IF($B$12&lt;1288,"",$B$13+(1288-1)*($B$14-$B$13)/($B$12-1))</x:f>
      </x:c>
      <x:c r="C1307" s="14">
        <x:f>IF(B1307="","",$F$8*COS(B1307) + $B$7*COS($F$6*B1307))</x:f>
      </x:c>
      <x:c r="D1307" s="14">
        <x:f>IF(B1307="","",$F$8*SIN(B1307) - $B$7*SIN($F$6*B1307))</x:f>
      </x:c>
      <x:c r="E1307" s="14">
        <x:f>IF(B1307="","", C1307 + $F$12*$F$9*(-H1307)/IF(SQRT(G1307^2+H1307^2)=0,1,SQRT(G1307^2+H1307^2)))</x:f>
      </x:c>
      <x:c r="F1307" s="14">
        <x:f>IF(B1307="","", D1307 + $F$12*$F$9*(G1307)/IF(SQRT(G1307^2+H1307^2)=0,1,SQRT(G1307^2+H1307^2)))</x:f>
      </x:c>
      <x:c r="G1307" s="14">
        <x:f>IF(B1307="","", -$F$8*SIN(B1307) - $B$7*$F$6*SIN($F$6*B1307))</x:f>
      </x:c>
      <x:c r="H1307" s="14">
        <x:f>IF(B1307="","", $F$8*COS(B1307) - $B$7*$F$6*COS($F$6*B1307))</x:f>
      </x:c>
    </x:row>
    <x:row r="1308">
      <x:c r="A1308" s="13" t="n">
        <x:v>1289</x:v>
      </x:c>
      <x:c r="B1308" s="14">
        <x:f>IF($B$12&lt;1289,"",$B$13+(1289-1)*($B$14-$B$13)/($B$12-1))</x:f>
      </x:c>
      <x:c r="C1308" s="14">
        <x:f>IF(B1308="","",$F$8*COS(B1308) + $B$7*COS($F$6*B1308))</x:f>
      </x:c>
      <x:c r="D1308" s="14">
        <x:f>IF(B1308="","",$F$8*SIN(B1308) - $B$7*SIN($F$6*B1308))</x:f>
      </x:c>
      <x:c r="E1308" s="14">
        <x:f>IF(B1308="","", C1308 + $F$12*$F$9*(-H1308)/IF(SQRT(G1308^2+H1308^2)=0,1,SQRT(G1308^2+H1308^2)))</x:f>
      </x:c>
      <x:c r="F1308" s="14">
        <x:f>IF(B1308="","", D1308 + $F$12*$F$9*(G1308)/IF(SQRT(G1308^2+H1308^2)=0,1,SQRT(G1308^2+H1308^2)))</x:f>
      </x:c>
      <x:c r="G1308" s="14">
        <x:f>IF(B1308="","", -$F$8*SIN(B1308) - $B$7*$F$6*SIN($F$6*B1308))</x:f>
      </x:c>
      <x:c r="H1308" s="14">
        <x:f>IF(B1308="","", $F$8*COS(B1308) - $B$7*$F$6*COS($F$6*B1308))</x:f>
      </x:c>
    </x:row>
    <x:row r="1309">
      <x:c r="A1309" s="13" t="n">
        <x:v>1290</x:v>
      </x:c>
      <x:c r="B1309" s="14">
        <x:f>IF($B$12&lt;1290,"",$B$13+(1290-1)*($B$14-$B$13)/($B$12-1))</x:f>
      </x:c>
      <x:c r="C1309" s="14">
        <x:f>IF(B1309="","",$F$8*COS(B1309) + $B$7*COS($F$6*B1309))</x:f>
      </x:c>
      <x:c r="D1309" s="14">
        <x:f>IF(B1309="","",$F$8*SIN(B1309) - $B$7*SIN($F$6*B1309))</x:f>
      </x:c>
      <x:c r="E1309" s="14">
        <x:f>IF(B1309="","", C1309 + $F$12*$F$9*(-H1309)/IF(SQRT(G1309^2+H1309^2)=0,1,SQRT(G1309^2+H1309^2)))</x:f>
      </x:c>
      <x:c r="F1309" s="14">
        <x:f>IF(B1309="","", D1309 + $F$12*$F$9*(G1309)/IF(SQRT(G1309^2+H1309^2)=0,1,SQRT(G1309^2+H1309^2)))</x:f>
      </x:c>
      <x:c r="G1309" s="14">
        <x:f>IF(B1309="","", -$F$8*SIN(B1309) - $B$7*$F$6*SIN($F$6*B1309))</x:f>
      </x:c>
      <x:c r="H1309" s="14">
        <x:f>IF(B1309="","", $F$8*COS(B1309) - $B$7*$F$6*COS($F$6*B1309))</x:f>
      </x:c>
    </x:row>
    <x:row r="1310">
      <x:c r="A1310" s="13" t="n">
        <x:v>1291</x:v>
      </x:c>
      <x:c r="B1310" s="14">
        <x:f>IF($B$12&lt;1291,"",$B$13+(1291-1)*($B$14-$B$13)/($B$12-1))</x:f>
      </x:c>
      <x:c r="C1310" s="14">
        <x:f>IF(B1310="","",$F$8*COS(B1310) + $B$7*COS($F$6*B1310))</x:f>
      </x:c>
      <x:c r="D1310" s="14">
        <x:f>IF(B1310="","",$F$8*SIN(B1310) - $B$7*SIN($F$6*B1310))</x:f>
      </x:c>
      <x:c r="E1310" s="14">
        <x:f>IF(B1310="","", C1310 + $F$12*$F$9*(-H1310)/IF(SQRT(G1310^2+H1310^2)=0,1,SQRT(G1310^2+H1310^2)))</x:f>
      </x:c>
      <x:c r="F1310" s="14">
        <x:f>IF(B1310="","", D1310 + $F$12*$F$9*(G1310)/IF(SQRT(G1310^2+H1310^2)=0,1,SQRT(G1310^2+H1310^2)))</x:f>
      </x:c>
      <x:c r="G1310" s="14">
        <x:f>IF(B1310="","", -$F$8*SIN(B1310) - $B$7*$F$6*SIN($F$6*B1310))</x:f>
      </x:c>
      <x:c r="H1310" s="14">
        <x:f>IF(B1310="","", $F$8*COS(B1310) - $B$7*$F$6*COS($F$6*B1310))</x:f>
      </x:c>
    </x:row>
    <x:row r="1311">
      <x:c r="A1311" s="13" t="n">
        <x:v>1292</x:v>
      </x:c>
      <x:c r="B1311" s="14">
        <x:f>IF($B$12&lt;1292,"",$B$13+(1292-1)*($B$14-$B$13)/($B$12-1))</x:f>
      </x:c>
      <x:c r="C1311" s="14">
        <x:f>IF(B1311="","",$F$8*COS(B1311) + $B$7*COS($F$6*B1311))</x:f>
      </x:c>
      <x:c r="D1311" s="14">
        <x:f>IF(B1311="","",$F$8*SIN(B1311) - $B$7*SIN($F$6*B1311))</x:f>
      </x:c>
      <x:c r="E1311" s="14">
        <x:f>IF(B1311="","", C1311 + $F$12*$F$9*(-H1311)/IF(SQRT(G1311^2+H1311^2)=0,1,SQRT(G1311^2+H1311^2)))</x:f>
      </x:c>
      <x:c r="F1311" s="14">
        <x:f>IF(B1311="","", D1311 + $F$12*$F$9*(G1311)/IF(SQRT(G1311^2+H1311^2)=0,1,SQRT(G1311^2+H1311^2)))</x:f>
      </x:c>
      <x:c r="G1311" s="14">
        <x:f>IF(B1311="","", -$F$8*SIN(B1311) - $B$7*$F$6*SIN($F$6*B1311))</x:f>
      </x:c>
      <x:c r="H1311" s="14">
        <x:f>IF(B1311="","", $F$8*COS(B1311) - $B$7*$F$6*COS($F$6*B1311))</x:f>
      </x:c>
    </x:row>
    <x:row r="1312">
      <x:c r="A1312" s="13" t="n">
        <x:v>1293</x:v>
      </x:c>
      <x:c r="B1312" s="14">
        <x:f>IF($B$12&lt;1293,"",$B$13+(1293-1)*($B$14-$B$13)/($B$12-1))</x:f>
      </x:c>
      <x:c r="C1312" s="14">
        <x:f>IF(B1312="","",$F$8*COS(B1312) + $B$7*COS($F$6*B1312))</x:f>
      </x:c>
      <x:c r="D1312" s="14">
        <x:f>IF(B1312="","",$F$8*SIN(B1312) - $B$7*SIN($F$6*B1312))</x:f>
      </x:c>
      <x:c r="E1312" s="14">
        <x:f>IF(B1312="","", C1312 + $F$12*$F$9*(-H1312)/IF(SQRT(G1312^2+H1312^2)=0,1,SQRT(G1312^2+H1312^2)))</x:f>
      </x:c>
      <x:c r="F1312" s="14">
        <x:f>IF(B1312="","", D1312 + $F$12*$F$9*(G1312)/IF(SQRT(G1312^2+H1312^2)=0,1,SQRT(G1312^2+H1312^2)))</x:f>
      </x:c>
      <x:c r="G1312" s="14">
        <x:f>IF(B1312="","", -$F$8*SIN(B1312) - $B$7*$F$6*SIN($F$6*B1312))</x:f>
      </x:c>
      <x:c r="H1312" s="14">
        <x:f>IF(B1312="","", $F$8*COS(B1312) - $B$7*$F$6*COS($F$6*B1312))</x:f>
      </x:c>
    </x:row>
    <x:row r="1313">
      <x:c r="A1313" s="13" t="n">
        <x:v>1294</x:v>
      </x:c>
      <x:c r="B1313" s="14">
        <x:f>IF($B$12&lt;1294,"",$B$13+(1294-1)*($B$14-$B$13)/($B$12-1))</x:f>
      </x:c>
      <x:c r="C1313" s="14">
        <x:f>IF(B1313="","",$F$8*COS(B1313) + $B$7*COS($F$6*B1313))</x:f>
      </x:c>
      <x:c r="D1313" s="14">
        <x:f>IF(B1313="","",$F$8*SIN(B1313) - $B$7*SIN($F$6*B1313))</x:f>
      </x:c>
      <x:c r="E1313" s="14">
        <x:f>IF(B1313="","", C1313 + $F$12*$F$9*(-H1313)/IF(SQRT(G1313^2+H1313^2)=0,1,SQRT(G1313^2+H1313^2)))</x:f>
      </x:c>
      <x:c r="F1313" s="14">
        <x:f>IF(B1313="","", D1313 + $F$12*$F$9*(G1313)/IF(SQRT(G1313^2+H1313^2)=0,1,SQRT(G1313^2+H1313^2)))</x:f>
      </x:c>
      <x:c r="G1313" s="14">
        <x:f>IF(B1313="","", -$F$8*SIN(B1313) - $B$7*$F$6*SIN($F$6*B1313))</x:f>
      </x:c>
      <x:c r="H1313" s="14">
        <x:f>IF(B1313="","", $F$8*COS(B1313) - $B$7*$F$6*COS($F$6*B1313))</x:f>
      </x:c>
    </x:row>
    <x:row r="1314">
      <x:c r="A1314" s="13" t="n">
        <x:v>1295</x:v>
      </x:c>
      <x:c r="B1314" s="14">
        <x:f>IF($B$12&lt;1295,"",$B$13+(1295-1)*($B$14-$B$13)/($B$12-1))</x:f>
      </x:c>
      <x:c r="C1314" s="14">
        <x:f>IF(B1314="","",$F$8*COS(B1314) + $B$7*COS($F$6*B1314))</x:f>
      </x:c>
      <x:c r="D1314" s="14">
        <x:f>IF(B1314="","",$F$8*SIN(B1314) - $B$7*SIN($F$6*B1314))</x:f>
      </x:c>
      <x:c r="E1314" s="14">
        <x:f>IF(B1314="","", C1314 + $F$12*$F$9*(-H1314)/IF(SQRT(G1314^2+H1314^2)=0,1,SQRT(G1314^2+H1314^2)))</x:f>
      </x:c>
      <x:c r="F1314" s="14">
        <x:f>IF(B1314="","", D1314 + $F$12*$F$9*(G1314)/IF(SQRT(G1314^2+H1314^2)=0,1,SQRT(G1314^2+H1314^2)))</x:f>
      </x:c>
      <x:c r="G1314" s="14">
        <x:f>IF(B1314="","", -$F$8*SIN(B1314) - $B$7*$F$6*SIN($F$6*B1314))</x:f>
      </x:c>
      <x:c r="H1314" s="14">
        <x:f>IF(B1314="","", $F$8*COS(B1314) - $B$7*$F$6*COS($F$6*B1314))</x:f>
      </x:c>
    </x:row>
    <x:row r="1315">
      <x:c r="A1315" s="13" t="n">
        <x:v>1296</x:v>
      </x:c>
      <x:c r="B1315" s="14">
        <x:f>IF($B$12&lt;1296,"",$B$13+(1296-1)*($B$14-$B$13)/($B$12-1))</x:f>
      </x:c>
      <x:c r="C1315" s="14">
        <x:f>IF(B1315="","",$F$8*COS(B1315) + $B$7*COS($F$6*B1315))</x:f>
      </x:c>
      <x:c r="D1315" s="14">
        <x:f>IF(B1315="","",$F$8*SIN(B1315) - $B$7*SIN($F$6*B1315))</x:f>
      </x:c>
      <x:c r="E1315" s="14">
        <x:f>IF(B1315="","", C1315 + $F$12*$F$9*(-H1315)/IF(SQRT(G1315^2+H1315^2)=0,1,SQRT(G1315^2+H1315^2)))</x:f>
      </x:c>
      <x:c r="F1315" s="14">
        <x:f>IF(B1315="","", D1315 + $F$12*$F$9*(G1315)/IF(SQRT(G1315^2+H1315^2)=0,1,SQRT(G1315^2+H1315^2)))</x:f>
      </x:c>
      <x:c r="G1315" s="14">
        <x:f>IF(B1315="","", -$F$8*SIN(B1315) - $B$7*$F$6*SIN($F$6*B1315))</x:f>
      </x:c>
      <x:c r="H1315" s="14">
        <x:f>IF(B1315="","", $F$8*COS(B1315) - $B$7*$F$6*COS($F$6*B1315))</x:f>
      </x:c>
    </x:row>
    <x:row r="1316">
      <x:c r="A1316" s="13" t="n">
        <x:v>1297</x:v>
      </x:c>
      <x:c r="B1316" s="14">
        <x:f>IF($B$12&lt;1297,"",$B$13+(1297-1)*($B$14-$B$13)/($B$12-1))</x:f>
      </x:c>
      <x:c r="C1316" s="14">
        <x:f>IF(B1316="","",$F$8*COS(B1316) + $B$7*COS($F$6*B1316))</x:f>
      </x:c>
      <x:c r="D1316" s="14">
        <x:f>IF(B1316="","",$F$8*SIN(B1316) - $B$7*SIN($F$6*B1316))</x:f>
      </x:c>
      <x:c r="E1316" s="14">
        <x:f>IF(B1316="","", C1316 + $F$12*$F$9*(-H1316)/IF(SQRT(G1316^2+H1316^2)=0,1,SQRT(G1316^2+H1316^2)))</x:f>
      </x:c>
      <x:c r="F1316" s="14">
        <x:f>IF(B1316="","", D1316 + $F$12*$F$9*(G1316)/IF(SQRT(G1316^2+H1316^2)=0,1,SQRT(G1316^2+H1316^2)))</x:f>
      </x:c>
      <x:c r="G1316" s="14">
        <x:f>IF(B1316="","", -$F$8*SIN(B1316) - $B$7*$F$6*SIN($F$6*B1316))</x:f>
      </x:c>
      <x:c r="H1316" s="14">
        <x:f>IF(B1316="","", $F$8*COS(B1316) - $B$7*$F$6*COS($F$6*B1316))</x:f>
      </x:c>
    </x:row>
    <x:row r="1317">
      <x:c r="A1317" s="13" t="n">
        <x:v>1298</x:v>
      </x:c>
      <x:c r="B1317" s="14">
        <x:f>IF($B$12&lt;1298,"",$B$13+(1298-1)*($B$14-$B$13)/($B$12-1))</x:f>
      </x:c>
      <x:c r="C1317" s="14">
        <x:f>IF(B1317="","",$F$8*COS(B1317) + $B$7*COS($F$6*B1317))</x:f>
      </x:c>
      <x:c r="D1317" s="14">
        <x:f>IF(B1317="","",$F$8*SIN(B1317) - $B$7*SIN($F$6*B1317))</x:f>
      </x:c>
      <x:c r="E1317" s="14">
        <x:f>IF(B1317="","", C1317 + $F$12*$F$9*(-H1317)/IF(SQRT(G1317^2+H1317^2)=0,1,SQRT(G1317^2+H1317^2)))</x:f>
      </x:c>
      <x:c r="F1317" s="14">
        <x:f>IF(B1317="","", D1317 + $F$12*$F$9*(G1317)/IF(SQRT(G1317^2+H1317^2)=0,1,SQRT(G1317^2+H1317^2)))</x:f>
      </x:c>
      <x:c r="G1317" s="14">
        <x:f>IF(B1317="","", -$F$8*SIN(B1317) - $B$7*$F$6*SIN($F$6*B1317))</x:f>
      </x:c>
      <x:c r="H1317" s="14">
        <x:f>IF(B1317="","", $F$8*COS(B1317) - $B$7*$F$6*COS($F$6*B1317))</x:f>
      </x:c>
    </x:row>
    <x:row r="1318">
      <x:c r="A1318" s="13" t="n">
        <x:v>1299</x:v>
      </x:c>
      <x:c r="B1318" s="14">
        <x:f>IF($B$12&lt;1299,"",$B$13+(1299-1)*($B$14-$B$13)/($B$12-1))</x:f>
      </x:c>
      <x:c r="C1318" s="14">
        <x:f>IF(B1318="","",$F$8*COS(B1318) + $B$7*COS($F$6*B1318))</x:f>
      </x:c>
      <x:c r="D1318" s="14">
        <x:f>IF(B1318="","",$F$8*SIN(B1318) - $B$7*SIN($F$6*B1318))</x:f>
      </x:c>
      <x:c r="E1318" s="14">
        <x:f>IF(B1318="","", C1318 + $F$12*$F$9*(-H1318)/IF(SQRT(G1318^2+H1318^2)=0,1,SQRT(G1318^2+H1318^2)))</x:f>
      </x:c>
      <x:c r="F1318" s="14">
        <x:f>IF(B1318="","", D1318 + $F$12*$F$9*(G1318)/IF(SQRT(G1318^2+H1318^2)=0,1,SQRT(G1318^2+H1318^2)))</x:f>
      </x:c>
      <x:c r="G1318" s="14">
        <x:f>IF(B1318="","", -$F$8*SIN(B1318) - $B$7*$F$6*SIN($F$6*B1318))</x:f>
      </x:c>
      <x:c r="H1318" s="14">
        <x:f>IF(B1318="","", $F$8*COS(B1318) - $B$7*$F$6*COS($F$6*B1318))</x:f>
      </x:c>
    </x:row>
    <x:row r="1319">
      <x:c r="A1319" s="13" t="n">
        <x:v>1300</x:v>
      </x:c>
      <x:c r="B1319" s="14">
        <x:f>IF($B$12&lt;1300,"",$B$13+(1300-1)*($B$14-$B$13)/($B$12-1))</x:f>
      </x:c>
      <x:c r="C1319" s="14">
        <x:f>IF(B1319="","",$F$8*COS(B1319) + $B$7*COS($F$6*B1319))</x:f>
      </x:c>
      <x:c r="D1319" s="14">
        <x:f>IF(B1319="","",$F$8*SIN(B1319) - $B$7*SIN($F$6*B1319))</x:f>
      </x:c>
      <x:c r="E1319" s="14">
        <x:f>IF(B1319="","", C1319 + $F$12*$F$9*(-H1319)/IF(SQRT(G1319^2+H1319^2)=0,1,SQRT(G1319^2+H1319^2)))</x:f>
      </x:c>
      <x:c r="F1319" s="14">
        <x:f>IF(B1319="","", D1319 + $F$12*$F$9*(G1319)/IF(SQRT(G1319^2+H1319^2)=0,1,SQRT(G1319^2+H1319^2)))</x:f>
      </x:c>
      <x:c r="G1319" s="14">
        <x:f>IF(B1319="","", -$F$8*SIN(B1319) - $B$7*$F$6*SIN($F$6*B1319))</x:f>
      </x:c>
      <x:c r="H1319" s="14">
        <x:f>IF(B1319="","", $F$8*COS(B1319) - $B$7*$F$6*COS($F$6*B1319))</x:f>
      </x:c>
    </x:row>
    <x:row r="1320">
      <x:c r="A1320" s="13" t="n">
        <x:v>1301</x:v>
      </x:c>
      <x:c r="B1320" s="14">
        <x:f>IF($B$12&lt;1301,"",$B$13+(1301-1)*($B$14-$B$13)/($B$12-1))</x:f>
      </x:c>
      <x:c r="C1320" s="14">
        <x:f>IF(B1320="","",$F$8*COS(B1320) + $B$7*COS($F$6*B1320))</x:f>
      </x:c>
      <x:c r="D1320" s="14">
        <x:f>IF(B1320="","",$F$8*SIN(B1320) - $B$7*SIN($F$6*B1320))</x:f>
      </x:c>
      <x:c r="E1320" s="14">
        <x:f>IF(B1320="","", C1320 + $F$12*$F$9*(-H1320)/IF(SQRT(G1320^2+H1320^2)=0,1,SQRT(G1320^2+H1320^2)))</x:f>
      </x:c>
      <x:c r="F1320" s="14">
        <x:f>IF(B1320="","", D1320 + $F$12*$F$9*(G1320)/IF(SQRT(G1320^2+H1320^2)=0,1,SQRT(G1320^2+H1320^2)))</x:f>
      </x:c>
      <x:c r="G1320" s="14">
        <x:f>IF(B1320="","", -$F$8*SIN(B1320) - $B$7*$F$6*SIN($F$6*B1320))</x:f>
      </x:c>
      <x:c r="H1320" s="14">
        <x:f>IF(B1320="","", $F$8*COS(B1320) - $B$7*$F$6*COS($F$6*B1320))</x:f>
      </x:c>
    </x:row>
    <x:row r="1321">
      <x:c r="A1321" s="13" t="n">
        <x:v>1302</x:v>
      </x:c>
      <x:c r="B1321" s="14">
        <x:f>IF($B$12&lt;1302,"",$B$13+(1302-1)*($B$14-$B$13)/($B$12-1))</x:f>
      </x:c>
      <x:c r="C1321" s="14">
        <x:f>IF(B1321="","",$F$8*COS(B1321) + $B$7*COS($F$6*B1321))</x:f>
      </x:c>
      <x:c r="D1321" s="14">
        <x:f>IF(B1321="","",$F$8*SIN(B1321) - $B$7*SIN($F$6*B1321))</x:f>
      </x:c>
      <x:c r="E1321" s="14">
        <x:f>IF(B1321="","", C1321 + $F$12*$F$9*(-H1321)/IF(SQRT(G1321^2+H1321^2)=0,1,SQRT(G1321^2+H1321^2)))</x:f>
      </x:c>
      <x:c r="F1321" s="14">
        <x:f>IF(B1321="","", D1321 + $F$12*$F$9*(G1321)/IF(SQRT(G1321^2+H1321^2)=0,1,SQRT(G1321^2+H1321^2)))</x:f>
      </x:c>
      <x:c r="G1321" s="14">
        <x:f>IF(B1321="","", -$F$8*SIN(B1321) - $B$7*$F$6*SIN($F$6*B1321))</x:f>
      </x:c>
      <x:c r="H1321" s="14">
        <x:f>IF(B1321="","", $F$8*COS(B1321) - $B$7*$F$6*COS($F$6*B1321))</x:f>
      </x:c>
    </x:row>
    <x:row r="1322">
      <x:c r="A1322" s="13" t="n">
        <x:v>1303</x:v>
      </x:c>
      <x:c r="B1322" s="14">
        <x:f>IF($B$12&lt;1303,"",$B$13+(1303-1)*($B$14-$B$13)/($B$12-1))</x:f>
      </x:c>
      <x:c r="C1322" s="14">
        <x:f>IF(B1322="","",$F$8*COS(B1322) + $B$7*COS($F$6*B1322))</x:f>
      </x:c>
      <x:c r="D1322" s="14">
        <x:f>IF(B1322="","",$F$8*SIN(B1322) - $B$7*SIN($F$6*B1322))</x:f>
      </x:c>
      <x:c r="E1322" s="14">
        <x:f>IF(B1322="","", C1322 + $F$12*$F$9*(-H1322)/IF(SQRT(G1322^2+H1322^2)=0,1,SQRT(G1322^2+H1322^2)))</x:f>
      </x:c>
      <x:c r="F1322" s="14">
        <x:f>IF(B1322="","", D1322 + $F$12*$F$9*(G1322)/IF(SQRT(G1322^2+H1322^2)=0,1,SQRT(G1322^2+H1322^2)))</x:f>
      </x:c>
      <x:c r="G1322" s="14">
        <x:f>IF(B1322="","", -$F$8*SIN(B1322) - $B$7*$F$6*SIN($F$6*B1322))</x:f>
      </x:c>
      <x:c r="H1322" s="14">
        <x:f>IF(B1322="","", $F$8*COS(B1322) - $B$7*$F$6*COS($F$6*B1322))</x:f>
      </x:c>
    </x:row>
    <x:row r="1323">
      <x:c r="A1323" s="13" t="n">
        <x:v>1304</x:v>
      </x:c>
      <x:c r="B1323" s="14">
        <x:f>IF($B$12&lt;1304,"",$B$13+(1304-1)*($B$14-$B$13)/($B$12-1))</x:f>
      </x:c>
      <x:c r="C1323" s="14">
        <x:f>IF(B1323="","",$F$8*COS(B1323) + $B$7*COS($F$6*B1323))</x:f>
      </x:c>
      <x:c r="D1323" s="14">
        <x:f>IF(B1323="","",$F$8*SIN(B1323) - $B$7*SIN($F$6*B1323))</x:f>
      </x:c>
      <x:c r="E1323" s="14">
        <x:f>IF(B1323="","", C1323 + $F$12*$F$9*(-H1323)/IF(SQRT(G1323^2+H1323^2)=0,1,SQRT(G1323^2+H1323^2)))</x:f>
      </x:c>
      <x:c r="F1323" s="14">
        <x:f>IF(B1323="","", D1323 + $F$12*$F$9*(G1323)/IF(SQRT(G1323^2+H1323^2)=0,1,SQRT(G1323^2+H1323^2)))</x:f>
      </x:c>
      <x:c r="G1323" s="14">
        <x:f>IF(B1323="","", -$F$8*SIN(B1323) - $B$7*$F$6*SIN($F$6*B1323))</x:f>
      </x:c>
      <x:c r="H1323" s="14">
        <x:f>IF(B1323="","", $F$8*COS(B1323) - $B$7*$F$6*COS($F$6*B1323))</x:f>
      </x:c>
    </x:row>
    <x:row r="1324">
      <x:c r="A1324" s="13" t="n">
        <x:v>1305</x:v>
      </x:c>
      <x:c r="B1324" s="14">
        <x:f>IF($B$12&lt;1305,"",$B$13+(1305-1)*($B$14-$B$13)/($B$12-1))</x:f>
      </x:c>
      <x:c r="C1324" s="14">
        <x:f>IF(B1324="","",$F$8*COS(B1324) + $B$7*COS($F$6*B1324))</x:f>
      </x:c>
      <x:c r="D1324" s="14">
        <x:f>IF(B1324="","",$F$8*SIN(B1324) - $B$7*SIN($F$6*B1324))</x:f>
      </x:c>
      <x:c r="E1324" s="14">
        <x:f>IF(B1324="","", C1324 + $F$12*$F$9*(-H1324)/IF(SQRT(G1324^2+H1324^2)=0,1,SQRT(G1324^2+H1324^2)))</x:f>
      </x:c>
      <x:c r="F1324" s="14">
        <x:f>IF(B1324="","", D1324 + $F$12*$F$9*(G1324)/IF(SQRT(G1324^2+H1324^2)=0,1,SQRT(G1324^2+H1324^2)))</x:f>
      </x:c>
      <x:c r="G1324" s="14">
        <x:f>IF(B1324="","", -$F$8*SIN(B1324) - $B$7*$F$6*SIN($F$6*B1324))</x:f>
      </x:c>
      <x:c r="H1324" s="14">
        <x:f>IF(B1324="","", $F$8*COS(B1324) - $B$7*$F$6*COS($F$6*B1324))</x:f>
      </x:c>
    </x:row>
    <x:row r="1325">
      <x:c r="A1325" s="13" t="n">
        <x:v>1306</x:v>
      </x:c>
      <x:c r="B1325" s="14">
        <x:f>IF($B$12&lt;1306,"",$B$13+(1306-1)*($B$14-$B$13)/($B$12-1))</x:f>
      </x:c>
      <x:c r="C1325" s="14">
        <x:f>IF(B1325="","",$F$8*COS(B1325) + $B$7*COS($F$6*B1325))</x:f>
      </x:c>
      <x:c r="D1325" s="14">
        <x:f>IF(B1325="","",$F$8*SIN(B1325) - $B$7*SIN($F$6*B1325))</x:f>
      </x:c>
      <x:c r="E1325" s="14">
        <x:f>IF(B1325="","", C1325 + $F$12*$F$9*(-H1325)/IF(SQRT(G1325^2+H1325^2)=0,1,SQRT(G1325^2+H1325^2)))</x:f>
      </x:c>
      <x:c r="F1325" s="14">
        <x:f>IF(B1325="","", D1325 + $F$12*$F$9*(G1325)/IF(SQRT(G1325^2+H1325^2)=0,1,SQRT(G1325^2+H1325^2)))</x:f>
      </x:c>
      <x:c r="G1325" s="14">
        <x:f>IF(B1325="","", -$F$8*SIN(B1325) - $B$7*$F$6*SIN($F$6*B1325))</x:f>
      </x:c>
      <x:c r="H1325" s="14">
        <x:f>IF(B1325="","", $F$8*COS(B1325) - $B$7*$F$6*COS($F$6*B1325))</x:f>
      </x:c>
    </x:row>
    <x:row r="1326">
      <x:c r="A1326" s="13" t="n">
        <x:v>1307</x:v>
      </x:c>
      <x:c r="B1326" s="14">
        <x:f>IF($B$12&lt;1307,"",$B$13+(1307-1)*($B$14-$B$13)/($B$12-1))</x:f>
      </x:c>
      <x:c r="C1326" s="14">
        <x:f>IF(B1326="","",$F$8*COS(B1326) + $B$7*COS($F$6*B1326))</x:f>
      </x:c>
      <x:c r="D1326" s="14">
        <x:f>IF(B1326="","",$F$8*SIN(B1326) - $B$7*SIN($F$6*B1326))</x:f>
      </x:c>
      <x:c r="E1326" s="14">
        <x:f>IF(B1326="","", C1326 + $F$12*$F$9*(-H1326)/IF(SQRT(G1326^2+H1326^2)=0,1,SQRT(G1326^2+H1326^2)))</x:f>
      </x:c>
      <x:c r="F1326" s="14">
        <x:f>IF(B1326="","", D1326 + $F$12*$F$9*(G1326)/IF(SQRT(G1326^2+H1326^2)=0,1,SQRT(G1326^2+H1326^2)))</x:f>
      </x:c>
      <x:c r="G1326" s="14">
        <x:f>IF(B1326="","", -$F$8*SIN(B1326) - $B$7*$F$6*SIN($F$6*B1326))</x:f>
      </x:c>
      <x:c r="H1326" s="14">
        <x:f>IF(B1326="","", $F$8*COS(B1326) - $B$7*$F$6*COS($F$6*B1326))</x:f>
      </x:c>
    </x:row>
    <x:row r="1327">
      <x:c r="A1327" s="13" t="n">
        <x:v>1308</x:v>
      </x:c>
      <x:c r="B1327" s="14">
        <x:f>IF($B$12&lt;1308,"",$B$13+(1308-1)*($B$14-$B$13)/($B$12-1))</x:f>
      </x:c>
      <x:c r="C1327" s="14">
        <x:f>IF(B1327="","",$F$8*COS(B1327) + $B$7*COS($F$6*B1327))</x:f>
      </x:c>
      <x:c r="D1327" s="14">
        <x:f>IF(B1327="","",$F$8*SIN(B1327) - $B$7*SIN($F$6*B1327))</x:f>
      </x:c>
      <x:c r="E1327" s="14">
        <x:f>IF(B1327="","", C1327 + $F$12*$F$9*(-H1327)/IF(SQRT(G1327^2+H1327^2)=0,1,SQRT(G1327^2+H1327^2)))</x:f>
      </x:c>
      <x:c r="F1327" s="14">
        <x:f>IF(B1327="","", D1327 + $F$12*$F$9*(G1327)/IF(SQRT(G1327^2+H1327^2)=0,1,SQRT(G1327^2+H1327^2)))</x:f>
      </x:c>
      <x:c r="G1327" s="14">
        <x:f>IF(B1327="","", -$F$8*SIN(B1327) - $B$7*$F$6*SIN($F$6*B1327))</x:f>
      </x:c>
      <x:c r="H1327" s="14">
        <x:f>IF(B1327="","", $F$8*COS(B1327) - $B$7*$F$6*COS($F$6*B1327))</x:f>
      </x:c>
    </x:row>
    <x:row r="1328">
      <x:c r="A1328" s="13" t="n">
        <x:v>1309</x:v>
      </x:c>
      <x:c r="B1328" s="14">
        <x:f>IF($B$12&lt;1309,"",$B$13+(1309-1)*($B$14-$B$13)/($B$12-1))</x:f>
      </x:c>
      <x:c r="C1328" s="14">
        <x:f>IF(B1328="","",$F$8*COS(B1328) + $B$7*COS($F$6*B1328))</x:f>
      </x:c>
      <x:c r="D1328" s="14">
        <x:f>IF(B1328="","",$F$8*SIN(B1328) - $B$7*SIN($F$6*B1328))</x:f>
      </x:c>
      <x:c r="E1328" s="14">
        <x:f>IF(B1328="","", C1328 + $F$12*$F$9*(-H1328)/IF(SQRT(G1328^2+H1328^2)=0,1,SQRT(G1328^2+H1328^2)))</x:f>
      </x:c>
      <x:c r="F1328" s="14">
        <x:f>IF(B1328="","", D1328 + $F$12*$F$9*(G1328)/IF(SQRT(G1328^2+H1328^2)=0,1,SQRT(G1328^2+H1328^2)))</x:f>
      </x:c>
      <x:c r="G1328" s="14">
        <x:f>IF(B1328="","", -$F$8*SIN(B1328) - $B$7*$F$6*SIN($F$6*B1328))</x:f>
      </x:c>
      <x:c r="H1328" s="14">
        <x:f>IF(B1328="","", $F$8*COS(B1328) - $B$7*$F$6*COS($F$6*B1328))</x:f>
      </x:c>
    </x:row>
    <x:row r="1329">
      <x:c r="A1329" s="13" t="n">
        <x:v>1310</x:v>
      </x:c>
      <x:c r="B1329" s="14">
        <x:f>IF($B$12&lt;1310,"",$B$13+(1310-1)*($B$14-$B$13)/($B$12-1))</x:f>
      </x:c>
      <x:c r="C1329" s="14">
        <x:f>IF(B1329="","",$F$8*COS(B1329) + $B$7*COS($F$6*B1329))</x:f>
      </x:c>
      <x:c r="D1329" s="14">
        <x:f>IF(B1329="","",$F$8*SIN(B1329) - $B$7*SIN($F$6*B1329))</x:f>
      </x:c>
      <x:c r="E1329" s="14">
        <x:f>IF(B1329="","", C1329 + $F$12*$F$9*(-H1329)/IF(SQRT(G1329^2+H1329^2)=0,1,SQRT(G1329^2+H1329^2)))</x:f>
      </x:c>
      <x:c r="F1329" s="14">
        <x:f>IF(B1329="","", D1329 + $F$12*$F$9*(G1329)/IF(SQRT(G1329^2+H1329^2)=0,1,SQRT(G1329^2+H1329^2)))</x:f>
      </x:c>
      <x:c r="G1329" s="14">
        <x:f>IF(B1329="","", -$F$8*SIN(B1329) - $B$7*$F$6*SIN($F$6*B1329))</x:f>
      </x:c>
      <x:c r="H1329" s="14">
        <x:f>IF(B1329="","", $F$8*COS(B1329) - $B$7*$F$6*COS($F$6*B1329))</x:f>
      </x:c>
    </x:row>
    <x:row r="1330">
      <x:c r="A1330" s="13" t="n">
        <x:v>1311</x:v>
      </x:c>
      <x:c r="B1330" s="14">
        <x:f>IF($B$12&lt;1311,"",$B$13+(1311-1)*($B$14-$B$13)/($B$12-1))</x:f>
      </x:c>
      <x:c r="C1330" s="14">
        <x:f>IF(B1330="","",$F$8*COS(B1330) + $B$7*COS($F$6*B1330))</x:f>
      </x:c>
      <x:c r="D1330" s="14">
        <x:f>IF(B1330="","",$F$8*SIN(B1330) - $B$7*SIN($F$6*B1330))</x:f>
      </x:c>
      <x:c r="E1330" s="14">
        <x:f>IF(B1330="","", C1330 + $F$12*$F$9*(-H1330)/IF(SQRT(G1330^2+H1330^2)=0,1,SQRT(G1330^2+H1330^2)))</x:f>
      </x:c>
      <x:c r="F1330" s="14">
        <x:f>IF(B1330="","", D1330 + $F$12*$F$9*(G1330)/IF(SQRT(G1330^2+H1330^2)=0,1,SQRT(G1330^2+H1330^2)))</x:f>
      </x:c>
      <x:c r="G1330" s="14">
        <x:f>IF(B1330="","", -$F$8*SIN(B1330) - $B$7*$F$6*SIN($F$6*B1330))</x:f>
      </x:c>
      <x:c r="H1330" s="14">
        <x:f>IF(B1330="","", $F$8*COS(B1330) - $B$7*$F$6*COS($F$6*B1330))</x:f>
      </x:c>
    </x:row>
    <x:row r="1331">
      <x:c r="A1331" s="13" t="n">
        <x:v>1312</x:v>
      </x:c>
      <x:c r="B1331" s="14">
        <x:f>IF($B$12&lt;1312,"",$B$13+(1312-1)*($B$14-$B$13)/($B$12-1))</x:f>
      </x:c>
      <x:c r="C1331" s="14">
        <x:f>IF(B1331="","",$F$8*COS(B1331) + $B$7*COS($F$6*B1331))</x:f>
      </x:c>
      <x:c r="D1331" s="14">
        <x:f>IF(B1331="","",$F$8*SIN(B1331) - $B$7*SIN($F$6*B1331))</x:f>
      </x:c>
      <x:c r="E1331" s="14">
        <x:f>IF(B1331="","", C1331 + $F$12*$F$9*(-H1331)/IF(SQRT(G1331^2+H1331^2)=0,1,SQRT(G1331^2+H1331^2)))</x:f>
      </x:c>
      <x:c r="F1331" s="14">
        <x:f>IF(B1331="","", D1331 + $F$12*$F$9*(G1331)/IF(SQRT(G1331^2+H1331^2)=0,1,SQRT(G1331^2+H1331^2)))</x:f>
      </x:c>
      <x:c r="G1331" s="14">
        <x:f>IF(B1331="","", -$F$8*SIN(B1331) - $B$7*$F$6*SIN($F$6*B1331))</x:f>
      </x:c>
      <x:c r="H1331" s="14">
        <x:f>IF(B1331="","", $F$8*COS(B1331) - $B$7*$F$6*COS($F$6*B1331))</x:f>
      </x:c>
    </x:row>
    <x:row r="1332">
      <x:c r="A1332" s="13" t="n">
        <x:v>1313</x:v>
      </x:c>
      <x:c r="B1332" s="14">
        <x:f>IF($B$12&lt;1313,"",$B$13+(1313-1)*($B$14-$B$13)/($B$12-1))</x:f>
      </x:c>
      <x:c r="C1332" s="14">
        <x:f>IF(B1332="","",$F$8*COS(B1332) + $B$7*COS($F$6*B1332))</x:f>
      </x:c>
      <x:c r="D1332" s="14">
        <x:f>IF(B1332="","",$F$8*SIN(B1332) - $B$7*SIN($F$6*B1332))</x:f>
      </x:c>
      <x:c r="E1332" s="14">
        <x:f>IF(B1332="","", C1332 + $F$12*$F$9*(-H1332)/IF(SQRT(G1332^2+H1332^2)=0,1,SQRT(G1332^2+H1332^2)))</x:f>
      </x:c>
      <x:c r="F1332" s="14">
        <x:f>IF(B1332="","", D1332 + $F$12*$F$9*(G1332)/IF(SQRT(G1332^2+H1332^2)=0,1,SQRT(G1332^2+H1332^2)))</x:f>
      </x:c>
      <x:c r="G1332" s="14">
        <x:f>IF(B1332="","", -$F$8*SIN(B1332) - $B$7*$F$6*SIN($F$6*B1332))</x:f>
      </x:c>
      <x:c r="H1332" s="14">
        <x:f>IF(B1332="","", $F$8*COS(B1332) - $B$7*$F$6*COS($F$6*B1332))</x:f>
      </x:c>
    </x:row>
    <x:row r="1333">
      <x:c r="A1333" s="13" t="n">
        <x:v>1314</x:v>
      </x:c>
      <x:c r="B1333" s="14">
        <x:f>IF($B$12&lt;1314,"",$B$13+(1314-1)*($B$14-$B$13)/($B$12-1))</x:f>
      </x:c>
      <x:c r="C1333" s="14">
        <x:f>IF(B1333="","",$F$8*COS(B1333) + $B$7*COS($F$6*B1333))</x:f>
      </x:c>
      <x:c r="D1333" s="14">
        <x:f>IF(B1333="","",$F$8*SIN(B1333) - $B$7*SIN($F$6*B1333))</x:f>
      </x:c>
      <x:c r="E1333" s="14">
        <x:f>IF(B1333="","", C1333 + $F$12*$F$9*(-H1333)/IF(SQRT(G1333^2+H1333^2)=0,1,SQRT(G1333^2+H1333^2)))</x:f>
      </x:c>
      <x:c r="F1333" s="14">
        <x:f>IF(B1333="","", D1333 + $F$12*$F$9*(G1333)/IF(SQRT(G1333^2+H1333^2)=0,1,SQRT(G1333^2+H1333^2)))</x:f>
      </x:c>
      <x:c r="G1333" s="14">
        <x:f>IF(B1333="","", -$F$8*SIN(B1333) - $B$7*$F$6*SIN($F$6*B1333))</x:f>
      </x:c>
      <x:c r="H1333" s="14">
        <x:f>IF(B1333="","", $F$8*COS(B1333) - $B$7*$F$6*COS($F$6*B1333))</x:f>
      </x:c>
    </x:row>
    <x:row r="1334">
      <x:c r="A1334" s="13" t="n">
        <x:v>1315</x:v>
      </x:c>
      <x:c r="B1334" s="14">
        <x:f>IF($B$12&lt;1315,"",$B$13+(1315-1)*($B$14-$B$13)/($B$12-1))</x:f>
      </x:c>
      <x:c r="C1334" s="14">
        <x:f>IF(B1334="","",$F$8*COS(B1334) + $B$7*COS($F$6*B1334))</x:f>
      </x:c>
      <x:c r="D1334" s="14">
        <x:f>IF(B1334="","",$F$8*SIN(B1334) - $B$7*SIN($F$6*B1334))</x:f>
      </x:c>
      <x:c r="E1334" s="14">
        <x:f>IF(B1334="","", C1334 + $F$12*$F$9*(-H1334)/IF(SQRT(G1334^2+H1334^2)=0,1,SQRT(G1334^2+H1334^2)))</x:f>
      </x:c>
      <x:c r="F1334" s="14">
        <x:f>IF(B1334="","", D1334 + $F$12*$F$9*(G1334)/IF(SQRT(G1334^2+H1334^2)=0,1,SQRT(G1334^2+H1334^2)))</x:f>
      </x:c>
      <x:c r="G1334" s="14">
        <x:f>IF(B1334="","", -$F$8*SIN(B1334) - $B$7*$F$6*SIN($F$6*B1334))</x:f>
      </x:c>
      <x:c r="H1334" s="14">
        <x:f>IF(B1334="","", $F$8*COS(B1334) - $B$7*$F$6*COS($F$6*B1334))</x:f>
      </x:c>
    </x:row>
    <x:row r="1335">
      <x:c r="A1335" s="13" t="n">
        <x:v>1316</x:v>
      </x:c>
      <x:c r="B1335" s="14">
        <x:f>IF($B$12&lt;1316,"",$B$13+(1316-1)*($B$14-$B$13)/($B$12-1))</x:f>
      </x:c>
      <x:c r="C1335" s="14">
        <x:f>IF(B1335="","",$F$8*COS(B1335) + $B$7*COS($F$6*B1335))</x:f>
      </x:c>
      <x:c r="D1335" s="14">
        <x:f>IF(B1335="","",$F$8*SIN(B1335) - $B$7*SIN($F$6*B1335))</x:f>
      </x:c>
      <x:c r="E1335" s="14">
        <x:f>IF(B1335="","", C1335 + $F$12*$F$9*(-H1335)/IF(SQRT(G1335^2+H1335^2)=0,1,SQRT(G1335^2+H1335^2)))</x:f>
      </x:c>
      <x:c r="F1335" s="14">
        <x:f>IF(B1335="","", D1335 + $F$12*$F$9*(G1335)/IF(SQRT(G1335^2+H1335^2)=0,1,SQRT(G1335^2+H1335^2)))</x:f>
      </x:c>
      <x:c r="G1335" s="14">
        <x:f>IF(B1335="","", -$F$8*SIN(B1335) - $B$7*$F$6*SIN($F$6*B1335))</x:f>
      </x:c>
      <x:c r="H1335" s="14">
        <x:f>IF(B1335="","", $F$8*COS(B1335) - $B$7*$F$6*COS($F$6*B1335))</x:f>
      </x:c>
    </x:row>
    <x:row r="1336">
      <x:c r="A1336" s="13" t="n">
        <x:v>1317</x:v>
      </x:c>
      <x:c r="B1336" s="14">
        <x:f>IF($B$12&lt;1317,"",$B$13+(1317-1)*($B$14-$B$13)/($B$12-1))</x:f>
      </x:c>
      <x:c r="C1336" s="14">
        <x:f>IF(B1336="","",$F$8*COS(B1336) + $B$7*COS($F$6*B1336))</x:f>
      </x:c>
      <x:c r="D1336" s="14">
        <x:f>IF(B1336="","",$F$8*SIN(B1336) - $B$7*SIN($F$6*B1336))</x:f>
      </x:c>
      <x:c r="E1336" s="14">
        <x:f>IF(B1336="","", C1336 + $F$12*$F$9*(-H1336)/IF(SQRT(G1336^2+H1336^2)=0,1,SQRT(G1336^2+H1336^2)))</x:f>
      </x:c>
      <x:c r="F1336" s="14">
        <x:f>IF(B1336="","", D1336 + $F$12*$F$9*(G1336)/IF(SQRT(G1336^2+H1336^2)=0,1,SQRT(G1336^2+H1336^2)))</x:f>
      </x:c>
      <x:c r="G1336" s="14">
        <x:f>IF(B1336="","", -$F$8*SIN(B1336) - $B$7*$F$6*SIN($F$6*B1336))</x:f>
      </x:c>
      <x:c r="H1336" s="14">
        <x:f>IF(B1336="","", $F$8*COS(B1336) - $B$7*$F$6*COS($F$6*B1336))</x:f>
      </x:c>
    </x:row>
    <x:row r="1337">
      <x:c r="A1337" s="13" t="n">
        <x:v>1318</x:v>
      </x:c>
      <x:c r="B1337" s="14">
        <x:f>IF($B$12&lt;1318,"",$B$13+(1318-1)*($B$14-$B$13)/($B$12-1))</x:f>
      </x:c>
      <x:c r="C1337" s="14">
        <x:f>IF(B1337="","",$F$8*COS(B1337) + $B$7*COS($F$6*B1337))</x:f>
      </x:c>
      <x:c r="D1337" s="14">
        <x:f>IF(B1337="","",$F$8*SIN(B1337) - $B$7*SIN($F$6*B1337))</x:f>
      </x:c>
      <x:c r="E1337" s="14">
        <x:f>IF(B1337="","", C1337 + $F$12*$F$9*(-H1337)/IF(SQRT(G1337^2+H1337^2)=0,1,SQRT(G1337^2+H1337^2)))</x:f>
      </x:c>
      <x:c r="F1337" s="14">
        <x:f>IF(B1337="","", D1337 + $F$12*$F$9*(G1337)/IF(SQRT(G1337^2+H1337^2)=0,1,SQRT(G1337^2+H1337^2)))</x:f>
      </x:c>
      <x:c r="G1337" s="14">
        <x:f>IF(B1337="","", -$F$8*SIN(B1337) - $B$7*$F$6*SIN($F$6*B1337))</x:f>
      </x:c>
      <x:c r="H1337" s="14">
        <x:f>IF(B1337="","", $F$8*COS(B1337) - $B$7*$F$6*COS($F$6*B1337))</x:f>
      </x:c>
    </x:row>
    <x:row r="1338">
      <x:c r="A1338" s="13" t="n">
        <x:v>1319</x:v>
      </x:c>
      <x:c r="B1338" s="14">
        <x:f>IF($B$12&lt;1319,"",$B$13+(1319-1)*($B$14-$B$13)/($B$12-1))</x:f>
      </x:c>
      <x:c r="C1338" s="14">
        <x:f>IF(B1338="","",$F$8*COS(B1338) + $B$7*COS($F$6*B1338))</x:f>
      </x:c>
      <x:c r="D1338" s="14">
        <x:f>IF(B1338="","",$F$8*SIN(B1338) - $B$7*SIN($F$6*B1338))</x:f>
      </x:c>
      <x:c r="E1338" s="14">
        <x:f>IF(B1338="","", C1338 + $F$12*$F$9*(-H1338)/IF(SQRT(G1338^2+H1338^2)=0,1,SQRT(G1338^2+H1338^2)))</x:f>
      </x:c>
      <x:c r="F1338" s="14">
        <x:f>IF(B1338="","", D1338 + $F$12*$F$9*(G1338)/IF(SQRT(G1338^2+H1338^2)=0,1,SQRT(G1338^2+H1338^2)))</x:f>
      </x:c>
      <x:c r="G1338" s="14">
        <x:f>IF(B1338="","", -$F$8*SIN(B1338) - $B$7*$F$6*SIN($F$6*B1338))</x:f>
      </x:c>
      <x:c r="H1338" s="14">
        <x:f>IF(B1338="","", $F$8*COS(B1338) - $B$7*$F$6*COS($F$6*B1338))</x:f>
      </x:c>
    </x:row>
    <x:row r="1339">
      <x:c r="A1339" s="13" t="n">
        <x:v>1320</x:v>
      </x:c>
      <x:c r="B1339" s="14">
        <x:f>IF($B$12&lt;1320,"",$B$13+(1320-1)*($B$14-$B$13)/($B$12-1))</x:f>
      </x:c>
      <x:c r="C1339" s="14">
        <x:f>IF(B1339="","",$F$8*COS(B1339) + $B$7*COS($F$6*B1339))</x:f>
      </x:c>
      <x:c r="D1339" s="14">
        <x:f>IF(B1339="","",$F$8*SIN(B1339) - $B$7*SIN($F$6*B1339))</x:f>
      </x:c>
      <x:c r="E1339" s="14">
        <x:f>IF(B1339="","", C1339 + $F$12*$F$9*(-H1339)/IF(SQRT(G1339^2+H1339^2)=0,1,SQRT(G1339^2+H1339^2)))</x:f>
      </x:c>
      <x:c r="F1339" s="14">
        <x:f>IF(B1339="","", D1339 + $F$12*$F$9*(G1339)/IF(SQRT(G1339^2+H1339^2)=0,1,SQRT(G1339^2+H1339^2)))</x:f>
      </x:c>
      <x:c r="G1339" s="14">
        <x:f>IF(B1339="","", -$F$8*SIN(B1339) - $B$7*$F$6*SIN($F$6*B1339))</x:f>
      </x:c>
      <x:c r="H1339" s="14">
        <x:f>IF(B1339="","", $F$8*COS(B1339) - $B$7*$F$6*COS($F$6*B1339))</x:f>
      </x:c>
    </x:row>
    <x:row r="1340">
      <x:c r="A1340" s="13" t="n">
        <x:v>1321</x:v>
      </x:c>
      <x:c r="B1340" s="14">
        <x:f>IF($B$12&lt;1321,"",$B$13+(1321-1)*($B$14-$B$13)/($B$12-1))</x:f>
      </x:c>
      <x:c r="C1340" s="14">
        <x:f>IF(B1340="","",$F$8*COS(B1340) + $B$7*COS($F$6*B1340))</x:f>
      </x:c>
      <x:c r="D1340" s="14">
        <x:f>IF(B1340="","",$F$8*SIN(B1340) - $B$7*SIN($F$6*B1340))</x:f>
      </x:c>
      <x:c r="E1340" s="14">
        <x:f>IF(B1340="","", C1340 + $F$12*$F$9*(-H1340)/IF(SQRT(G1340^2+H1340^2)=0,1,SQRT(G1340^2+H1340^2)))</x:f>
      </x:c>
      <x:c r="F1340" s="14">
        <x:f>IF(B1340="","", D1340 + $F$12*$F$9*(G1340)/IF(SQRT(G1340^2+H1340^2)=0,1,SQRT(G1340^2+H1340^2)))</x:f>
      </x:c>
      <x:c r="G1340" s="14">
        <x:f>IF(B1340="","", -$F$8*SIN(B1340) - $B$7*$F$6*SIN($F$6*B1340))</x:f>
      </x:c>
      <x:c r="H1340" s="14">
        <x:f>IF(B1340="","", $F$8*COS(B1340) - $B$7*$F$6*COS($F$6*B1340))</x:f>
      </x:c>
    </x:row>
    <x:row r="1341">
      <x:c r="A1341" s="13" t="n">
        <x:v>1322</x:v>
      </x:c>
      <x:c r="B1341" s="14">
        <x:f>IF($B$12&lt;1322,"",$B$13+(1322-1)*($B$14-$B$13)/($B$12-1))</x:f>
      </x:c>
      <x:c r="C1341" s="14">
        <x:f>IF(B1341="","",$F$8*COS(B1341) + $B$7*COS($F$6*B1341))</x:f>
      </x:c>
      <x:c r="D1341" s="14">
        <x:f>IF(B1341="","",$F$8*SIN(B1341) - $B$7*SIN($F$6*B1341))</x:f>
      </x:c>
      <x:c r="E1341" s="14">
        <x:f>IF(B1341="","", C1341 + $F$12*$F$9*(-H1341)/IF(SQRT(G1341^2+H1341^2)=0,1,SQRT(G1341^2+H1341^2)))</x:f>
      </x:c>
      <x:c r="F1341" s="14">
        <x:f>IF(B1341="","", D1341 + $F$12*$F$9*(G1341)/IF(SQRT(G1341^2+H1341^2)=0,1,SQRT(G1341^2+H1341^2)))</x:f>
      </x:c>
      <x:c r="G1341" s="14">
        <x:f>IF(B1341="","", -$F$8*SIN(B1341) - $B$7*$F$6*SIN($F$6*B1341))</x:f>
      </x:c>
      <x:c r="H1341" s="14">
        <x:f>IF(B1341="","", $F$8*COS(B1341) - $B$7*$F$6*COS($F$6*B1341))</x:f>
      </x:c>
    </x:row>
    <x:row r="1342">
      <x:c r="A1342" s="13" t="n">
        <x:v>1323</x:v>
      </x:c>
      <x:c r="B1342" s="14">
        <x:f>IF($B$12&lt;1323,"",$B$13+(1323-1)*($B$14-$B$13)/($B$12-1))</x:f>
      </x:c>
      <x:c r="C1342" s="14">
        <x:f>IF(B1342="","",$F$8*COS(B1342) + $B$7*COS($F$6*B1342))</x:f>
      </x:c>
      <x:c r="D1342" s="14">
        <x:f>IF(B1342="","",$F$8*SIN(B1342) - $B$7*SIN($F$6*B1342))</x:f>
      </x:c>
      <x:c r="E1342" s="14">
        <x:f>IF(B1342="","", C1342 + $F$12*$F$9*(-H1342)/IF(SQRT(G1342^2+H1342^2)=0,1,SQRT(G1342^2+H1342^2)))</x:f>
      </x:c>
      <x:c r="F1342" s="14">
        <x:f>IF(B1342="","", D1342 + $F$12*$F$9*(G1342)/IF(SQRT(G1342^2+H1342^2)=0,1,SQRT(G1342^2+H1342^2)))</x:f>
      </x:c>
      <x:c r="G1342" s="14">
        <x:f>IF(B1342="","", -$F$8*SIN(B1342) - $B$7*$F$6*SIN($F$6*B1342))</x:f>
      </x:c>
      <x:c r="H1342" s="14">
        <x:f>IF(B1342="","", $F$8*COS(B1342) - $B$7*$F$6*COS($F$6*B1342))</x:f>
      </x:c>
    </x:row>
    <x:row r="1343">
      <x:c r="A1343" s="13" t="n">
        <x:v>1324</x:v>
      </x:c>
      <x:c r="B1343" s="14">
        <x:f>IF($B$12&lt;1324,"",$B$13+(1324-1)*($B$14-$B$13)/($B$12-1))</x:f>
      </x:c>
      <x:c r="C1343" s="14">
        <x:f>IF(B1343="","",$F$8*COS(B1343) + $B$7*COS($F$6*B1343))</x:f>
      </x:c>
      <x:c r="D1343" s="14">
        <x:f>IF(B1343="","",$F$8*SIN(B1343) - $B$7*SIN($F$6*B1343))</x:f>
      </x:c>
      <x:c r="E1343" s="14">
        <x:f>IF(B1343="","", C1343 + $F$12*$F$9*(-H1343)/IF(SQRT(G1343^2+H1343^2)=0,1,SQRT(G1343^2+H1343^2)))</x:f>
      </x:c>
      <x:c r="F1343" s="14">
        <x:f>IF(B1343="","", D1343 + $F$12*$F$9*(G1343)/IF(SQRT(G1343^2+H1343^2)=0,1,SQRT(G1343^2+H1343^2)))</x:f>
      </x:c>
      <x:c r="G1343" s="14">
        <x:f>IF(B1343="","", -$F$8*SIN(B1343) - $B$7*$F$6*SIN($F$6*B1343))</x:f>
      </x:c>
      <x:c r="H1343" s="14">
        <x:f>IF(B1343="","", $F$8*COS(B1343) - $B$7*$F$6*COS($F$6*B1343))</x:f>
      </x:c>
    </x:row>
    <x:row r="1344">
      <x:c r="A1344" s="13" t="n">
        <x:v>1325</x:v>
      </x:c>
      <x:c r="B1344" s="14">
        <x:f>IF($B$12&lt;1325,"",$B$13+(1325-1)*($B$14-$B$13)/($B$12-1))</x:f>
      </x:c>
      <x:c r="C1344" s="14">
        <x:f>IF(B1344="","",$F$8*COS(B1344) + $B$7*COS($F$6*B1344))</x:f>
      </x:c>
      <x:c r="D1344" s="14">
        <x:f>IF(B1344="","",$F$8*SIN(B1344) - $B$7*SIN($F$6*B1344))</x:f>
      </x:c>
      <x:c r="E1344" s="14">
        <x:f>IF(B1344="","", C1344 + $F$12*$F$9*(-H1344)/IF(SQRT(G1344^2+H1344^2)=0,1,SQRT(G1344^2+H1344^2)))</x:f>
      </x:c>
      <x:c r="F1344" s="14">
        <x:f>IF(B1344="","", D1344 + $F$12*$F$9*(G1344)/IF(SQRT(G1344^2+H1344^2)=0,1,SQRT(G1344^2+H1344^2)))</x:f>
      </x:c>
      <x:c r="G1344" s="14">
        <x:f>IF(B1344="","", -$F$8*SIN(B1344) - $B$7*$F$6*SIN($F$6*B1344))</x:f>
      </x:c>
      <x:c r="H1344" s="14">
        <x:f>IF(B1344="","", $F$8*COS(B1344) - $B$7*$F$6*COS($F$6*B1344))</x:f>
      </x:c>
    </x:row>
    <x:row r="1345">
      <x:c r="A1345" s="13" t="n">
        <x:v>1326</x:v>
      </x:c>
      <x:c r="B1345" s="14">
        <x:f>IF($B$12&lt;1326,"",$B$13+(1326-1)*($B$14-$B$13)/($B$12-1))</x:f>
      </x:c>
      <x:c r="C1345" s="14">
        <x:f>IF(B1345="","",$F$8*COS(B1345) + $B$7*COS($F$6*B1345))</x:f>
      </x:c>
      <x:c r="D1345" s="14">
        <x:f>IF(B1345="","",$F$8*SIN(B1345) - $B$7*SIN($F$6*B1345))</x:f>
      </x:c>
      <x:c r="E1345" s="14">
        <x:f>IF(B1345="","", C1345 + $F$12*$F$9*(-H1345)/IF(SQRT(G1345^2+H1345^2)=0,1,SQRT(G1345^2+H1345^2)))</x:f>
      </x:c>
      <x:c r="F1345" s="14">
        <x:f>IF(B1345="","", D1345 + $F$12*$F$9*(G1345)/IF(SQRT(G1345^2+H1345^2)=0,1,SQRT(G1345^2+H1345^2)))</x:f>
      </x:c>
      <x:c r="G1345" s="14">
        <x:f>IF(B1345="","", -$F$8*SIN(B1345) - $B$7*$F$6*SIN($F$6*B1345))</x:f>
      </x:c>
      <x:c r="H1345" s="14">
        <x:f>IF(B1345="","", $F$8*COS(B1345) - $B$7*$F$6*COS($F$6*B1345))</x:f>
      </x:c>
    </x:row>
    <x:row r="1346">
      <x:c r="A1346" s="13" t="n">
        <x:v>1327</x:v>
      </x:c>
      <x:c r="B1346" s="14">
        <x:f>IF($B$12&lt;1327,"",$B$13+(1327-1)*($B$14-$B$13)/($B$12-1))</x:f>
      </x:c>
      <x:c r="C1346" s="14">
        <x:f>IF(B1346="","",$F$8*COS(B1346) + $B$7*COS($F$6*B1346))</x:f>
      </x:c>
      <x:c r="D1346" s="14">
        <x:f>IF(B1346="","",$F$8*SIN(B1346) - $B$7*SIN($F$6*B1346))</x:f>
      </x:c>
      <x:c r="E1346" s="14">
        <x:f>IF(B1346="","", C1346 + $F$12*$F$9*(-H1346)/IF(SQRT(G1346^2+H1346^2)=0,1,SQRT(G1346^2+H1346^2)))</x:f>
      </x:c>
      <x:c r="F1346" s="14">
        <x:f>IF(B1346="","", D1346 + $F$12*$F$9*(G1346)/IF(SQRT(G1346^2+H1346^2)=0,1,SQRT(G1346^2+H1346^2)))</x:f>
      </x:c>
      <x:c r="G1346" s="14">
        <x:f>IF(B1346="","", -$F$8*SIN(B1346) - $B$7*$F$6*SIN($F$6*B1346))</x:f>
      </x:c>
      <x:c r="H1346" s="14">
        <x:f>IF(B1346="","", $F$8*COS(B1346) - $B$7*$F$6*COS($F$6*B1346))</x:f>
      </x:c>
    </x:row>
    <x:row r="1347">
      <x:c r="A1347" s="13" t="n">
        <x:v>1328</x:v>
      </x:c>
      <x:c r="B1347" s="14">
        <x:f>IF($B$12&lt;1328,"",$B$13+(1328-1)*($B$14-$B$13)/($B$12-1))</x:f>
      </x:c>
      <x:c r="C1347" s="14">
        <x:f>IF(B1347="","",$F$8*COS(B1347) + $B$7*COS($F$6*B1347))</x:f>
      </x:c>
      <x:c r="D1347" s="14">
        <x:f>IF(B1347="","",$F$8*SIN(B1347) - $B$7*SIN($F$6*B1347))</x:f>
      </x:c>
      <x:c r="E1347" s="14">
        <x:f>IF(B1347="","", C1347 + $F$12*$F$9*(-H1347)/IF(SQRT(G1347^2+H1347^2)=0,1,SQRT(G1347^2+H1347^2)))</x:f>
      </x:c>
      <x:c r="F1347" s="14">
        <x:f>IF(B1347="","", D1347 + $F$12*$F$9*(G1347)/IF(SQRT(G1347^2+H1347^2)=0,1,SQRT(G1347^2+H1347^2)))</x:f>
      </x:c>
      <x:c r="G1347" s="14">
        <x:f>IF(B1347="","", -$F$8*SIN(B1347) - $B$7*$F$6*SIN($F$6*B1347))</x:f>
      </x:c>
      <x:c r="H1347" s="14">
        <x:f>IF(B1347="","", $F$8*COS(B1347) - $B$7*$F$6*COS($F$6*B1347))</x:f>
      </x:c>
    </x:row>
    <x:row r="1348">
      <x:c r="A1348" s="13" t="n">
        <x:v>1329</x:v>
      </x:c>
      <x:c r="B1348" s="14">
        <x:f>IF($B$12&lt;1329,"",$B$13+(1329-1)*($B$14-$B$13)/($B$12-1))</x:f>
      </x:c>
      <x:c r="C1348" s="14">
        <x:f>IF(B1348="","",$F$8*COS(B1348) + $B$7*COS($F$6*B1348))</x:f>
      </x:c>
      <x:c r="D1348" s="14">
        <x:f>IF(B1348="","",$F$8*SIN(B1348) - $B$7*SIN($F$6*B1348))</x:f>
      </x:c>
      <x:c r="E1348" s="14">
        <x:f>IF(B1348="","", C1348 + $F$12*$F$9*(-H1348)/IF(SQRT(G1348^2+H1348^2)=0,1,SQRT(G1348^2+H1348^2)))</x:f>
      </x:c>
      <x:c r="F1348" s="14">
        <x:f>IF(B1348="","", D1348 + $F$12*$F$9*(G1348)/IF(SQRT(G1348^2+H1348^2)=0,1,SQRT(G1348^2+H1348^2)))</x:f>
      </x:c>
      <x:c r="G1348" s="14">
        <x:f>IF(B1348="","", -$F$8*SIN(B1348) - $B$7*$F$6*SIN($F$6*B1348))</x:f>
      </x:c>
      <x:c r="H1348" s="14">
        <x:f>IF(B1348="","", $F$8*COS(B1348) - $B$7*$F$6*COS($F$6*B1348))</x:f>
      </x:c>
    </x:row>
    <x:row r="1349">
      <x:c r="A1349" s="13" t="n">
        <x:v>1330</x:v>
      </x:c>
      <x:c r="B1349" s="14">
        <x:f>IF($B$12&lt;1330,"",$B$13+(1330-1)*($B$14-$B$13)/($B$12-1))</x:f>
      </x:c>
      <x:c r="C1349" s="14">
        <x:f>IF(B1349="","",$F$8*COS(B1349) + $B$7*COS($F$6*B1349))</x:f>
      </x:c>
      <x:c r="D1349" s="14">
        <x:f>IF(B1349="","",$F$8*SIN(B1349) - $B$7*SIN($F$6*B1349))</x:f>
      </x:c>
      <x:c r="E1349" s="14">
        <x:f>IF(B1349="","", C1349 + $F$12*$F$9*(-H1349)/IF(SQRT(G1349^2+H1349^2)=0,1,SQRT(G1349^2+H1349^2)))</x:f>
      </x:c>
      <x:c r="F1349" s="14">
        <x:f>IF(B1349="","", D1349 + $F$12*$F$9*(G1349)/IF(SQRT(G1349^2+H1349^2)=0,1,SQRT(G1349^2+H1349^2)))</x:f>
      </x:c>
      <x:c r="G1349" s="14">
        <x:f>IF(B1349="","", -$F$8*SIN(B1349) - $B$7*$F$6*SIN($F$6*B1349))</x:f>
      </x:c>
      <x:c r="H1349" s="14">
        <x:f>IF(B1349="","", $F$8*COS(B1349) - $B$7*$F$6*COS($F$6*B1349))</x:f>
      </x:c>
    </x:row>
    <x:row r="1350">
      <x:c r="A1350" s="13" t="n">
        <x:v>1331</x:v>
      </x:c>
      <x:c r="B1350" s="14">
        <x:f>IF($B$12&lt;1331,"",$B$13+(1331-1)*($B$14-$B$13)/($B$12-1))</x:f>
      </x:c>
      <x:c r="C1350" s="14">
        <x:f>IF(B1350="","",$F$8*COS(B1350) + $B$7*COS($F$6*B1350))</x:f>
      </x:c>
      <x:c r="D1350" s="14">
        <x:f>IF(B1350="","",$F$8*SIN(B1350) - $B$7*SIN($F$6*B1350))</x:f>
      </x:c>
      <x:c r="E1350" s="14">
        <x:f>IF(B1350="","", C1350 + $F$12*$F$9*(-H1350)/IF(SQRT(G1350^2+H1350^2)=0,1,SQRT(G1350^2+H1350^2)))</x:f>
      </x:c>
      <x:c r="F1350" s="14">
        <x:f>IF(B1350="","", D1350 + $F$12*$F$9*(G1350)/IF(SQRT(G1350^2+H1350^2)=0,1,SQRT(G1350^2+H1350^2)))</x:f>
      </x:c>
      <x:c r="G1350" s="14">
        <x:f>IF(B1350="","", -$F$8*SIN(B1350) - $B$7*$F$6*SIN($F$6*B1350))</x:f>
      </x:c>
      <x:c r="H1350" s="14">
        <x:f>IF(B1350="","", $F$8*COS(B1350) - $B$7*$F$6*COS($F$6*B1350))</x:f>
      </x:c>
    </x:row>
    <x:row r="1351">
      <x:c r="A1351" s="13" t="n">
        <x:v>1332</x:v>
      </x:c>
      <x:c r="B1351" s="14">
        <x:f>IF($B$12&lt;1332,"",$B$13+(1332-1)*($B$14-$B$13)/($B$12-1))</x:f>
      </x:c>
      <x:c r="C1351" s="14">
        <x:f>IF(B1351="","",$F$8*COS(B1351) + $B$7*COS($F$6*B1351))</x:f>
      </x:c>
      <x:c r="D1351" s="14">
        <x:f>IF(B1351="","",$F$8*SIN(B1351) - $B$7*SIN($F$6*B1351))</x:f>
      </x:c>
      <x:c r="E1351" s="14">
        <x:f>IF(B1351="","", C1351 + $F$12*$F$9*(-H1351)/IF(SQRT(G1351^2+H1351^2)=0,1,SQRT(G1351^2+H1351^2)))</x:f>
      </x:c>
      <x:c r="F1351" s="14">
        <x:f>IF(B1351="","", D1351 + $F$12*$F$9*(G1351)/IF(SQRT(G1351^2+H1351^2)=0,1,SQRT(G1351^2+H1351^2)))</x:f>
      </x:c>
      <x:c r="G1351" s="14">
        <x:f>IF(B1351="","", -$F$8*SIN(B1351) - $B$7*$F$6*SIN($F$6*B1351))</x:f>
      </x:c>
      <x:c r="H1351" s="14">
        <x:f>IF(B1351="","", $F$8*COS(B1351) - $B$7*$F$6*COS($F$6*B1351))</x:f>
      </x:c>
    </x:row>
    <x:row r="1352">
      <x:c r="A1352" s="13" t="n">
        <x:v>1333</x:v>
      </x:c>
      <x:c r="B1352" s="14">
        <x:f>IF($B$12&lt;1333,"",$B$13+(1333-1)*($B$14-$B$13)/($B$12-1))</x:f>
      </x:c>
      <x:c r="C1352" s="14">
        <x:f>IF(B1352="","",$F$8*COS(B1352) + $B$7*COS($F$6*B1352))</x:f>
      </x:c>
      <x:c r="D1352" s="14">
        <x:f>IF(B1352="","",$F$8*SIN(B1352) - $B$7*SIN($F$6*B1352))</x:f>
      </x:c>
      <x:c r="E1352" s="14">
        <x:f>IF(B1352="","", C1352 + $F$12*$F$9*(-H1352)/IF(SQRT(G1352^2+H1352^2)=0,1,SQRT(G1352^2+H1352^2)))</x:f>
      </x:c>
      <x:c r="F1352" s="14">
        <x:f>IF(B1352="","", D1352 + $F$12*$F$9*(G1352)/IF(SQRT(G1352^2+H1352^2)=0,1,SQRT(G1352^2+H1352^2)))</x:f>
      </x:c>
      <x:c r="G1352" s="14">
        <x:f>IF(B1352="","", -$F$8*SIN(B1352) - $B$7*$F$6*SIN($F$6*B1352))</x:f>
      </x:c>
      <x:c r="H1352" s="14">
        <x:f>IF(B1352="","", $F$8*COS(B1352) - $B$7*$F$6*COS($F$6*B1352))</x:f>
      </x:c>
    </x:row>
    <x:row r="1353">
      <x:c r="A1353" s="13" t="n">
        <x:v>1334</x:v>
      </x:c>
      <x:c r="B1353" s="14">
        <x:f>IF($B$12&lt;1334,"",$B$13+(1334-1)*($B$14-$B$13)/($B$12-1))</x:f>
      </x:c>
      <x:c r="C1353" s="14">
        <x:f>IF(B1353="","",$F$8*COS(B1353) + $B$7*COS($F$6*B1353))</x:f>
      </x:c>
      <x:c r="D1353" s="14">
        <x:f>IF(B1353="","",$F$8*SIN(B1353) - $B$7*SIN($F$6*B1353))</x:f>
      </x:c>
      <x:c r="E1353" s="14">
        <x:f>IF(B1353="","", C1353 + $F$12*$F$9*(-H1353)/IF(SQRT(G1353^2+H1353^2)=0,1,SQRT(G1353^2+H1353^2)))</x:f>
      </x:c>
      <x:c r="F1353" s="14">
        <x:f>IF(B1353="","", D1353 + $F$12*$F$9*(G1353)/IF(SQRT(G1353^2+H1353^2)=0,1,SQRT(G1353^2+H1353^2)))</x:f>
      </x:c>
      <x:c r="G1353" s="14">
        <x:f>IF(B1353="","", -$F$8*SIN(B1353) - $B$7*$F$6*SIN($F$6*B1353))</x:f>
      </x:c>
      <x:c r="H1353" s="14">
        <x:f>IF(B1353="","", $F$8*COS(B1353) - $B$7*$F$6*COS($F$6*B1353))</x:f>
      </x:c>
    </x:row>
    <x:row r="1354">
      <x:c r="A1354" s="13" t="n">
        <x:v>1335</x:v>
      </x:c>
      <x:c r="B1354" s="14">
        <x:f>IF($B$12&lt;1335,"",$B$13+(1335-1)*($B$14-$B$13)/($B$12-1))</x:f>
      </x:c>
      <x:c r="C1354" s="14">
        <x:f>IF(B1354="","",$F$8*COS(B1354) + $B$7*COS($F$6*B1354))</x:f>
      </x:c>
      <x:c r="D1354" s="14">
        <x:f>IF(B1354="","",$F$8*SIN(B1354) - $B$7*SIN($F$6*B1354))</x:f>
      </x:c>
      <x:c r="E1354" s="14">
        <x:f>IF(B1354="","", C1354 + $F$12*$F$9*(-H1354)/IF(SQRT(G1354^2+H1354^2)=0,1,SQRT(G1354^2+H1354^2)))</x:f>
      </x:c>
      <x:c r="F1354" s="14">
        <x:f>IF(B1354="","", D1354 + $F$12*$F$9*(G1354)/IF(SQRT(G1354^2+H1354^2)=0,1,SQRT(G1354^2+H1354^2)))</x:f>
      </x:c>
      <x:c r="G1354" s="14">
        <x:f>IF(B1354="","", -$F$8*SIN(B1354) - $B$7*$F$6*SIN($F$6*B1354))</x:f>
      </x:c>
      <x:c r="H1354" s="14">
        <x:f>IF(B1354="","", $F$8*COS(B1354) - $B$7*$F$6*COS($F$6*B1354))</x:f>
      </x:c>
    </x:row>
    <x:row r="1355">
      <x:c r="A1355" s="13" t="n">
        <x:v>1336</x:v>
      </x:c>
      <x:c r="B1355" s="14">
        <x:f>IF($B$12&lt;1336,"",$B$13+(1336-1)*($B$14-$B$13)/($B$12-1))</x:f>
      </x:c>
      <x:c r="C1355" s="14">
        <x:f>IF(B1355="","",$F$8*COS(B1355) + $B$7*COS($F$6*B1355))</x:f>
      </x:c>
      <x:c r="D1355" s="14">
        <x:f>IF(B1355="","",$F$8*SIN(B1355) - $B$7*SIN($F$6*B1355))</x:f>
      </x:c>
      <x:c r="E1355" s="14">
        <x:f>IF(B1355="","", C1355 + $F$12*$F$9*(-H1355)/IF(SQRT(G1355^2+H1355^2)=0,1,SQRT(G1355^2+H1355^2)))</x:f>
      </x:c>
      <x:c r="F1355" s="14">
        <x:f>IF(B1355="","", D1355 + $F$12*$F$9*(G1355)/IF(SQRT(G1355^2+H1355^2)=0,1,SQRT(G1355^2+H1355^2)))</x:f>
      </x:c>
      <x:c r="G1355" s="14">
        <x:f>IF(B1355="","", -$F$8*SIN(B1355) - $B$7*$F$6*SIN($F$6*B1355))</x:f>
      </x:c>
      <x:c r="H1355" s="14">
        <x:f>IF(B1355="","", $F$8*COS(B1355) - $B$7*$F$6*COS($F$6*B1355))</x:f>
      </x:c>
    </x:row>
    <x:row r="1356">
      <x:c r="A1356" s="13" t="n">
        <x:v>1337</x:v>
      </x:c>
      <x:c r="B1356" s="14">
        <x:f>IF($B$12&lt;1337,"",$B$13+(1337-1)*($B$14-$B$13)/($B$12-1))</x:f>
      </x:c>
      <x:c r="C1356" s="14">
        <x:f>IF(B1356="","",$F$8*COS(B1356) + $B$7*COS($F$6*B1356))</x:f>
      </x:c>
      <x:c r="D1356" s="14">
        <x:f>IF(B1356="","",$F$8*SIN(B1356) - $B$7*SIN($F$6*B1356))</x:f>
      </x:c>
      <x:c r="E1356" s="14">
        <x:f>IF(B1356="","", C1356 + $F$12*$F$9*(-H1356)/IF(SQRT(G1356^2+H1356^2)=0,1,SQRT(G1356^2+H1356^2)))</x:f>
      </x:c>
      <x:c r="F1356" s="14">
        <x:f>IF(B1356="","", D1356 + $F$12*$F$9*(G1356)/IF(SQRT(G1356^2+H1356^2)=0,1,SQRT(G1356^2+H1356^2)))</x:f>
      </x:c>
      <x:c r="G1356" s="14">
        <x:f>IF(B1356="","", -$F$8*SIN(B1356) - $B$7*$F$6*SIN($F$6*B1356))</x:f>
      </x:c>
      <x:c r="H1356" s="14">
        <x:f>IF(B1356="","", $F$8*COS(B1356) - $B$7*$F$6*COS($F$6*B1356))</x:f>
      </x:c>
    </x:row>
    <x:row r="1357">
      <x:c r="A1357" s="13" t="n">
        <x:v>1338</x:v>
      </x:c>
      <x:c r="B1357" s="14">
        <x:f>IF($B$12&lt;1338,"",$B$13+(1338-1)*($B$14-$B$13)/($B$12-1))</x:f>
      </x:c>
      <x:c r="C1357" s="14">
        <x:f>IF(B1357="","",$F$8*COS(B1357) + $B$7*COS($F$6*B1357))</x:f>
      </x:c>
      <x:c r="D1357" s="14">
        <x:f>IF(B1357="","",$F$8*SIN(B1357) - $B$7*SIN($F$6*B1357))</x:f>
      </x:c>
      <x:c r="E1357" s="14">
        <x:f>IF(B1357="","", C1357 + $F$12*$F$9*(-H1357)/IF(SQRT(G1357^2+H1357^2)=0,1,SQRT(G1357^2+H1357^2)))</x:f>
      </x:c>
      <x:c r="F1357" s="14">
        <x:f>IF(B1357="","", D1357 + $F$12*$F$9*(G1357)/IF(SQRT(G1357^2+H1357^2)=0,1,SQRT(G1357^2+H1357^2)))</x:f>
      </x:c>
      <x:c r="G1357" s="14">
        <x:f>IF(B1357="","", -$F$8*SIN(B1357) - $B$7*$F$6*SIN($F$6*B1357))</x:f>
      </x:c>
      <x:c r="H1357" s="14">
        <x:f>IF(B1357="","", $F$8*COS(B1357) - $B$7*$F$6*COS($F$6*B1357))</x:f>
      </x:c>
    </x:row>
    <x:row r="1358">
      <x:c r="A1358" s="13" t="n">
        <x:v>1339</x:v>
      </x:c>
      <x:c r="B1358" s="14">
        <x:f>IF($B$12&lt;1339,"",$B$13+(1339-1)*($B$14-$B$13)/($B$12-1))</x:f>
      </x:c>
      <x:c r="C1358" s="14">
        <x:f>IF(B1358="","",$F$8*COS(B1358) + $B$7*COS($F$6*B1358))</x:f>
      </x:c>
      <x:c r="D1358" s="14">
        <x:f>IF(B1358="","",$F$8*SIN(B1358) - $B$7*SIN($F$6*B1358))</x:f>
      </x:c>
      <x:c r="E1358" s="14">
        <x:f>IF(B1358="","", C1358 + $F$12*$F$9*(-H1358)/IF(SQRT(G1358^2+H1358^2)=0,1,SQRT(G1358^2+H1358^2)))</x:f>
      </x:c>
      <x:c r="F1358" s="14">
        <x:f>IF(B1358="","", D1358 + $F$12*$F$9*(G1358)/IF(SQRT(G1358^2+H1358^2)=0,1,SQRT(G1358^2+H1358^2)))</x:f>
      </x:c>
      <x:c r="G1358" s="14">
        <x:f>IF(B1358="","", -$F$8*SIN(B1358) - $B$7*$F$6*SIN($F$6*B1358))</x:f>
      </x:c>
      <x:c r="H1358" s="14">
        <x:f>IF(B1358="","", $F$8*COS(B1358) - $B$7*$F$6*COS($F$6*B1358))</x:f>
      </x:c>
    </x:row>
    <x:row r="1359">
      <x:c r="A1359" s="13" t="n">
        <x:v>1340</x:v>
      </x:c>
      <x:c r="B1359" s="14">
        <x:f>IF($B$12&lt;1340,"",$B$13+(1340-1)*($B$14-$B$13)/($B$12-1))</x:f>
      </x:c>
      <x:c r="C1359" s="14">
        <x:f>IF(B1359="","",$F$8*COS(B1359) + $B$7*COS($F$6*B1359))</x:f>
      </x:c>
      <x:c r="D1359" s="14">
        <x:f>IF(B1359="","",$F$8*SIN(B1359) - $B$7*SIN($F$6*B1359))</x:f>
      </x:c>
      <x:c r="E1359" s="14">
        <x:f>IF(B1359="","", C1359 + $F$12*$F$9*(-H1359)/IF(SQRT(G1359^2+H1359^2)=0,1,SQRT(G1359^2+H1359^2)))</x:f>
      </x:c>
      <x:c r="F1359" s="14">
        <x:f>IF(B1359="","", D1359 + $F$12*$F$9*(G1359)/IF(SQRT(G1359^2+H1359^2)=0,1,SQRT(G1359^2+H1359^2)))</x:f>
      </x:c>
      <x:c r="G1359" s="14">
        <x:f>IF(B1359="","", -$F$8*SIN(B1359) - $B$7*$F$6*SIN($F$6*B1359))</x:f>
      </x:c>
      <x:c r="H1359" s="14">
        <x:f>IF(B1359="","", $F$8*COS(B1359) - $B$7*$F$6*COS($F$6*B1359))</x:f>
      </x:c>
    </x:row>
    <x:row r="1360">
      <x:c r="A1360" s="13" t="n">
        <x:v>1341</x:v>
      </x:c>
      <x:c r="B1360" s="14">
        <x:f>IF($B$12&lt;1341,"",$B$13+(1341-1)*($B$14-$B$13)/($B$12-1))</x:f>
      </x:c>
      <x:c r="C1360" s="14">
        <x:f>IF(B1360="","",$F$8*COS(B1360) + $B$7*COS($F$6*B1360))</x:f>
      </x:c>
      <x:c r="D1360" s="14">
        <x:f>IF(B1360="","",$F$8*SIN(B1360) - $B$7*SIN($F$6*B1360))</x:f>
      </x:c>
      <x:c r="E1360" s="14">
        <x:f>IF(B1360="","", C1360 + $F$12*$F$9*(-H1360)/IF(SQRT(G1360^2+H1360^2)=0,1,SQRT(G1360^2+H1360^2)))</x:f>
      </x:c>
      <x:c r="F1360" s="14">
        <x:f>IF(B1360="","", D1360 + $F$12*$F$9*(G1360)/IF(SQRT(G1360^2+H1360^2)=0,1,SQRT(G1360^2+H1360^2)))</x:f>
      </x:c>
      <x:c r="G1360" s="14">
        <x:f>IF(B1360="","", -$F$8*SIN(B1360) - $B$7*$F$6*SIN($F$6*B1360))</x:f>
      </x:c>
      <x:c r="H1360" s="14">
        <x:f>IF(B1360="","", $F$8*COS(B1360) - $B$7*$F$6*COS($F$6*B1360))</x:f>
      </x:c>
    </x:row>
    <x:row r="1361">
      <x:c r="A1361" s="13" t="n">
        <x:v>1342</x:v>
      </x:c>
      <x:c r="B1361" s="14">
        <x:f>IF($B$12&lt;1342,"",$B$13+(1342-1)*($B$14-$B$13)/($B$12-1))</x:f>
      </x:c>
      <x:c r="C1361" s="14">
        <x:f>IF(B1361="","",$F$8*COS(B1361) + $B$7*COS($F$6*B1361))</x:f>
      </x:c>
      <x:c r="D1361" s="14">
        <x:f>IF(B1361="","",$F$8*SIN(B1361) - $B$7*SIN($F$6*B1361))</x:f>
      </x:c>
      <x:c r="E1361" s="14">
        <x:f>IF(B1361="","", C1361 + $F$12*$F$9*(-H1361)/IF(SQRT(G1361^2+H1361^2)=0,1,SQRT(G1361^2+H1361^2)))</x:f>
      </x:c>
      <x:c r="F1361" s="14">
        <x:f>IF(B1361="","", D1361 + $F$12*$F$9*(G1361)/IF(SQRT(G1361^2+H1361^2)=0,1,SQRT(G1361^2+H1361^2)))</x:f>
      </x:c>
      <x:c r="G1361" s="14">
        <x:f>IF(B1361="","", -$F$8*SIN(B1361) - $B$7*$F$6*SIN($F$6*B1361))</x:f>
      </x:c>
      <x:c r="H1361" s="14">
        <x:f>IF(B1361="","", $F$8*COS(B1361) - $B$7*$F$6*COS($F$6*B1361))</x:f>
      </x:c>
    </x:row>
    <x:row r="1362">
      <x:c r="A1362" s="13" t="n">
        <x:v>1343</x:v>
      </x:c>
      <x:c r="B1362" s="14">
        <x:f>IF($B$12&lt;1343,"",$B$13+(1343-1)*($B$14-$B$13)/($B$12-1))</x:f>
      </x:c>
      <x:c r="C1362" s="14">
        <x:f>IF(B1362="","",$F$8*COS(B1362) + $B$7*COS($F$6*B1362))</x:f>
      </x:c>
      <x:c r="D1362" s="14">
        <x:f>IF(B1362="","",$F$8*SIN(B1362) - $B$7*SIN($F$6*B1362))</x:f>
      </x:c>
      <x:c r="E1362" s="14">
        <x:f>IF(B1362="","", C1362 + $F$12*$F$9*(-H1362)/IF(SQRT(G1362^2+H1362^2)=0,1,SQRT(G1362^2+H1362^2)))</x:f>
      </x:c>
      <x:c r="F1362" s="14">
        <x:f>IF(B1362="","", D1362 + $F$12*$F$9*(G1362)/IF(SQRT(G1362^2+H1362^2)=0,1,SQRT(G1362^2+H1362^2)))</x:f>
      </x:c>
      <x:c r="G1362" s="14">
        <x:f>IF(B1362="","", -$F$8*SIN(B1362) - $B$7*$F$6*SIN($F$6*B1362))</x:f>
      </x:c>
      <x:c r="H1362" s="14">
        <x:f>IF(B1362="","", $F$8*COS(B1362) - $B$7*$F$6*COS($F$6*B1362))</x:f>
      </x:c>
    </x:row>
    <x:row r="1363">
      <x:c r="A1363" s="13" t="n">
        <x:v>1344</x:v>
      </x:c>
      <x:c r="B1363" s="14">
        <x:f>IF($B$12&lt;1344,"",$B$13+(1344-1)*($B$14-$B$13)/($B$12-1))</x:f>
      </x:c>
      <x:c r="C1363" s="14">
        <x:f>IF(B1363="","",$F$8*COS(B1363) + $B$7*COS($F$6*B1363))</x:f>
      </x:c>
      <x:c r="D1363" s="14">
        <x:f>IF(B1363="","",$F$8*SIN(B1363) - $B$7*SIN($F$6*B1363))</x:f>
      </x:c>
      <x:c r="E1363" s="14">
        <x:f>IF(B1363="","", C1363 + $F$12*$F$9*(-H1363)/IF(SQRT(G1363^2+H1363^2)=0,1,SQRT(G1363^2+H1363^2)))</x:f>
      </x:c>
      <x:c r="F1363" s="14">
        <x:f>IF(B1363="","", D1363 + $F$12*$F$9*(G1363)/IF(SQRT(G1363^2+H1363^2)=0,1,SQRT(G1363^2+H1363^2)))</x:f>
      </x:c>
      <x:c r="G1363" s="14">
        <x:f>IF(B1363="","", -$F$8*SIN(B1363) - $B$7*$F$6*SIN($F$6*B1363))</x:f>
      </x:c>
      <x:c r="H1363" s="14">
        <x:f>IF(B1363="","", $F$8*COS(B1363) - $B$7*$F$6*COS($F$6*B1363))</x:f>
      </x:c>
    </x:row>
    <x:row r="1364">
      <x:c r="A1364" s="13" t="n">
        <x:v>1345</x:v>
      </x:c>
      <x:c r="B1364" s="14">
        <x:f>IF($B$12&lt;1345,"",$B$13+(1345-1)*($B$14-$B$13)/($B$12-1))</x:f>
      </x:c>
      <x:c r="C1364" s="14">
        <x:f>IF(B1364="","",$F$8*COS(B1364) + $B$7*COS($F$6*B1364))</x:f>
      </x:c>
      <x:c r="D1364" s="14">
        <x:f>IF(B1364="","",$F$8*SIN(B1364) - $B$7*SIN($F$6*B1364))</x:f>
      </x:c>
      <x:c r="E1364" s="14">
        <x:f>IF(B1364="","", C1364 + $F$12*$F$9*(-H1364)/IF(SQRT(G1364^2+H1364^2)=0,1,SQRT(G1364^2+H1364^2)))</x:f>
      </x:c>
      <x:c r="F1364" s="14">
        <x:f>IF(B1364="","", D1364 + $F$12*$F$9*(G1364)/IF(SQRT(G1364^2+H1364^2)=0,1,SQRT(G1364^2+H1364^2)))</x:f>
      </x:c>
      <x:c r="G1364" s="14">
        <x:f>IF(B1364="","", -$F$8*SIN(B1364) - $B$7*$F$6*SIN($F$6*B1364))</x:f>
      </x:c>
      <x:c r="H1364" s="14">
        <x:f>IF(B1364="","", $F$8*COS(B1364) - $B$7*$F$6*COS($F$6*B1364))</x:f>
      </x:c>
    </x:row>
    <x:row r="1365">
      <x:c r="A1365" s="13" t="n">
        <x:v>1346</x:v>
      </x:c>
      <x:c r="B1365" s="14">
        <x:f>IF($B$12&lt;1346,"",$B$13+(1346-1)*($B$14-$B$13)/($B$12-1))</x:f>
      </x:c>
      <x:c r="C1365" s="14">
        <x:f>IF(B1365="","",$F$8*COS(B1365) + $B$7*COS($F$6*B1365))</x:f>
      </x:c>
      <x:c r="D1365" s="14">
        <x:f>IF(B1365="","",$F$8*SIN(B1365) - $B$7*SIN($F$6*B1365))</x:f>
      </x:c>
      <x:c r="E1365" s="14">
        <x:f>IF(B1365="","", C1365 + $F$12*$F$9*(-H1365)/IF(SQRT(G1365^2+H1365^2)=0,1,SQRT(G1365^2+H1365^2)))</x:f>
      </x:c>
      <x:c r="F1365" s="14">
        <x:f>IF(B1365="","", D1365 + $F$12*$F$9*(G1365)/IF(SQRT(G1365^2+H1365^2)=0,1,SQRT(G1365^2+H1365^2)))</x:f>
      </x:c>
      <x:c r="G1365" s="14">
        <x:f>IF(B1365="","", -$F$8*SIN(B1365) - $B$7*$F$6*SIN($F$6*B1365))</x:f>
      </x:c>
      <x:c r="H1365" s="14">
        <x:f>IF(B1365="","", $F$8*COS(B1365) - $B$7*$F$6*COS($F$6*B1365))</x:f>
      </x:c>
    </x:row>
    <x:row r="1366">
      <x:c r="A1366" s="13" t="n">
        <x:v>1347</x:v>
      </x:c>
      <x:c r="B1366" s="14">
        <x:f>IF($B$12&lt;1347,"",$B$13+(1347-1)*($B$14-$B$13)/($B$12-1))</x:f>
      </x:c>
      <x:c r="C1366" s="14">
        <x:f>IF(B1366="","",$F$8*COS(B1366) + $B$7*COS($F$6*B1366))</x:f>
      </x:c>
      <x:c r="D1366" s="14">
        <x:f>IF(B1366="","",$F$8*SIN(B1366) - $B$7*SIN($F$6*B1366))</x:f>
      </x:c>
      <x:c r="E1366" s="14">
        <x:f>IF(B1366="","", C1366 + $F$12*$F$9*(-H1366)/IF(SQRT(G1366^2+H1366^2)=0,1,SQRT(G1366^2+H1366^2)))</x:f>
      </x:c>
      <x:c r="F1366" s="14">
        <x:f>IF(B1366="","", D1366 + $F$12*$F$9*(G1366)/IF(SQRT(G1366^2+H1366^2)=0,1,SQRT(G1366^2+H1366^2)))</x:f>
      </x:c>
      <x:c r="G1366" s="14">
        <x:f>IF(B1366="","", -$F$8*SIN(B1366) - $B$7*$F$6*SIN($F$6*B1366))</x:f>
      </x:c>
      <x:c r="H1366" s="14">
        <x:f>IF(B1366="","", $F$8*COS(B1366) - $B$7*$F$6*COS($F$6*B1366))</x:f>
      </x:c>
    </x:row>
    <x:row r="1367">
      <x:c r="A1367" s="13" t="n">
        <x:v>1348</x:v>
      </x:c>
      <x:c r="B1367" s="14">
        <x:f>IF($B$12&lt;1348,"",$B$13+(1348-1)*($B$14-$B$13)/($B$12-1))</x:f>
      </x:c>
      <x:c r="C1367" s="14">
        <x:f>IF(B1367="","",$F$8*COS(B1367) + $B$7*COS($F$6*B1367))</x:f>
      </x:c>
      <x:c r="D1367" s="14">
        <x:f>IF(B1367="","",$F$8*SIN(B1367) - $B$7*SIN($F$6*B1367))</x:f>
      </x:c>
      <x:c r="E1367" s="14">
        <x:f>IF(B1367="","", C1367 + $F$12*$F$9*(-H1367)/IF(SQRT(G1367^2+H1367^2)=0,1,SQRT(G1367^2+H1367^2)))</x:f>
      </x:c>
      <x:c r="F1367" s="14">
        <x:f>IF(B1367="","", D1367 + $F$12*$F$9*(G1367)/IF(SQRT(G1367^2+H1367^2)=0,1,SQRT(G1367^2+H1367^2)))</x:f>
      </x:c>
      <x:c r="G1367" s="14">
        <x:f>IF(B1367="","", -$F$8*SIN(B1367) - $B$7*$F$6*SIN($F$6*B1367))</x:f>
      </x:c>
      <x:c r="H1367" s="14">
        <x:f>IF(B1367="","", $F$8*COS(B1367) - $B$7*$F$6*COS($F$6*B1367))</x:f>
      </x:c>
    </x:row>
    <x:row r="1368">
      <x:c r="A1368" s="13" t="n">
        <x:v>1349</x:v>
      </x:c>
      <x:c r="B1368" s="14">
        <x:f>IF($B$12&lt;1349,"",$B$13+(1349-1)*($B$14-$B$13)/($B$12-1))</x:f>
      </x:c>
      <x:c r="C1368" s="14">
        <x:f>IF(B1368="","",$F$8*COS(B1368) + $B$7*COS($F$6*B1368))</x:f>
      </x:c>
      <x:c r="D1368" s="14">
        <x:f>IF(B1368="","",$F$8*SIN(B1368) - $B$7*SIN($F$6*B1368))</x:f>
      </x:c>
      <x:c r="E1368" s="14">
        <x:f>IF(B1368="","", C1368 + $F$12*$F$9*(-H1368)/IF(SQRT(G1368^2+H1368^2)=0,1,SQRT(G1368^2+H1368^2)))</x:f>
      </x:c>
      <x:c r="F1368" s="14">
        <x:f>IF(B1368="","", D1368 + $F$12*$F$9*(G1368)/IF(SQRT(G1368^2+H1368^2)=0,1,SQRT(G1368^2+H1368^2)))</x:f>
      </x:c>
      <x:c r="G1368" s="14">
        <x:f>IF(B1368="","", -$F$8*SIN(B1368) - $B$7*$F$6*SIN($F$6*B1368))</x:f>
      </x:c>
      <x:c r="H1368" s="14">
        <x:f>IF(B1368="","", $F$8*COS(B1368) - $B$7*$F$6*COS($F$6*B1368))</x:f>
      </x:c>
    </x:row>
    <x:row r="1369">
      <x:c r="A1369" s="13" t="n">
        <x:v>1350</x:v>
      </x:c>
      <x:c r="B1369" s="14">
        <x:f>IF($B$12&lt;1350,"",$B$13+(1350-1)*($B$14-$B$13)/($B$12-1))</x:f>
      </x:c>
      <x:c r="C1369" s="14">
        <x:f>IF(B1369="","",$F$8*COS(B1369) + $B$7*COS($F$6*B1369))</x:f>
      </x:c>
      <x:c r="D1369" s="14">
        <x:f>IF(B1369="","",$F$8*SIN(B1369) - $B$7*SIN($F$6*B1369))</x:f>
      </x:c>
      <x:c r="E1369" s="14">
        <x:f>IF(B1369="","", C1369 + $F$12*$F$9*(-H1369)/IF(SQRT(G1369^2+H1369^2)=0,1,SQRT(G1369^2+H1369^2)))</x:f>
      </x:c>
      <x:c r="F1369" s="14">
        <x:f>IF(B1369="","", D1369 + $F$12*$F$9*(G1369)/IF(SQRT(G1369^2+H1369^2)=0,1,SQRT(G1369^2+H1369^2)))</x:f>
      </x:c>
      <x:c r="G1369" s="14">
        <x:f>IF(B1369="","", -$F$8*SIN(B1369) - $B$7*$F$6*SIN($F$6*B1369))</x:f>
      </x:c>
      <x:c r="H1369" s="14">
        <x:f>IF(B1369="","", $F$8*COS(B1369) - $B$7*$F$6*COS($F$6*B1369))</x:f>
      </x:c>
    </x:row>
    <x:row r="1370">
      <x:c r="A1370" s="13" t="n">
        <x:v>1351</x:v>
      </x:c>
      <x:c r="B1370" s="14">
        <x:f>IF($B$12&lt;1351,"",$B$13+(1351-1)*($B$14-$B$13)/($B$12-1))</x:f>
      </x:c>
      <x:c r="C1370" s="14">
        <x:f>IF(B1370="","",$F$8*COS(B1370) + $B$7*COS($F$6*B1370))</x:f>
      </x:c>
      <x:c r="D1370" s="14">
        <x:f>IF(B1370="","",$F$8*SIN(B1370) - $B$7*SIN($F$6*B1370))</x:f>
      </x:c>
      <x:c r="E1370" s="14">
        <x:f>IF(B1370="","", C1370 + $F$12*$F$9*(-H1370)/IF(SQRT(G1370^2+H1370^2)=0,1,SQRT(G1370^2+H1370^2)))</x:f>
      </x:c>
      <x:c r="F1370" s="14">
        <x:f>IF(B1370="","", D1370 + $F$12*$F$9*(G1370)/IF(SQRT(G1370^2+H1370^2)=0,1,SQRT(G1370^2+H1370^2)))</x:f>
      </x:c>
      <x:c r="G1370" s="14">
        <x:f>IF(B1370="","", -$F$8*SIN(B1370) - $B$7*$F$6*SIN($F$6*B1370))</x:f>
      </x:c>
      <x:c r="H1370" s="14">
        <x:f>IF(B1370="","", $F$8*COS(B1370) - $B$7*$F$6*COS($F$6*B1370))</x:f>
      </x:c>
    </x:row>
    <x:row r="1371">
      <x:c r="A1371" s="13" t="n">
        <x:v>1352</x:v>
      </x:c>
      <x:c r="B1371" s="14">
        <x:f>IF($B$12&lt;1352,"",$B$13+(1352-1)*($B$14-$B$13)/($B$12-1))</x:f>
      </x:c>
      <x:c r="C1371" s="14">
        <x:f>IF(B1371="","",$F$8*COS(B1371) + $B$7*COS($F$6*B1371))</x:f>
      </x:c>
      <x:c r="D1371" s="14">
        <x:f>IF(B1371="","",$F$8*SIN(B1371) - $B$7*SIN($F$6*B1371))</x:f>
      </x:c>
      <x:c r="E1371" s="14">
        <x:f>IF(B1371="","", C1371 + $F$12*$F$9*(-H1371)/IF(SQRT(G1371^2+H1371^2)=0,1,SQRT(G1371^2+H1371^2)))</x:f>
      </x:c>
      <x:c r="F1371" s="14">
        <x:f>IF(B1371="","", D1371 + $F$12*$F$9*(G1371)/IF(SQRT(G1371^2+H1371^2)=0,1,SQRT(G1371^2+H1371^2)))</x:f>
      </x:c>
      <x:c r="G1371" s="14">
        <x:f>IF(B1371="","", -$F$8*SIN(B1371) - $B$7*$F$6*SIN($F$6*B1371))</x:f>
      </x:c>
      <x:c r="H1371" s="14">
        <x:f>IF(B1371="","", $F$8*COS(B1371) - $B$7*$F$6*COS($F$6*B1371))</x:f>
      </x:c>
    </x:row>
    <x:row r="1372">
      <x:c r="A1372" s="13" t="n">
        <x:v>1353</x:v>
      </x:c>
      <x:c r="B1372" s="14">
        <x:f>IF($B$12&lt;1353,"",$B$13+(1353-1)*($B$14-$B$13)/($B$12-1))</x:f>
      </x:c>
      <x:c r="C1372" s="14">
        <x:f>IF(B1372="","",$F$8*COS(B1372) + $B$7*COS($F$6*B1372))</x:f>
      </x:c>
      <x:c r="D1372" s="14">
        <x:f>IF(B1372="","",$F$8*SIN(B1372) - $B$7*SIN($F$6*B1372))</x:f>
      </x:c>
      <x:c r="E1372" s="14">
        <x:f>IF(B1372="","", C1372 + $F$12*$F$9*(-H1372)/IF(SQRT(G1372^2+H1372^2)=0,1,SQRT(G1372^2+H1372^2)))</x:f>
      </x:c>
      <x:c r="F1372" s="14">
        <x:f>IF(B1372="","", D1372 + $F$12*$F$9*(G1372)/IF(SQRT(G1372^2+H1372^2)=0,1,SQRT(G1372^2+H1372^2)))</x:f>
      </x:c>
      <x:c r="G1372" s="14">
        <x:f>IF(B1372="","", -$F$8*SIN(B1372) - $B$7*$F$6*SIN($F$6*B1372))</x:f>
      </x:c>
      <x:c r="H1372" s="14">
        <x:f>IF(B1372="","", $F$8*COS(B1372) - $B$7*$F$6*COS($F$6*B1372))</x:f>
      </x:c>
    </x:row>
    <x:row r="1373">
      <x:c r="A1373" s="13" t="n">
        <x:v>1354</x:v>
      </x:c>
      <x:c r="B1373" s="14">
        <x:f>IF($B$12&lt;1354,"",$B$13+(1354-1)*($B$14-$B$13)/($B$12-1))</x:f>
      </x:c>
      <x:c r="C1373" s="14">
        <x:f>IF(B1373="","",$F$8*COS(B1373) + $B$7*COS($F$6*B1373))</x:f>
      </x:c>
      <x:c r="D1373" s="14">
        <x:f>IF(B1373="","",$F$8*SIN(B1373) - $B$7*SIN($F$6*B1373))</x:f>
      </x:c>
      <x:c r="E1373" s="14">
        <x:f>IF(B1373="","", C1373 + $F$12*$F$9*(-H1373)/IF(SQRT(G1373^2+H1373^2)=0,1,SQRT(G1373^2+H1373^2)))</x:f>
      </x:c>
      <x:c r="F1373" s="14">
        <x:f>IF(B1373="","", D1373 + $F$12*$F$9*(G1373)/IF(SQRT(G1373^2+H1373^2)=0,1,SQRT(G1373^2+H1373^2)))</x:f>
      </x:c>
      <x:c r="G1373" s="14">
        <x:f>IF(B1373="","", -$F$8*SIN(B1373) - $B$7*$F$6*SIN($F$6*B1373))</x:f>
      </x:c>
      <x:c r="H1373" s="14">
        <x:f>IF(B1373="","", $F$8*COS(B1373) - $B$7*$F$6*COS($F$6*B1373))</x:f>
      </x:c>
    </x:row>
    <x:row r="1374">
      <x:c r="A1374" s="13" t="n">
        <x:v>1355</x:v>
      </x:c>
      <x:c r="B1374" s="14">
        <x:f>IF($B$12&lt;1355,"",$B$13+(1355-1)*($B$14-$B$13)/($B$12-1))</x:f>
      </x:c>
      <x:c r="C1374" s="14">
        <x:f>IF(B1374="","",$F$8*COS(B1374) + $B$7*COS($F$6*B1374))</x:f>
      </x:c>
      <x:c r="D1374" s="14">
        <x:f>IF(B1374="","",$F$8*SIN(B1374) - $B$7*SIN($F$6*B1374))</x:f>
      </x:c>
      <x:c r="E1374" s="14">
        <x:f>IF(B1374="","", C1374 + $F$12*$F$9*(-H1374)/IF(SQRT(G1374^2+H1374^2)=0,1,SQRT(G1374^2+H1374^2)))</x:f>
      </x:c>
      <x:c r="F1374" s="14">
        <x:f>IF(B1374="","", D1374 + $F$12*$F$9*(G1374)/IF(SQRT(G1374^2+H1374^2)=0,1,SQRT(G1374^2+H1374^2)))</x:f>
      </x:c>
      <x:c r="G1374" s="14">
        <x:f>IF(B1374="","", -$F$8*SIN(B1374) - $B$7*$F$6*SIN($F$6*B1374))</x:f>
      </x:c>
      <x:c r="H1374" s="14">
        <x:f>IF(B1374="","", $F$8*COS(B1374) - $B$7*$F$6*COS($F$6*B1374))</x:f>
      </x:c>
    </x:row>
    <x:row r="1375">
      <x:c r="A1375" s="13" t="n">
        <x:v>1356</x:v>
      </x:c>
      <x:c r="B1375" s="14">
        <x:f>IF($B$12&lt;1356,"",$B$13+(1356-1)*($B$14-$B$13)/($B$12-1))</x:f>
      </x:c>
      <x:c r="C1375" s="14">
        <x:f>IF(B1375="","",$F$8*COS(B1375) + $B$7*COS($F$6*B1375))</x:f>
      </x:c>
      <x:c r="D1375" s="14">
        <x:f>IF(B1375="","",$F$8*SIN(B1375) - $B$7*SIN($F$6*B1375))</x:f>
      </x:c>
      <x:c r="E1375" s="14">
        <x:f>IF(B1375="","", C1375 + $F$12*$F$9*(-H1375)/IF(SQRT(G1375^2+H1375^2)=0,1,SQRT(G1375^2+H1375^2)))</x:f>
      </x:c>
      <x:c r="F1375" s="14">
        <x:f>IF(B1375="","", D1375 + $F$12*$F$9*(G1375)/IF(SQRT(G1375^2+H1375^2)=0,1,SQRT(G1375^2+H1375^2)))</x:f>
      </x:c>
      <x:c r="G1375" s="14">
        <x:f>IF(B1375="","", -$F$8*SIN(B1375) - $B$7*$F$6*SIN($F$6*B1375))</x:f>
      </x:c>
      <x:c r="H1375" s="14">
        <x:f>IF(B1375="","", $F$8*COS(B1375) - $B$7*$F$6*COS($F$6*B1375))</x:f>
      </x:c>
    </x:row>
    <x:row r="1376">
      <x:c r="A1376" s="13" t="n">
        <x:v>1357</x:v>
      </x:c>
      <x:c r="B1376" s="14">
        <x:f>IF($B$12&lt;1357,"",$B$13+(1357-1)*($B$14-$B$13)/($B$12-1))</x:f>
      </x:c>
      <x:c r="C1376" s="14">
        <x:f>IF(B1376="","",$F$8*COS(B1376) + $B$7*COS($F$6*B1376))</x:f>
      </x:c>
      <x:c r="D1376" s="14">
        <x:f>IF(B1376="","",$F$8*SIN(B1376) - $B$7*SIN($F$6*B1376))</x:f>
      </x:c>
      <x:c r="E1376" s="14">
        <x:f>IF(B1376="","", C1376 + $F$12*$F$9*(-H1376)/IF(SQRT(G1376^2+H1376^2)=0,1,SQRT(G1376^2+H1376^2)))</x:f>
      </x:c>
      <x:c r="F1376" s="14">
        <x:f>IF(B1376="","", D1376 + $F$12*$F$9*(G1376)/IF(SQRT(G1376^2+H1376^2)=0,1,SQRT(G1376^2+H1376^2)))</x:f>
      </x:c>
      <x:c r="G1376" s="14">
        <x:f>IF(B1376="","", -$F$8*SIN(B1376) - $B$7*$F$6*SIN($F$6*B1376))</x:f>
      </x:c>
      <x:c r="H1376" s="14">
        <x:f>IF(B1376="","", $F$8*COS(B1376) - $B$7*$F$6*COS($F$6*B1376))</x:f>
      </x:c>
    </x:row>
    <x:row r="1377">
      <x:c r="A1377" s="13" t="n">
        <x:v>1358</x:v>
      </x:c>
      <x:c r="B1377" s="14">
        <x:f>IF($B$12&lt;1358,"",$B$13+(1358-1)*($B$14-$B$13)/($B$12-1))</x:f>
      </x:c>
      <x:c r="C1377" s="14">
        <x:f>IF(B1377="","",$F$8*COS(B1377) + $B$7*COS($F$6*B1377))</x:f>
      </x:c>
      <x:c r="D1377" s="14">
        <x:f>IF(B1377="","",$F$8*SIN(B1377) - $B$7*SIN($F$6*B1377))</x:f>
      </x:c>
      <x:c r="E1377" s="14">
        <x:f>IF(B1377="","", C1377 + $F$12*$F$9*(-H1377)/IF(SQRT(G1377^2+H1377^2)=0,1,SQRT(G1377^2+H1377^2)))</x:f>
      </x:c>
      <x:c r="F1377" s="14">
        <x:f>IF(B1377="","", D1377 + $F$12*$F$9*(G1377)/IF(SQRT(G1377^2+H1377^2)=0,1,SQRT(G1377^2+H1377^2)))</x:f>
      </x:c>
      <x:c r="G1377" s="14">
        <x:f>IF(B1377="","", -$F$8*SIN(B1377) - $B$7*$F$6*SIN($F$6*B1377))</x:f>
      </x:c>
      <x:c r="H1377" s="14">
        <x:f>IF(B1377="","", $F$8*COS(B1377) - $B$7*$F$6*COS($F$6*B1377))</x:f>
      </x:c>
    </x:row>
    <x:row r="1378">
      <x:c r="A1378" s="13" t="n">
        <x:v>1359</x:v>
      </x:c>
      <x:c r="B1378" s="14">
        <x:f>IF($B$12&lt;1359,"",$B$13+(1359-1)*($B$14-$B$13)/($B$12-1))</x:f>
      </x:c>
      <x:c r="C1378" s="14">
        <x:f>IF(B1378="","",$F$8*COS(B1378) + $B$7*COS($F$6*B1378))</x:f>
      </x:c>
      <x:c r="D1378" s="14">
        <x:f>IF(B1378="","",$F$8*SIN(B1378) - $B$7*SIN($F$6*B1378))</x:f>
      </x:c>
      <x:c r="E1378" s="14">
        <x:f>IF(B1378="","", C1378 + $F$12*$F$9*(-H1378)/IF(SQRT(G1378^2+H1378^2)=0,1,SQRT(G1378^2+H1378^2)))</x:f>
      </x:c>
      <x:c r="F1378" s="14">
        <x:f>IF(B1378="","", D1378 + $F$12*$F$9*(G1378)/IF(SQRT(G1378^2+H1378^2)=0,1,SQRT(G1378^2+H1378^2)))</x:f>
      </x:c>
      <x:c r="G1378" s="14">
        <x:f>IF(B1378="","", -$F$8*SIN(B1378) - $B$7*$F$6*SIN($F$6*B1378))</x:f>
      </x:c>
      <x:c r="H1378" s="14">
        <x:f>IF(B1378="","", $F$8*COS(B1378) - $B$7*$F$6*COS($F$6*B1378))</x:f>
      </x:c>
    </x:row>
    <x:row r="1379">
      <x:c r="A1379" s="13" t="n">
        <x:v>1360</x:v>
      </x:c>
      <x:c r="B1379" s="14">
        <x:f>IF($B$12&lt;1360,"",$B$13+(1360-1)*($B$14-$B$13)/($B$12-1))</x:f>
      </x:c>
      <x:c r="C1379" s="14">
        <x:f>IF(B1379="","",$F$8*COS(B1379) + $B$7*COS($F$6*B1379))</x:f>
      </x:c>
      <x:c r="D1379" s="14">
        <x:f>IF(B1379="","",$F$8*SIN(B1379) - $B$7*SIN($F$6*B1379))</x:f>
      </x:c>
      <x:c r="E1379" s="14">
        <x:f>IF(B1379="","", C1379 + $F$12*$F$9*(-H1379)/IF(SQRT(G1379^2+H1379^2)=0,1,SQRT(G1379^2+H1379^2)))</x:f>
      </x:c>
      <x:c r="F1379" s="14">
        <x:f>IF(B1379="","", D1379 + $F$12*$F$9*(G1379)/IF(SQRT(G1379^2+H1379^2)=0,1,SQRT(G1379^2+H1379^2)))</x:f>
      </x:c>
      <x:c r="G1379" s="14">
        <x:f>IF(B1379="","", -$F$8*SIN(B1379) - $B$7*$F$6*SIN($F$6*B1379))</x:f>
      </x:c>
      <x:c r="H1379" s="14">
        <x:f>IF(B1379="","", $F$8*COS(B1379) - $B$7*$F$6*COS($F$6*B1379))</x:f>
      </x:c>
    </x:row>
    <x:row r="1380">
      <x:c r="A1380" s="13" t="n">
        <x:v>1361</x:v>
      </x:c>
      <x:c r="B1380" s="14">
        <x:f>IF($B$12&lt;1361,"",$B$13+(1361-1)*($B$14-$B$13)/($B$12-1))</x:f>
      </x:c>
      <x:c r="C1380" s="14">
        <x:f>IF(B1380="","",$F$8*COS(B1380) + $B$7*COS($F$6*B1380))</x:f>
      </x:c>
      <x:c r="D1380" s="14">
        <x:f>IF(B1380="","",$F$8*SIN(B1380) - $B$7*SIN($F$6*B1380))</x:f>
      </x:c>
      <x:c r="E1380" s="14">
        <x:f>IF(B1380="","", C1380 + $F$12*$F$9*(-H1380)/IF(SQRT(G1380^2+H1380^2)=0,1,SQRT(G1380^2+H1380^2)))</x:f>
      </x:c>
      <x:c r="F1380" s="14">
        <x:f>IF(B1380="","", D1380 + $F$12*$F$9*(G1380)/IF(SQRT(G1380^2+H1380^2)=0,1,SQRT(G1380^2+H1380^2)))</x:f>
      </x:c>
      <x:c r="G1380" s="14">
        <x:f>IF(B1380="","", -$F$8*SIN(B1380) - $B$7*$F$6*SIN($F$6*B1380))</x:f>
      </x:c>
      <x:c r="H1380" s="14">
        <x:f>IF(B1380="","", $F$8*COS(B1380) - $B$7*$F$6*COS($F$6*B1380))</x:f>
      </x:c>
    </x:row>
    <x:row r="1381">
      <x:c r="A1381" s="13" t="n">
        <x:v>1362</x:v>
      </x:c>
      <x:c r="B1381" s="14">
        <x:f>IF($B$12&lt;1362,"",$B$13+(1362-1)*($B$14-$B$13)/($B$12-1))</x:f>
      </x:c>
      <x:c r="C1381" s="14">
        <x:f>IF(B1381="","",$F$8*COS(B1381) + $B$7*COS($F$6*B1381))</x:f>
      </x:c>
      <x:c r="D1381" s="14">
        <x:f>IF(B1381="","",$F$8*SIN(B1381) - $B$7*SIN($F$6*B1381))</x:f>
      </x:c>
      <x:c r="E1381" s="14">
        <x:f>IF(B1381="","", C1381 + $F$12*$F$9*(-H1381)/IF(SQRT(G1381^2+H1381^2)=0,1,SQRT(G1381^2+H1381^2)))</x:f>
      </x:c>
      <x:c r="F1381" s="14">
        <x:f>IF(B1381="","", D1381 + $F$12*$F$9*(G1381)/IF(SQRT(G1381^2+H1381^2)=0,1,SQRT(G1381^2+H1381^2)))</x:f>
      </x:c>
      <x:c r="G1381" s="14">
        <x:f>IF(B1381="","", -$F$8*SIN(B1381) - $B$7*$F$6*SIN($F$6*B1381))</x:f>
      </x:c>
      <x:c r="H1381" s="14">
        <x:f>IF(B1381="","", $F$8*COS(B1381) - $B$7*$F$6*COS($F$6*B1381))</x:f>
      </x:c>
    </x:row>
    <x:row r="1382">
      <x:c r="A1382" s="13" t="n">
        <x:v>1363</x:v>
      </x:c>
      <x:c r="B1382" s="14">
        <x:f>IF($B$12&lt;1363,"",$B$13+(1363-1)*($B$14-$B$13)/($B$12-1))</x:f>
      </x:c>
      <x:c r="C1382" s="14">
        <x:f>IF(B1382="","",$F$8*COS(B1382) + $B$7*COS($F$6*B1382))</x:f>
      </x:c>
      <x:c r="D1382" s="14">
        <x:f>IF(B1382="","",$F$8*SIN(B1382) - $B$7*SIN($F$6*B1382))</x:f>
      </x:c>
      <x:c r="E1382" s="14">
        <x:f>IF(B1382="","", C1382 + $F$12*$F$9*(-H1382)/IF(SQRT(G1382^2+H1382^2)=0,1,SQRT(G1382^2+H1382^2)))</x:f>
      </x:c>
      <x:c r="F1382" s="14">
        <x:f>IF(B1382="","", D1382 + $F$12*$F$9*(G1382)/IF(SQRT(G1382^2+H1382^2)=0,1,SQRT(G1382^2+H1382^2)))</x:f>
      </x:c>
      <x:c r="G1382" s="14">
        <x:f>IF(B1382="","", -$F$8*SIN(B1382) - $B$7*$F$6*SIN($F$6*B1382))</x:f>
      </x:c>
      <x:c r="H1382" s="14">
        <x:f>IF(B1382="","", $F$8*COS(B1382) - $B$7*$F$6*COS($F$6*B1382))</x:f>
      </x:c>
    </x:row>
    <x:row r="1383">
      <x:c r="A1383" s="13" t="n">
        <x:v>1364</x:v>
      </x:c>
      <x:c r="B1383" s="14">
        <x:f>IF($B$12&lt;1364,"",$B$13+(1364-1)*($B$14-$B$13)/($B$12-1))</x:f>
      </x:c>
      <x:c r="C1383" s="14">
        <x:f>IF(B1383="","",$F$8*COS(B1383) + $B$7*COS($F$6*B1383))</x:f>
      </x:c>
      <x:c r="D1383" s="14">
        <x:f>IF(B1383="","",$F$8*SIN(B1383) - $B$7*SIN($F$6*B1383))</x:f>
      </x:c>
      <x:c r="E1383" s="14">
        <x:f>IF(B1383="","", C1383 + $F$12*$F$9*(-H1383)/IF(SQRT(G1383^2+H1383^2)=0,1,SQRT(G1383^2+H1383^2)))</x:f>
      </x:c>
      <x:c r="F1383" s="14">
        <x:f>IF(B1383="","", D1383 + $F$12*$F$9*(G1383)/IF(SQRT(G1383^2+H1383^2)=0,1,SQRT(G1383^2+H1383^2)))</x:f>
      </x:c>
      <x:c r="G1383" s="14">
        <x:f>IF(B1383="","", -$F$8*SIN(B1383) - $B$7*$F$6*SIN($F$6*B1383))</x:f>
      </x:c>
      <x:c r="H1383" s="14">
        <x:f>IF(B1383="","", $F$8*COS(B1383) - $B$7*$F$6*COS($F$6*B1383))</x:f>
      </x:c>
    </x:row>
    <x:row r="1384">
      <x:c r="A1384" s="13" t="n">
        <x:v>1365</x:v>
      </x:c>
      <x:c r="B1384" s="14">
        <x:f>IF($B$12&lt;1365,"",$B$13+(1365-1)*($B$14-$B$13)/($B$12-1))</x:f>
      </x:c>
      <x:c r="C1384" s="14">
        <x:f>IF(B1384="","",$F$8*COS(B1384) + $B$7*COS($F$6*B1384))</x:f>
      </x:c>
      <x:c r="D1384" s="14">
        <x:f>IF(B1384="","",$F$8*SIN(B1384) - $B$7*SIN($F$6*B1384))</x:f>
      </x:c>
      <x:c r="E1384" s="14">
        <x:f>IF(B1384="","", C1384 + $F$12*$F$9*(-H1384)/IF(SQRT(G1384^2+H1384^2)=0,1,SQRT(G1384^2+H1384^2)))</x:f>
      </x:c>
      <x:c r="F1384" s="14">
        <x:f>IF(B1384="","", D1384 + $F$12*$F$9*(G1384)/IF(SQRT(G1384^2+H1384^2)=0,1,SQRT(G1384^2+H1384^2)))</x:f>
      </x:c>
      <x:c r="G1384" s="14">
        <x:f>IF(B1384="","", -$F$8*SIN(B1384) - $B$7*$F$6*SIN($F$6*B1384))</x:f>
      </x:c>
      <x:c r="H1384" s="14">
        <x:f>IF(B1384="","", $F$8*COS(B1384) - $B$7*$F$6*COS($F$6*B1384))</x:f>
      </x:c>
    </x:row>
    <x:row r="1385">
      <x:c r="A1385" s="13" t="n">
        <x:v>1366</x:v>
      </x:c>
      <x:c r="B1385" s="14">
        <x:f>IF($B$12&lt;1366,"",$B$13+(1366-1)*($B$14-$B$13)/($B$12-1))</x:f>
      </x:c>
      <x:c r="C1385" s="14">
        <x:f>IF(B1385="","",$F$8*COS(B1385) + $B$7*COS($F$6*B1385))</x:f>
      </x:c>
      <x:c r="D1385" s="14">
        <x:f>IF(B1385="","",$F$8*SIN(B1385) - $B$7*SIN($F$6*B1385))</x:f>
      </x:c>
      <x:c r="E1385" s="14">
        <x:f>IF(B1385="","", C1385 + $F$12*$F$9*(-H1385)/IF(SQRT(G1385^2+H1385^2)=0,1,SQRT(G1385^2+H1385^2)))</x:f>
      </x:c>
      <x:c r="F1385" s="14">
        <x:f>IF(B1385="","", D1385 + $F$12*$F$9*(G1385)/IF(SQRT(G1385^2+H1385^2)=0,1,SQRT(G1385^2+H1385^2)))</x:f>
      </x:c>
      <x:c r="G1385" s="14">
        <x:f>IF(B1385="","", -$F$8*SIN(B1385) - $B$7*$F$6*SIN($F$6*B1385))</x:f>
      </x:c>
      <x:c r="H1385" s="14">
        <x:f>IF(B1385="","", $F$8*COS(B1385) - $B$7*$F$6*COS($F$6*B1385))</x:f>
      </x:c>
    </x:row>
    <x:row r="1386">
      <x:c r="A1386" s="13" t="n">
        <x:v>1367</x:v>
      </x:c>
      <x:c r="B1386" s="14">
        <x:f>IF($B$12&lt;1367,"",$B$13+(1367-1)*($B$14-$B$13)/($B$12-1))</x:f>
      </x:c>
      <x:c r="C1386" s="14">
        <x:f>IF(B1386="","",$F$8*COS(B1386) + $B$7*COS($F$6*B1386))</x:f>
      </x:c>
      <x:c r="D1386" s="14">
        <x:f>IF(B1386="","",$F$8*SIN(B1386) - $B$7*SIN($F$6*B1386))</x:f>
      </x:c>
      <x:c r="E1386" s="14">
        <x:f>IF(B1386="","", C1386 + $F$12*$F$9*(-H1386)/IF(SQRT(G1386^2+H1386^2)=0,1,SQRT(G1386^2+H1386^2)))</x:f>
      </x:c>
      <x:c r="F1386" s="14">
        <x:f>IF(B1386="","", D1386 + $F$12*$F$9*(G1386)/IF(SQRT(G1386^2+H1386^2)=0,1,SQRT(G1386^2+H1386^2)))</x:f>
      </x:c>
      <x:c r="G1386" s="14">
        <x:f>IF(B1386="","", -$F$8*SIN(B1386) - $B$7*$F$6*SIN($F$6*B1386))</x:f>
      </x:c>
      <x:c r="H1386" s="14">
        <x:f>IF(B1386="","", $F$8*COS(B1386) - $B$7*$F$6*COS($F$6*B1386))</x:f>
      </x:c>
    </x:row>
    <x:row r="1387">
      <x:c r="A1387" s="13" t="n">
        <x:v>1368</x:v>
      </x:c>
      <x:c r="B1387" s="14">
        <x:f>IF($B$12&lt;1368,"",$B$13+(1368-1)*($B$14-$B$13)/($B$12-1))</x:f>
      </x:c>
      <x:c r="C1387" s="14">
        <x:f>IF(B1387="","",$F$8*COS(B1387) + $B$7*COS($F$6*B1387))</x:f>
      </x:c>
      <x:c r="D1387" s="14">
        <x:f>IF(B1387="","",$F$8*SIN(B1387) - $B$7*SIN($F$6*B1387))</x:f>
      </x:c>
      <x:c r="E1387" s="14">
        <x:f>IF(B1387="","", C1387 + $F$12*$F$9*(-H1387)/IF(SQRT(G1387^2+H1387^2)=0,1,SQRT(G1387^2+H1387^2)))</x:f>
      </x:c>
      <x:c r="F1387" s="14">
        <x:f>IF(B1387="","", D1387 + $F$12*$F$9*(G1387)/IF(SQRT(G1387^2+H1387^2)=0,1,SQRT(G1387^2+H1387^2)))</x:f>
      </x:c>
      <x:c r="G1387" s="14">
        <x:f>IF(B1387="","", -$F$8*SIN(B1387) - $B$7*$F$6*SIN($F$6*B1387))</x:f>
      </x:c>
      <x:c r="H1387" s="14">
        <x:f>IF(B1387="","", $F$8*COS(B1387) - $B$7*$F$6*COS($F$6*B1387))</x:f>
      </x:c>
    </x:row>
    <x:row r="1388">
      <x:c r="A1388" s="13" t="n">
        <x:v>1369</x:v>
      </x:c>
      <x:c r="B1388" s="14">
        <x:f>IF($B$12&lt;1369,"",$B$13+(1369-1)*($B$14-$B$13)/($B$12-1))</x:f>
      </x:c>
      <x:c r="C1388" s="14">
        <x:f>IF(B1388="","",$F$8*COS(B1388) + $B$7*COS($F$6*B1388))</x:f>
      </x:c>
      <x:c r="D1388" s="14">
        <x:f>IF(B1388="","",$F$8*SIN(B1388) - $B$7*SIN($F$6*B1388))</x:f>
      </x:c>
      <x:c r="E1388" s="14">
        <x:f>IF(B1388="","", C1388 + $F$12*$F$9*(-H1388)/IF(SQRT(G1388^2+H1388^2)=0,1,SQRT(G1388^2+H1388^2)))</x:f>
      </x:c>
      <x:c r="F1388" s="14">
        <x:f>IF(B1388="","", D1388 + $F$12*$F$9*(G1388)/IF(SQRT(G1388^2+H1388^2)=0,1,SQRT(G1388^2+H1388^2)))</x:f>
      </x:c>
      <x:c r="G1388" s="14">
        <x:f>IF(B1388="","", -$F$8*SIN(B1388) - $B$7*$F$6*SIN($F$6*B1388))</x:f>
      </x:c>
      <x:c r="H1388" s="14">
        <x:f>IF(B1388="","", $F$8*COS(B1388) - $B$7*$F$6*COS($F$6*B1388))</x:f>
      </x:c>
    </x:row>
    <x:row r="1389">
      <x:c r="A1389" s="13" t="n">
        <x:v>1370</x:v>
      </x:c>
      <x:c r="B1389" s="14">
        <x:f>IF($B$12&lt;1370,"",$B$13+(1370-1)*($B$14-$B$13)/($B$12-1))</x:f>
      </x:c>
      <x:c r="C1389" s="14">
        <x:f>IF(B1389="","",$F$8*COS(B1389) + $B$7*COS($F$6*B1389))</x:f>
      </x:c>
      <x:c r="D1389" s="14">
        <x:f>IF(B1389="","",$F$8*SIN(B1389) - $B$7*SIN($F$6*B1389))</x:f>
      </x:c>
      <x:c r="E1389" s="14">
        <x:f>IF(B1389="","", C1389 + $F$12*$F$9*(-H1389)/IF(SQRT(G1389^2+H1389^2)=0,1,SQRT(G1389^2+H1389^2)))</x:f>
      </x:c>
      <x:c r="F1389" s="14">
        <x:f>IF(B1389="","", D1389 + $F$12*$F$9*(G1389)/IF(SQRT(G1389^2+H1389^2)=0,1,SQRT(G1389^2+H1389^2)))</x:f>
      </x:c>
      <x:c r="G1389" s="14">
        <x:f>IF(B1389="","", -$F$8*SIN(B1389) - $B$7*$F$6*SIN($F$6*B1389))</x:f>
      </x:c>
      <x:c r="H1389" s="14">
        <x:f>IF(B1389="","", $F$8*COS(B1389) - $B$7*$F$6*COS($F$6*B1389))</x:f>
      </x:c>
    </x:row>
    <x:row r="1390">
      <x:c r="A1390" s="13" t="n">
        <x:v>1371</x:v>
      </x:c>
      <x:c r="B1390" s="14">
        <x:f>IF($B$12&lt;1371,"",$B$13+(1371-1)*($B$14-$B$13)/($B$12-1))</x:f>
      </x:c>
      <x:c r="C1390" s="14">
        <x:f>IF(B1390="","",$F$8*COS(B1390) + $B$7*COS($F$6*B1390))</x:f>
      </x:c>
      <x:c r="D1390" s="14">
        <x:f>IF(B1390="","",$F$8*SIN(B1390) - $B$7*SIN($F$6*B1390))</x:f>
      </x:c>
      <x:c r="E1390" s="14">
        <x:f>IF(B1390="","", C1390 + $F$12*$F$9*(-H1390)/IF(SQRT(G1390^2+H1390^2)=0,1,SQRT(G1390^2+H1390^2)))</x:f>
      </x:c>
      <x:c r="F1390" s="14">
        <x:f>IF(B1390="","", D1390 + $F$12*$F$9*(G1390)/IF(SQRT(G1390^2+H1390^2)=0,1,SQRT(G1390^2+H1390^2)))</x:f>
      </x:c>
      <x:c r="G1390" s="14">
        <x:f>IF(B1390="","", -$F$8*SIN(B1390) - $B$7*$F$6*SIN($F$6*B1390))</x:f>
      </x:c>
      <x:c r="H1390" s="14">
        <x:f>IF(B1390="","", $F$8*COS(B1390) - $B$7*$F$6*COS($F$6*B1390))</x:f>
      </x:c>
    </x:row>
    <x:row r="1391">
      <x:c r="A1391" s="13" t="n">
        <x:v>1372</x:v>
      </x:c>
      <x:c r="B1391" s="14">
        <x:f>IF($B$12&lt;1372,"",$B$13+(1372-1)*($B$14-$B$13)/($B$12-1))</x:f>
      </x:c>
      <x:c r="C1391" s="14">
        <x:f>IF(B1391="","",$F$8*COS(B1391) + $B$7*COS($F$6*B1391))</x:f>
      </x:c>
      <x:c r="D1391" s="14">
        <x:f>IF(B1391="","",$F$8*SIN(B1391) - $B$7*SIN($F$6*B1391))</x:f>
      </x:c>
      <x:c r="E1391" s="14">
        <x:f>IF(B1391="","", C1391 + $F$12*$F$9*(-H1391)/IF(SQRT(G1391^2+H1391^2)=0,1,SQRT(G1391^2+H1391^2)))</x:f>
      </x:c>
      <x:c r="F1391" s="14">
        <x:f>IF(B1391="","", D1391 + $F$12*$F$9*(G1391)/IF(SQRT(G1391^2+H1391^2)=0,1,SQRT(G1391^2+H1391^2)))</x:f>
      </x:c>
      <x:c r="G1391" s="14">
        <x:f>IF(B1391="","", -$F$8*SIN(B1391) - $B$7*$F$6*SIN($F$6*B1391))</x:f>
      </x:c>
      <x:c r="H1391" s="14">
        <x:f>IF(B1391="","", $F$8*COS(B1391) - $B$7*$F$6*COS($F$6*B1391))</x:f>
      </x:c>
    </x:row>
    <x:row r="1392">
      <x:c r="A1392" s="13" t="n">
        <x:v>1373</x:v>
      </x:c>
      <x:c r="B1392" s="14">
        <x:f>IF($B$12&lt;1373,"",$B$13+(1373-1)*($B$14-$B$13)/($B$12-1))</x:f>
      </x:c>
      <x:c r="C1392" s="14">
        <x:f>IF(B1392="","",$F$8*COS(B1392) + $B$7*COS($F$6*B1392))</x:f>
      </x:c>
      <x:c r="D1392" s="14">
        <x:f>IF(B1392="","",$F$8*SIN(B1392) - $B$7*SIN($F$6*B1392))</x:f>
      </x:c>
      <x:c r="E1392" s="14">
        <x:f>IF(B1392="","", C1392 + $F$12*$F$9*(-H1392)/IF(SQRT(G1392^2+H1392^2)=0,1,SQRT(G1392^2+H1392^2)))</x:f>
      </x:c>
      <x:c r="F1392" s="14">
        <x:f>IF(B1392="","", D1392 + $F$12*$F$9*(G1392)/IF(SQRT(G1392^2+H1392^2)=0,1,SQRT(G1392^2+H1392^2)))</x:f>
      </x:c>
      <x:c r="G1392" s="14">
        <x:f>IF(B1392="","", -$F$8*SIN(B1392) - $B$7*$F$6*SIN($F$6*B1392))</x:f>
      </x:c>
      <x:c r="H1392" s="14">
        <x:f>IF(B1392="","", $F$8*COS(B1392) - $B$7*$F$6*COS($F$6*B1392))</x:f>
      </x:c>
    </x:row>
    <x:row r="1393">
      <x:c r="A1393" s="13" t="n">
        <x:v>1374</x:v>
      </x:c>
      <x:c r="B1393" s="14">
        <x:f>IF($B$12&lt;1374,"",$B$13+(1374-1)*($B$14-$B$13)/($B$12-1))</x:f>
      </x:c>
      <x:c r="C1393" s="14">
        <x:f>IF(B1393="","",$F$8*COS(B1393) + $B$7*COS($F$6*B1393))</x:f>
      </x:c>
      <x:c r="D1393" s="14">
        <x:f>IF(B1393="","",$F$8*SIN(B1393) - $B$7*SIN($F$6*B1393))</x:f>
      </x:c>
      <x:c r="E1393" s="14">
        <x:f>IF(B1393="","", C1393 + $F$12*$F$9*(-H1393)/IF(SQRT(G1393^2+H1393^2)=0,1,SQRT(G1393^2+H1393^2)))</x:f>
      </x:c>
      <x:c r="F1393" s="14">
        <x:f>IF(B1393="","", D1393 + $F$12*$F$9*(G1393)/IF(SQRT(G1393^2+H1393^2)=0,1,SQRT(G1393^2+H1393^2)))</x:f>
      </x:c>
      <x:c r="G1393" s="14">
        <x:f>IF(B1393="","", -$F$8*SIN(B1393) - $B$7*$F$6*SIN($F$6*B1393))</x:f>
      </x:c>
      <x:c r="H1393" s="14">
        <x:f>IF(B1393="","", $F$8*COS(B1393) - $B$7*$F$6*COS($F$6*B1393))</x:f>
      </x:c>
    </x:row>
    <x:row r="1394">
      <x:c r="A1394" s="13" t="n">
        <x:v>1375</x:v>
      </x:c>
      <x:c r="B1394" s="14">
        <x:f>IF($B$12&lt;1375,"",$B$13+(1375-1)*($B$14-$B$13)/($B$12-1))</x:f>
      </x:c>
      <x:c r="C1394" s="14">
        <x:f>IF(B1394="","",$F$8*COS(B1394) + $B$7*COS($F$6*B1394))</x:f>
      </x:c>
      <x:c r="D1394" s="14">
        <x:f>IF(B1394="","",$F$8*SIN(B1394) - $B$7*SIN($F$6*B1394))</x:f>
      </x:c>
      <x:c r="E1394" s="14">
        <x:f>IF(B1394="","", C1394 + $F$12*$F$9*(-H1394)/IF(SQRT(G1394^2+H1394^2)=0,1,SQRT(G1394^2+H1394^2)))</x:f>
      </x:c>
      <x:c r="F1394" s="14">
        <x:f>IF(B1394="","", D1394 + $F$12*$F$9*(G1394)/IF(SQRT(G1394^2+H1394^2)=0,1,SQRT(G1394^2+H1394^2)))</x:f>
      </x:c>
      <x:c r="G1394" s="14">
        <x:f>IF(B1394="","", -$F$8*SIN(B1394) - $B$7*$F$6*SIN($F$6*B1394))</x:f>
      </x:c>
      <x:c r="H1394" s="14">
        <x:f>IF(B1394="","", $F$8*COS(B1394) - $B$7*$F$6*COS($F$6*B1394))</x:f>
      </x:c>
    </x:row>
    <x:row r="1395">
      <x:c r="A1395" s="13" t="n">
        <x:v>1376</x:v>
      </x:c>
      <x:c r="B1395" s="14">
        <x:f>IF($B$12&lt;1376,"",$B$13+(1376-1)*($B$14-$B$13)/($B$12-1))</x:f>
      </x:c>
      <x:c r="C1395" s="14">
        <x:f>IF(B1395="","",$F$8*COS(B1395) + $B$7*COS($F$6*B1395))</x:f>
      </x:c>
      <x:c r="D1395" s="14">
        <x:f>IF(B1395="","",$F$8*SIN(B1395) - $B$7*SIN($F$6*B1395))</x:f>
      </x:c>
      <x:c r="E1395" s="14">
        <x:f>IF(B1395="","", C1395 + $F$12*$F$9*(-H1395)/IF(SQRT(G1395^2+H1395^2)=0,1,SQRT(G1395^2+H1395^2)))</x:f>
      </x:c>
      <x:c r="F1395" s="14">
        <x:f>IF(B1395="","", D1395 + $F$12*$F$9*(G1395)/IF(SQRT(G1395^2+H1395^2)=0,1,SQRT(G1395^2+H1395^2)))</x:f>
      </x:c>
      <x:c r="G1395" s="14">
        <x:f>IF(B1395="","", -$F$8*SIN(B1395) - $B$7*$F$6*SIN($F$6*B1395))</x:f>
      </x:c>
      <x:c r="H1395" s="14">
        <x:f>IF(B1395="","", $F$8*COS(B1395) - $B$7*$F$6*COS($F$6*B1395))</x:f>
      </x:c>
    </x:row>
    <x:row r="1396">
      <x:c r="A1396" s="13" t="n">
        <x:v>1377</x:v>
      </x:c>
      <x:c r="B1396" s="14">
        <x:f>IF($B$12&lt;1377,"",$B$13+(1377-1)*($B$14-$B$13)/($B$12-1))</x:f>
      </x:c>
      <x:c r="C1396" s="14">
        <x:f>IF(B1396="","",$F$8*COS(B1396) + $B$7*COS($F$6*B1396))</x:f>
      </x:c>
      <x:c r="D1396" s="14">
        <x:f>IF(B1396="","",$F$8*SIN(B1396) - $B$7*SIN($F$6*B1396))</x:f>
      </x:c>
      <x:c r="E1396" s="14">
        <x:f>IF(B1396="","", C1396 + $F$12*$F$9*(-H1396)/IF(SQRT(G1396^2+H1396^2)=0,1,SQRT(G1396^2+H1396^2)))</x:f>
      </x:c>
      <x:c r="F1396" s="14">
        <x:f>IF(B1396="","", D1396 + $F$12*$F$9*(G1396)/IF(SQRT(G1396^2+H1396^2)=0,1,SQRT(G1396^2+H1396^2)))</x:f>
      </x:c>
      <x:c r="G1396" s="14">
        <x:f>IF(B1396="","", -$F$8*SIN(B1396) - $B$7*$F$6*SIN($F$6*B1396))</x:f>
      </x:c>
      <x:c r="H1396" s="14">
        <x:f>IF(B1396="","", $F$8*COS(B1396) - $B$7*$F$6*COS($F$6*B1396))</x:f>
      </x:c>
    </x:row>
    <x:row r="1397">
      <x:c r="A1397" s="13" t="n">
        <x:v>1378</x:v>
      </x:c>
      <x:c r="B1397" s="14">
        <x:f>IF($B$12&lt;1378,"",$B$13+(1378-1)*($B$14-$B$13)/($B$12-1))</x:f>
      </x:c>
      <x:c r="C1397" s="14">
        <x:f>IF(B1397="","",$F$8*COS(B1397) + $B$7*COS($F$6*B1397))</x:f>
      </x:c>
      <x:c r="D1397" s="14">
        <x:f>IF(B1397="","",$F$8*SIN(B1397) - $B$7*SIN($F$6*B1397))</x:f>
      </x:c>
      <x:c r="E1397" s="14">
        <x:f>IF(B1397="","", C1397 + $F$12*$F$9*(-H1397)/IF(SQRT(G1397^2+H1397^2)=0,1,SQRT(G1397^2+H1397^2)))</x:f>
      </x:c>
      <x:c r="F1397" s="14">
        <x:f>IF(B1397="","", D1397 + $F$12*$F$9*(G1397)/IF(SQRT(G1397^2+H1397^2)=0,1,SQRT(G1397^2+H1397^2)))</x:f>
      </x:c>
      <x:c r="G1397" s="14">
        <x:f>IF(B1397="","", -$F$8*SIN(B1397) - $B$7*$F$6*SIN($F$6*B1397))</x:f>
      </x:c>
      <x:c r="H1397" s="14">
        <x:f>IF(B1397="","", $F$8*COS(B1397) - $B$7*$F$6*COS($F$6*B1397))</x:f>
      </x:c>
    </x:row>
    <x:row r="1398">
      <x:c r="A1398" s="13" t="n">
        <x:v>1379</x:v>
      </x:c>
      <x:c r="B1398" s="14">
        <x:f>IF($B$12&lt;1379,"",$B$13+(1379-1)*($B$14-$B$13)/($B$12-1))</x:f>
      </x:c>
      <x:c r="C1398" s="14">
        <x:f>IF(B1398="","",$F$8*COS(B1398) + $B$7*COS($F$6*B1398))</x:f>
      </x:c>
      <x:c r="D1398" s="14">
        <x:f>IF(B1398="","",$F$8*SIN(B1398) - $B$7*SIN($F$6*B1398))</x:f>
      </x:c>
      <x:c r="E1398" s="14">
        <x:f>IF(B1398="","", C1398 + $F$12*$F$9*(-H1398)/IF(SQRT(G1398^2+H1398^2)=0,1,SQRT(G1398^2+H1398^2)))</x:f>
      </x:c>
      <x:c r="F1398" s="14">
        <x:f>IF(B1398="","", D1398 + $F$12*$F$9*(G1398)/IF(SQRT(G1398^2+H1398^2)=0,1,SQRT(G1398^2+H1398^2)))</x:f>
      </x:c>
      <x:c r="G1398" s="14">
        <x:f>IF(B1398="","", -$F$8*SIN(B1398) - $B$7*$F$6*SIN($F$6*B1398))</x:f>
      </x:c>
      <x:c r="H1398" s="14">
        <x:f>IF(B1398="","", $F$8*COS(B1398) - $B$7*$F$6*COS($F$6*B1398))</x:f>
      </x:c>
    </x:row>
    <x:row r="1399">
      <x:c r="A1399" s="13" t="n">
        <x:v>1380</x:v>
      </x:c>
      <x:c r="B1399" s="14">
        <x:f>IF($B$12&lt;1380,"",$B$13+(1380-1)*($B$14-$B$13)/($B$12-1))</x:f>
      </x:c>
      <x:c r="C1399" s="14">
        <x:f>IF(B1399="","",$F$8*COS(B1399) + $B$7*COS($F$6*B1399))</x:f>
      </x:c>
      <x:c r="D1399" s="14">
        <x:f>IF(B1399="","",$F$8*SIN(B1399) - $B$7*SIN($F$6*B1399))</x:f>
      </x:c>
      <x:c r="E1399" s="14">
        <x:f>IF(B1399="","", C1399 + $F$12*$F$9*(-H1399)/IF(SQRT(G1399^2+H1399^2)=0,1,SQRT(G1399^2+H1399^2)))</x:f>
      </x:c>
      <x:c r="F1399" s="14">
        <x:f>IF(B1399="","", D1399 + $F$12*$F$9*(G1399)/IF(SQRT(G1399^2+H1399^2)=0,1,SQRT(G1399^2+H1399^2)))</x:f>
      </x:c>
      <x:c r="G1399" s="14">
        <x:f>IF(B1399="","", -$F$8*SIN(B1399) - $B$7*$F$6*SIN($F$6*B1399))</x:f>
      </x:c>
      <x:c r="H1399" s="14">
        <x:f>IF(B1399="","", $F$8*COS(B1399) - $B$7*$F$6*COS($F$6*B1399))</x:f>
      </x:c>
    </x:row>
    <x:row r="1400">
      <x:c r="A1400" s="13" t="n">
        <x:v>1381</x:v>
      </x:c>
      <x:c r="B1400" s="14">
        <x:f>IF($B$12&lt;1381,"",$B$13+(1381-1)*($B$14-$B$13)/($B$12-1))</x:f>
      </x:c>
      <x:c r="C1400" s="14">
        <x:f>IF(B1400="","",$F$8*COS(B1400) + $B$7*COS($F$6*B1400))</x:f>
      </x:c>
      <x:c r="D1400" s="14">
        <x:f>IF(B1400="","",$F$8*SIN(B1400) - $B$7*SIN($F$6*B1400))</x:f>
      </x:c>
      <x:c r="E1400" s="14">
        <x:f>IF(B1400="","", C1400 + $F$12*$F$9*(-H1400)/IF(SQRT(G1400^2+H1400^2)=0,1,SQRT(G1400^2+H1400^2)))</x:f>
      </x:c>
      <x:c r="F1400" s="14">
        <x:f>IF(B1400="","", D1400 + $F$12*$F$9*(G1400)/IF(SQRT(G1400^2+H1400^2)=0,1,SQRT(G1400^2+H1400^2)))</x:f>
      </x:c>
      <x:c r="G1400" s="14">
        <x:f>IF(B1400="","", -$F$8*SIN(B1400) - $B$7*$F$6*SIN($F$6*B1400))</x:f>
      </x:c>
      <x:c r="H1400" s="14">
        <x:f>IF(B1400="","", $F$8*COS(B1400) - $B$7*$F$6*COS($F$6*B1400))</x:f>
      </x:c>
    </x:row>
    <x:row r="1401">
      <x:c r="A1401" s="13" t="n">
        <x:v>1382</x:v>
      </x:c>
      <x:c r="B1401" s="14">
        <x:f>IF($B$12&lt;1382,"",$B$13+(1382-1)*($B$14-$B$13)/($B$12-1))</x:f>
      </x:c>
      <x:c r="C1401" s="14">
        <x:f>IF(B1401="","",$F$8*COS(B1401) + $B$7*COS($F$6*B1401))</x:f>
      </x:c>
      <x:c r="D1401" s="14">
        <x:f>IF(B1401="","",$F$8*SIN(B1401) - $B$7*SIN($F$6*B1401))</x:f>
      </x:c>
      <x:c r="E1401" s="14">
        <x:f>IF(B1401="","", C1401 + $F$12*$F$9*(-H1401)/IF(SQRT(G1401^2+H1401^2)=0,1,SQRT(G1401^2+H1401^2)))</x:f>
      </x:c>
      <x:c r="F1401" s="14">
        <x:f>IF(B1401="","", D1401 + $F$12*$F$9*(G1401)/IF(SQRT(G1401^2+H1401^2)=0,1,SQRT(G1401^2+H1401^2)))</x:f>
      </x:c>
      <x:c r="G1401" s="14">
        <x:f>IF(B1401="","", -$F$8*SIN(B1401) - $B$7*$F$6*SIN($F$6*B1401))</x:f>
      </x:c>
      <x:c r="H1401" s="14">
        <x:f>IF(B1401="","", $F$8*COS(B1401) - $B$7*$F$6*COS($F$6*B1401))</x:f>
      </x:c>
    </x:row>
    <x:row r="1402">
      <x:c r="A1402" s="13" t="n">
        <x:v>1383</x:v>
      </x:c>
      <x:c r="B1402" s="14">
        <x:f>IF($B$12&lt;1383,"",$B$13+(1383-1)*($B$14-$B$13)/($B$12-1))</x:f>
      </x:c>
      <x:c r="C1402" s="14">
        <x:f>IF(B1402="","",$F$8*COS(B1402) + $B$7*COS($F$6*B1402))</x:f>
      </x:c>
      <x:c r="D1402" s="14">
        <x:f>IF(B1402="","",$F$8*SIN(B1402) - $B$7*SIN($F$6*B1402))</x:f>
      </x:c>
      <x:c r="E1402" s="14">
        <x:f>IF(B1402="","", C1402 + $F$12*$F$9*(-H1402)/IF(SQRT(G1402^2+H1402^2)=0,1,SQRT(G1402^2+H1402^2)))</x:f>
      </x:c>
      <x:c r="F1402" s="14">
        <x:f>IF(B1402="","", D1402 + $F$12*$F$9*(G1402)/IF(SQRT(G1402^2+H1402^2)=0,1,SQRT(G1402^2+H1402^2)))</x:f>
      </x:c>
      <x:c r="G1402" s="14">
        <x:f>IF(B1402="","", -$F$8*SIN(B1402) - $B$7*$F$6*SIN($F$6*B1402))</x:f>
      </x:c>
      <x:c r="H1402" s="14">
        <x:f>IF(B1402="","", $F$8*COS(B1402) - $B$7*$F$6*COS($F$6*B1402))</x:f>
      </x:c>
    </x:row>
    <x:row r="1403">
      <x:c r="A1403" s="13" t="n">
        <x:v>1384</x:v>
      </x:c>
      <x:c r="B1403" s="14">
        <x:f>IF($B$12&lt;1384,"",$B$13+(1384-1)*($B$14-$B$13)/($B$12-1))</x:f>
      </x:c>
      <x:c r="C1403" s="14">
        <x:f>IF(B1403="","",$F$8*COS(B1403) + $B$7*COS($F$6*B1403))</x:f>
      </x:c>
      <x:c r="D1403" s="14">
        <x:f>IF(B1403="","",$F$8*SIN(B1403) - $B$7*SIN($F$6*B1403))</x:f>
      </x:c>
      <x:c r="E1403" s="14">
        <x:f>IF(B1403="","", C1403 + $F$12*$F$9*(-H1403)/IF(SQRT(G1403^2+H1403^2)=0,1,SQRT(G1403^2+H1403^2)))</x:f>
      </x:c>
      <x:c r="F1403" s="14">
        <x:f>IF(B1403="","", D1403 + $F$12*$F$9*(G1403)/IF(SQRT(G1403^2+H1403^2)=0,1,SQRT(G1403^2+H1403^2)))</x:f>
      </x:c>
      <x:c r="G1403" s="14">
        <x:f>IF(B1403="","", -$F$8*SIN(B1403) - $B$7*$F$6*SIN($F$6*B1403))</x:f>
      </x:c>
      <x:c r="H1403" s="14">
        <x:f>IF(B1403="","", $F$8*COS(B1403) - $B$7*$F$6*COS($F$6*B1403))</x:f>
      </x:c>
    </x:row>
    <x:row r="1404">
      <x:c r="A1404" s="13" t="n">
        <x:v>1385</x:v>
      </x:c>
      <x:c r="B1404" s="14">
        <x:f>IF($B$12&lt;1385,"",$B$13+(1385-1)*($B$14-$B$13)/($B$12-1))</x:f>
      </x:c>
      <x:c r="C1404" s="14">
        <x:f>IF(B1404="","",$F$8*COS(B1404) + $B$7*COS($F$6*B1404))</x:f>
      </x:c>
      <x:c r="D1404" s="14">
        <x:f>IF(B1404="","",$F$8*SIN(B1404) - $B$7*SIN($F$6*B1404))</x:f>
      </x:c>
      <x:c r="E1404" s="14">
        <x:f>IF(B1404="","", C1404 + $F$12*$F$9*(-H1404)/IF(SQRT(G1404^2+H1404^2)=0,1,SQRT(G1404^2+H1404^2)))</x:f>
      </x:c>
      <x:c r="F1404" s="14">
        <x:f>IF(B1404="","", D1404 + $F$12*$F$9*(G1404)/IF(SQRT(G1404^2+H1404^2)=0,1,SQRT(G1404^2+H1404^2)))</x:f>
      </x:c>
      <x:c r="G1404" s="14">
        <x:f>IF(B1404="","", -$F$8*SIN(B1404) - $B$7*$F$6*SIN($F$6*B1404))</x:f>
      </x:c>
      <x:c r="H1404" s="14">
        <x:f>IF(B1404="","", $F$8*COS(B1404) - $B$7*$F$6*COS($F$6*B1404))</x:f>
      </x:c>
    </x:row>
    <x:row r="1405">
      <x:c r="A1405" s="13" t="n">
        <x:v>1386</x:v>
      </x:c>
      <x:c r="B1405" s="14">
        <x:f>IF($B$12&lt;1386,"",$B$13+(1386-1)*($B$14-$B$13)/($B$12-1))</x:f>
      </x:c>
      <x:c r="C1405" s="14">
        <x:f>IF(B1405="","",$F$8*COS(B1405) + $B$7*COS($F$6*B1405))</x:f>
      </x:c>
      <x:c r="D1405" s="14">
        <x:f>IF(B1405="","",$F$8*SIN(B1405) - $B$7*SIN($F$6*B1405))</x:f>
      </x:c>
      <x:c r="E1405" s="14">
        <x:f>IF(B1405="","", C1405 + $F$12*$F$9*(-H1405)/IF(SQRT(G1405^2+H1405^2)=0,1,SQRT(G1405^2+H1405^2)))</x:f>
      </x:c>
      <x:c r="F1405" s="14">
        <x:f>IF(B1405="","", D1405 + $F$12*$F$9*(G1405)/IF(SQRT(G1405^2+H1405^2)=0,1,SQRT(G1405^2+H1405^2)))</x:f>
      </x:c>
      <x:c r="G1405" s="14">
        <x:f>IF(B1405="","", -$F$8*SIN(B1405) - $B$7*$F$6*SIN($F$6*B1405))</x:f>
      </x:c>
      <x:c r="H1405" s="14">
        <x:f>IF(B1405="","", $F$8*COS(B1405) - $B$7*$F$6*COS($F$6*B1405))</x:f>
      </x:c>
    </x:row>
    <x:row r="1406">
      <x:c r="A1406" s="13" t="n">
        <x:v>1387</x:v>
      </x:c>
      <x:c r="B1406" s="14">
        <x:f>IF($B$12&lt;1387,"",$B$13+(1387-1)*($B$14-$B$13)/($B$12-1))</x:f>
      </x:c>
      <x:c r="C1406" s="14">
        <x:f>IF(B1406="","",$F$8*COS(B1406) + $B$7*COS($F$6*B1406))</x:f>
      </x:c>
      <x:c r="D1406" s="14">
        <x:f>IF(B1406="","",$F$8*SIN(B1406) - $B$7*SIN($F$6*B1406))</x:f>
      </x:c>
      <x:c r="E1406" s="14">
        <x:f>IF(B1406="","", C1406 + $F$12*$F$9*(-H1406)/IF(SQRT(G1406^2+H1406^2)=0,1,SQRT(G1406^2+H1406^2)))</x:f>
      </x:c>
      <x:c r="F1406" s="14">
        <x:f>IF(B1406="","", D1406 + $F$12*$F$9*(G1406)/IF(SQRT(G1406^2+H1406^2)=0,1,SQRT(G1406^2+H1406^2)))</x:f>
      </x:c>
      <x:c r="G1406" s="14">
        <x:f>IF(B1406="","", -$F$8*SIN(B1406) - $B$7*$F$6*SIN($F$6*B1406))</x:f>
      </x:c>
      <x:c r="H1406" s="14">
        <x:f>IF(B1406="","", $F$8*COS(B1406) - $B$7*$F$6*COS($F$6*B1406))</x:f>
      </x:c>
    </x:row>
    <x:row r="1407">
      <x:c r="A1407" s="13" t="n">
        <x:v>1388</x:v>
      </x:c>
      <x:c r="B1407" s="14">
        <x:f>IF($B$12&lt;1388,"",$B$13+(1388-1)*($B$14-$B$13)/($B$12-1))</x:f>
      </x:c>
      <x:c r="C1407" s="14">
        <x:f>IF(B1407="","",$F$8*COS(B1407) + $B$7*COS($F$6*B1407))</x:f>
      </x:c>
      <x:c r="D1407" s="14">
        <x:f>IF(B1407="","",$F$8*SIN(B1407) - $B$7*SIN($F$6*B1407))</x:f>
      </x:c>
      <x:c r="E1407" s="14">
        <x:f>IF(B1407="","", C1407 + $F$12*$F$9*(-H1407)/IF(SQRT(G1407^2+H1407^2)=0,1,SQRT(G1407^2+H1407^2)))</x:f>
      </x:c>
      <x:c r="F1407" s="14">
        <x:f>IF(B1407="","", D1407 + $F$12*$F$9*(G1407)/IF(SQRT(G1407^2+H1407^2)=0,1,SQRT(G1407^2+H1407^2)))</x:f>
      </x:c>
      <x:c r="G1407" s="14">
        <x:f>IF(B1407="","", -$F$8*SIN(B1407) - $B$7*$F$6*SIN($F$6*B1407))</x:f>
      </x:c>
      <x:c r="H1407" s="14">
        <x:f>IF(B1407="","", $F$8*COS(B1407) - $B$7*$F$6*COS($F$6*B1407))</x:f>
      </x:c>
    </x:row>
    <x:row r="1408">
      <x:c r="A1408" s="13" t="n">
        <x:v>1389</x:v>
      </x:c>
      <x:c r="B1408" s="14">
        <x:f>IF($B$12&lt;1389,"",$B$13+(1389-1)*($B$14-$B$13)/($B$12-1))</x:f>
      </x:c>
      <x:c r="C1408" s="14">
        <x:f>IF(B1408="","",$F$8*COS(B1408) + $B$7*COS($F$6*B1408))</x:f>
      </x:c>
      <x:c r="D1408" s="14">
        <x:f>IF(B1408="","",$F$8*SIN(B1408) - $B$7*SIN($F$6*B1408))</x:f>
      </x:c>
      <x:c r="E1408" s="14">
        <x:f>IF(B1408="","", C1408 + $F$12*$F$9*(-H1408)/IF(SQRT(G1408^2+H1408^2)=0,1,SQRT(G1408^2+H1408^2)))</x:f>
      </x:c>
      <x:c r="F1408" s="14">
        <x:f>IF(B1408="","", D1408 + $F$12*$F$9*(G1408)/IF(SQRT(G1408^2+H1408^2)=0,1,SQRT(G1408^2+H1408^2)))</x:f>
      </x:c>
      <x:c r="G1408" s="14">
        <x:f>IF(B1408="","", -$F$8*SIN(B1408) - $B$7*$F$6*SIN($F$6*B1408))</x:f>
      </x:c>
      <x:c r="H1408" s="14">
        <x:f>IF(B1408="","", $F$8*COS(B1408) - $B$7*$F$6*COS($F$6*B1408))</x:f>
      </x:c>
    </x:row>
    <x:row r="1409">
      <x:c r="A1409" s="13" t="n">
        <x:v>1390</x:v>
      </x:c>
      <x:c r="B1409" s="14">
        <x:f>IF($B$12&lt;1390,"",$B$13+(1390-1)*($B$14-$B$13)/($B$12-1))</x:f>
      </x:c>
      <x:c r="C1409" s="14">
        <x:f>IF(B1409="","",$F$8*COS(B1409) + $B$7*COS($F$6*B1409))</x:f>
      </x:c>
      <x:c r="D1409" s="14">
        <x:f>IF(B1409="","",$F$8*SIN(B1409) - $B$7*SIN($F$6*B1409))</x:f>
      </x:c>
      <x:c r="E1409" s="14">
        <x:f>IF(B1409="","", C1409 + $F$12*$F$9*(-H1409)/IF(SQRT(G1409^2+H1409^2)=0,1,SQRT(G1409^2+H1409^2)))</x:f>
      </x:c>
      <x:c r="F1409" s="14">
        <x:f>IF(B1409="","", D1409 + $F$12*$F$9*(G1409)/IF(SQRT(G1409^2+H1409^2)=0,1,SQRT(G1409^2+H1409^2)))</x:f>
      </x:c>
      <x:c r="G1409" s="14">
        <x:f>IF(B1409="","", -$F$8*SIN(B1409) - $B$7*$F$6*SIN($F$6*B1409))</x:f>
      </x:c>
      <x:c r="H1409" s="14">
        <x:f>IF(B1409="","", $F$8*COS(B1409) - $B$7*$F$6*COS($F$6*B1409))</x:f>
      </x:c>
    </x:row>
    <x:row r="1410">
      <x:c r="A1410" s="13" t="n">
        <x:v>1391</x:v>
      </x:c>
      <x:c r="B1410" s="14">
        <x:f>IF($B$12&lt;1391,"",$B$13+(1391-1)*($B$14-$B$13)/($B$12-1))</x:f>
      </x:c>
      <x:c r="C1410" s="14">
        <x:f>IF(B1410="","",$F$8*COS(B1410) + $B$7*COS($F$6*B1410))</x:f>
      </x:c>
      <x:c r="D1410" s="14">
        <x:f>IF(B1410="","",$F$8*SIN(B1410) - $B$7*SIN($F$6*B1410))</x:f>
      </x:c>
      <x:c r="E1410" s="14">
        <x:f>IF(B1410="","", C1410 + $F$12*$F$9*(-H1410)/IF(SQRT(G1410^2+H1410^2)=0,1,SQRT(G1410^2+H1410^2)))</x:f>
      </x:c>
      <x:c r="F1410" s="14">
        <x:f>IF(B1410="","", D1410 + $F$12*$F$9*(G1410)/IF(SQRT(G1410^2+H1410^2)=0,1,SQRT(G1410^2+H1410^2)))</x:f>
      </x:c>
      <x:c r="G1410" s="14">
        <x:f>IF(B1410="","", -$F$8*SIN(B1410) - $B$7*$F$6*SIN($F$6*B1410))</x:f>
      </x:c>
      <x:c r="H1410" s="14">
        <x:f>IF(B1410="","", $F$8*COS(B1410) - $B$7*$F$6*COS($F$6*B1410))</x:f>
      </x:c>
    </x:row>
    <x:row r="1411">
      <x:c r="A1411" s="13" t="n">
        <x:v>1392</x:v>
      </x:c>
      <x:c r="B1411" s="14">
        <x:f>IF($B$12&lt;1392,"",$B$13+(1392-1)*($B$14-$B$13)/($B$12-1))</x:f>
      </x:c>
      <x:c r="C1411" s="14">
        <x:f>IF(B1411="","",$F$8*COS(B1411) + $B$7*COS($F$6*B1411))</x:f>
      </x:c>
      <x:c r="D1411" s="14">
        <x:f>IF(B1411="","",$F$8*SIN(B1411) - $B$7*SIN($F$6*B1411))</x:f>
      </x:c>
      <x:c r="E1411" s="14">
        <x:f>IF(B1411="","", C1411 + $F$12*$F$9*(-H1411)/IF(SQRT(G1411^2+H1411^2)=0,1,SQRT(G1411^2+H1411^2)))</x:f>
      </x:c>
      <x:c r="F1411" s="14">
        <x:f>IF(B1411="","", D1411 + $F$12*$F$9*(G1411)/IF(SQRT(G1411^2+H1411^2)=0,1,SQRT(G1411^2+H1411^2)))</x:f>
      </x:c>
      <x:c r="G1411" s="14">
        <x:f>IF(B1411="","", -$F$8*SIN(B1411) - $B$7*$F$6*SIN($F$6*B1411))</x:f>
      </x:c>
      <x:c r="H1411" s="14">
        <x:f>IF(B1411="","", $F$8*COS(B1411) - $B$7*$F$6*COS($F$6*B1411))</x:f>
      </x:c>
    </x:row>
    <x:row r="1412">
      <x:c r="A1412" s="13" t="n">
        <x:v>1393</x:v>
      </x:c>
      <x:c r="B1412" s="14">
        <x:f>IF($B$12&lt;1393,"",$B$13+(1393-1)*($B$14-$B$13)/($B$12-1))</x:f>
      </x:c>
      <x:c r="C1412" s="14">
        <x:f>IF(B1412="","",$F$8*COS(B1412) + $B$7*COS($F$6*B1412))</x:f>
      </x:c>
      <x:c r="D1412" s="14">
        <x:f>IF(B1412="","",$F$8*SIN(B1412) - $B$7*SIN($F$6*B1412))</x:f>
      </x:c>
      <x:c r="E1412" s="14">
        <x:f>IF(B1412="","", C1412 + $F$12*$F$9*(-H1412)/IF(SQRT(G1412^2+H1412^2)=0,1,SQRT(G1412^2+H1412^2)))</x:f>
      </x:c>
      <x:c r="F1412" s="14">
        <x:f>IF(B1412="","", D1412 + $F$12*$F$9*(G1412)/IF(SQRT(G1412^2+H1412^2)=0,1,SQRT(G1412^2+H1412^2)))</x:f>
      </x:c>
      <x:c r="G1412" s="14">
        <x:f>IF(B1412="","", -$F$8*SIN(B1412) - $B$7*$F$6*SIN($F$6*B1412))</x:f>
      </x:c>
      <x:c r="H1412" s="14">
        <x:f>IF(B1412="","", $F$8*COS(B1412) - $B$7*$F$6*COS($F$6*B1412))</x:f>
      </x:c>
    </x:row>
    <x:row r="1413">
      <x:c r="A1413" s="13" t="n">
        <x:v>1394</x:v>
      </x:c>
      <x:c r="B1413" s="14">
        <x:f>IF($B$12&lt;1394,"",$B$13+(1394-1)*($B$14-$B$13)/($B$12-1))</x:f>
      </x:c>
      <x:c r="C1413" s="14">
        <x:f>IF(B1413="","",$F$8*COS(B1413) + $B$7*COS($F$6*B1413))</x:f>
      </x:c>
      <x:c r="D1413" s="14">
        <x:f>IF(B1413="","",$F$8*SIN(B1413) - $B$7*SIN($F$6*B1413))</x:f>
      </x:c>
      <x:c r="E1413" s="14">
        <x:f>IF(B1413="","", C1413 + $F$12*$F$9*(-H1413)/IF(SQRT(G1413^2+H1413^2)=0,1,SQRT(G1413^2+H1413^2)))</x:f>
      </x:c>
      <x:c r="F1413" s="14">
        <x:f>IF(B1413="","", D1413 + $F$12*$F$9*(G1413)/IF(SQRT(G1413^2+H1413^2)=0,1,SQRT(G1413^2+H1413^2)))</x:f>
      </x:c>
      <x:c r="G1413" s="14">
        <x:f>IF(B1413="","", -$F$8*SIN(B1413) - $B$7*$F$6*SIN($F$6*B1413))</x:f>
      </x:c>
      <x:c r="H1413" s="14">
        <x:f>IF(B1413="","", $F$8*COS(B1413) - $B$7*$F$6*COS($F$6*B1413))</x:f>
      </x:c>
    </x:row>
    <x:row r="1414">
      <x:c r="A1414" s="13" t="n">
        <x:v>1395</x:v>
      </x:c>
      <x:c r="B1414" s="14">
        <x:f>IF($B$12&lt;1395,"",$B$13+(1395-1)*($B$14-$B$13)/($B$12-1))</x:f>
      </x:c>
      <x:c r="C1414" s="14">
        <x:f>IF(B1414="","",$F$8*COS(B1414) + $B$7*COS($F$6*B1414))</x:f>
      </x:c>
      <x:c r="D1414" s="14">
        <x:f>IF(B1414="","",$F$8*SIN(B1414) - $B$7*SIN($F$6*B1414))</x:f>
      </x:c>
      <x:c r="E1414" s="14">
        <x:f>IF(B1414="","", C1414 + $F$12*$F$9*(-H1414)/IF(SQRT(G1414^2+H1414^2)=0,1,SQRT(G1414^2+H1414^2)))</x:f>
      </x:c>
      <x:c r="F1414" s="14">
        <x:f>IF(B1414="","", D1414 + $F$12*$F$9*(G1414)/IF(SQRT(G1414^2+H1414^2)=0,1,SQRT(G1414^2+H1414^2)))</x:f>
      </x:c>
      <x:c r="G1414" s="14">
        <x:f>IF(B1414="","", -$F$8*SIN(B1414) - $B$7*$F$6*SIN($F$6*B1414))</x:f>
      </x:c>
      <x:c r="H1414" s="14">
        <x:f>IF(B1414="","", $F$8*COS(B1414) - $B$7*$F$6*COS($F$6*B1414))</x:f>
      </x:c>
    </x:row>
    <x:row r="1415">
      <x:c r="A1415" s="13" t="n">
        <x:v>1396</x:v>
      </x:c>
      <x:c r="B1415" s="14">
        <x:f>IF($B$12&lt;1396,"",$B$13+(1396-1)*($B$14-$B$13)/($B$12-1))</x:f>
      </x:c>
      <x:c r="C1415" s="14">
        <x:f>IF(B1415="","",$F$8*COS(B1415) + $B$7*COS($F$6*B1415))</x:f>
      </x:c>
      <x:c r="D1415" s="14">
        <x:f>IF(B1415="","",$F$8*SIN(B1415) - $B$7*SIN($F$6*B1415))</x:f>
      </x:c>
      <x:c r="E1415" s="14">
        <x:f>IF(B1415="","", C1415 + $F$12*$F$9*(-H1415)/IF(SQRT(G1415^2+H1415^2)=0,1,SQRT(G1415^2+H1415^2)))</x:f>
      </x:c>
      <x:c r="F1415" s="14">
        <x:f>IF(B1415="","", D1415 + $F$12*$F$9*(G1415)/IF(SQRT(G1415^2+H1415^2)=0,1,SQRT(G1415^2+H1415^2)))</x:f>
      </x:c>
      <x:c r="G1415" s="14">
        <x:f>IF(B1415="","", -$F$8*SIN(B1415) - $B$7*$F$6*SIN($F$6*B1415))</x:f>
      </x:c>
      <x:c r="H1415" s="14">
        <x:f>IF(B1415="","", $F$8*COS(B1415) - $B$7*$F$6*COS($F$6*B1415))</x:f>
      </x:c>
    </x:row>
    <x:row r="1416">
      <x:c r="A1416" s="13" t="n">
        <x:v>1397</x:v>
      </x:c>
      <x:c r="B1416" s="14">
        <x:f>IF($B$12&lt;1397,"",$B$13+(1397-1)*($B$14-$B$13)/($B$12-1))</x:f>
      </x:c>
      <x:c r="C1416" s="14">
        <x:f>IF(B1416="","",$F$8*COS(B1416) + $B$7*COS($F$6*B1416))</x:f>
      </x:c>
      <x:c r="D1416" s="14">
        <x:f>IF(B1416="","",$F$8*SIN(B1416) - $B$7*SIN($F$6*B1416))</x:f>
      </x:c>
      <x:c r="E1416" s="14">
        <x:f>IF(B1416="","", C1416 + $F$12*$F$9*(-H1416)/IF(SQRT(G1416^2+H1416^2)=0,1,SQRT(G1416^2+H1416^2)))</x:f>
      </x:c>
      <x:c r="F1416" s="14">
        <x:f>IF(B1416="","", D1416 + $F$12*$F$9*(G1416)/IF(SQRT(G1416^2+H1416^2)=0,1,SQRT(G1416^2+H1416^2)))</x:f>
      </x:c>
      <x:c r="G1416" s="14">
        <x:f>IF(B1416="","", -$F$8*SIN(B1416) - $B$7*$F$6*SIN($F$6*B1416))</x:f>
      </x:c>
      <x:c r="H1416" s="14">
        <x:f>IF(B1416="","", $F$8*COS(B1416) - $B$7*$F$6*COS($F$6*B1416))</x:f>
      </x:c>
    </x:row>
    <x:row r="1417">
      <x:c r="A1417" s="13" t="n">
        <x:v>1398</x:v>
      </x:c>
      <x:c r="B1417" s="14">
        <x:f>IF($B$12&lt;1398,"",$B$13+(1398-1)*($B$14-$B$13)/($B$12-1))</x:f>
      </x:c>
      <x:c r="C1417" s="14">
        <x:f>IF(B1417="","",$F$8*COS(B1417) + $B$7*COS($F$6*B1417))</x:f>
      </x:c>
      <x:c r="D1417" s="14">
        <x:f>IF(B1417="","",$F$8*SIN(B1417) - $B$7*SIN($F$6*B1417))</x:f>
      </x:c>
      <x:c r="E1417" s="14">
        <x:f>IF(B1417="","", C1417 + $F$12*$F$9*(-H1417)/IF(SQRT(G1417^2+H1417^2)=0,1,SQRT(G1417^2+H1417^2)))</x:f>
      </x:c>
      <x:c r="F1417" s="14">
        <x:f>IF(B1417="","", D1417 + $F$12*$F$9*(G1417)/IF(SQRT(G1417^2+H1417^2)=0,1,SQRT(G1417^2+H1417^2)))</x:f>
      </x:c>
      <x:c r="G1417" s="14">
        <x:f>IF(B1417="","", -$F$8*SIN(B1417) - $B$7*$F$6*SIN($F$6*B1417))</x:f>
      </x:c>
      <x:c r="H1417" s="14">
        <x:f>IF(B1417="","", $F$8*COS(B1417) - $B$7*$F$6*COS($F$6*B1417))</x:f>
      </x:c>
    </x:row>
    <x:row r="1418">
      <x:c r="A1418" s="13" t="n">
        <x:v>1399</x:v>
      </x:c>
      <x:c r="B1418" s="14">
        <x:f>IF($B$12&lt;1399,"",$B$13+(1399-1)*($B$14-$B$13)/($B$12-1))</x:f>
      </x:c>
      <x:c r="C1418" s="14">
        <x:f>IF(B1418="","",$F$8*COS(B1418) + $B$7*COS($F$6*B1418))</x:f>
      </x:c>
      <x:c r="D1418" s="14">
        <x:f>IF(B1418="","",$F$8*SIN(B1418) - $B$7*SIN($F$6*B1418))</x:f>
      </x:c>
      <x:c r="E1418" s="14">
        <x:f>IF(B1418="","", C1418 + $F$12*$F$9*(-H1418)/IF(SQRT(G1418^2+H1418^2)=0,1,SQRT(G1418^2+H1418^2)))</x:f>
      </x:c>
      <x:c r="F1418" s="14">
        <x:f>IF(B1418="","", D1418 + $F$12*$F$9*(G1418)/IF(SQRT(G1418^2+H1418^2)=0,1,SQRT(G1418^2+H1418^2)))</x:f>
      </x:c>
      <x:c r="G1418" s="14">
        <x:f>IF(B1418="","", -$F$8*SIN(B1418) - $B$7*$F$6*SIN($F$6*B1418))</x:f>
      </x:c>
      <x:c r="H1418" s="14">
        <x:f>IF(B1418="","", $F$8*COS(B1418) - $B$7*$F$6*COS($F$6*B1418))</x:f>
      </x:c>
    </x:row>
    <x:row r="1419">
      <x:c r="A1419" s="13" t="n">
        <x:v>1400</x:v>
      </x:c>
      <x:c r="B1419" s="14">
        <x:f>IF($B$12&lt;1400,"",$B$13+(1400-1)*($B$14-$B$13)/($B$12-1))</x:f>
      </x:c>
      <x:c r="C1419" s="14">
        <x:f>IF(B1419="","",$F$8*COS(B1419) + $B$7*COS($F$6*B1419))</x:f>
      </x:c>
      <x:c r="D1419" s="14">
        <x:f>IF(B1419="","",$F$8*SIN(B1419) - $B$7*SIN($F$6*B1419))</x:f>
      </x:c>
      <x:c r="E1419" s="14">
        <x:f>IF(B1419="","", C1419 + $F$12*$F$9*(-H1419)/IF(SQRT(G1419^2+H1419^2)=0,1,SQRT(G1419^2+H1419^2)))</x:f>
      </x:c>
      <x:c r="F1419" s="14">
        <x:f>IF(B1419="","", D1419 + $F$12*$F$9*(G1419)/IF(SQRT(G1419^2+H1419^2)=0,1,SQRT(G1419^2+H1419^2)))</x:f>
      </x:c>
      <x:c r="G1419" s="14">
        <x:f>IF(B1419="","", -$F$8*SIN(B1419) - $B$7*$F$6*SIN($F$6*B1419))</x:f>
      </x:c>
      <x:c r="H1419" s="14">
        <x:f>IF(B1419="","", $F$8*COS(B1419) - $B$7*$F$6*COS($F$6*B1419))</x:f>
      </x:c>
    </x:row>
    <x:row r="1420">
      <x:c r="A1420" s="13" t="n">
        <x:v>1401</x:v>
      </x:c>
      <x:c r="B1420" s="14">
        <x:f>IF($B$12&lt;1401,"",$B$13+(1401-1)*($B$14-$B$13)/($B$12-1))</x:f>
      </x:c>
      <x:c r="C1420" s="14">
        <x:f>IF(B1420="","",$F$8*COS(B1420) + $B$7*COS($F$6*B1420))</x:f>
      </x:c>
      <x:c r="D1420" s="14">
        <x:f>IF(B1420="","",$F$8*SIN(B1420) - $B$7*SIN($F$6*B1420))</x:f>
      </x:c>
      <x:c r="E1420" s="14">
        <x:f>IF(B1420="","", C1420 + $F$12*$F$9*(-H1420)/IF(SQRT(G1420^2+H1420^2)=0,1,SQRT(G1420^2+H1420^2)))</x:f>
      </x:c>
      <x:c r="F1420" s="14">
        <x:f>IF(B1420="","", D1420 + $F$12*$F$9*(G1420)/IF(SQRT(G1420^2+H1420^2)=0,1,SQRT(G1420^2+H1420^2)))</x:f>
      </x:c>
      <x:c r="G1420" s="14">
        <x:f>IF(B1420="","", -$F$8*SIN(B1420) - $B$7*$F$6*SIN($F$6*B1420))</x:f>
      </x:c>
      <x:c r="H1420" s="14">
        <x:f>IF(B1420="","", $F$8*COS(B1420) - $B$7*$F$6*COS($F$6*B1420))</x:f>
      </x:c>
    </x:row>
    <x:row r="1421">
      <x:c r="A1421" s="13" t="n">
        <x:v>1402</x:v>
      </x:c>
      <x:c r="B1421" s="14">
        <x:f>IF($B$12&lt;1402,"",$B$13+(1402-1)*($B$14-$B$13)/($B$12-1))</x:f>
      </x:c>
      <x:c r="C1421" s="14">
        <x:f>IF(B1421="","",$F$8*COS(B1421) + $B$7*COS($F$6*B1421))</x:f>
      </x:c>
      <x:c r="D1421" s="14">
        <x:f>IF(B1421="","",$F$8*SIN(B1421) - $B$7*SIN($F$6*B1421))</x:f>
      </x:c>
      <x:c r="E1421" s="14">
        <x:f>IF(B1421="","", C1421 + $F$12*$F$9*(-H1421)/IF(SQRT(G1421^2+H1421^2)=0,1,SQRT(G1421^2+H1421^2)))</x:f>
      </x:c>
      <x:c r="F1421" s="14">
        <x:f>IF(B1421="","", D1421 + $F$12*$F$9*(G1421)/IF(SQRT(G1421^2+H1421^2)=0,1,SQRT(G1421^2+H1421^2)))</x:f>
      </x:c>
      <x:c r="G1421" s="14">
        <x:f>IF(B1421="","", -$F$8*SIN(B1421) - $B$7*$F$6*SIN($F$6*B1421))</x:f>
      </x:c>
      <x:c r="H1421" s="14">
        <x:f>IF(B1421="","", $F$8*COS(B1421) - $B$7*$F$6*COS($F$6*B1421))</x:f>
      </x:c>
    </x:row>
    <x:row r="1422">
      <x:c r="A1422" s="13" t="n">
        <x:v>1403</x:v>
      </x:c>
      <x:c r="B1422" s="14">
        <x:f>IF($B$12&lt;1403,"",$B$13+(1403-1)*($B$14-$B$13)/($B$12-1))</x:f>
      </x:c>
      <x:c r="C1422" s="14">
        <x:f>IF(B1422="","",$F$8*COS(B1422) + $B$7*COS($F$6*B1422))</x:f>
      </x:c>
      <x:c r="D1422" s="14">
        <x:f>IF(B1422="","",$F$8*SIN(B1422) - $B$7*SIN($F$6*B1422))</x:f>
      </x:c>
      <x:c r="E1422" s="14">
        <x:f>IF(B1422="","", C1422 + $F$12*$F$9*(-H1422)/IF(SQRT(G1422^2+H1422^2)=0,1,SQRT(G1422^2+H1422^2)))</x:f>
      </x:c>
      <x:c r="F1422" s="14">
        <x:f>IF(B1422="","", D1422 + $F$12*$F$9*(G1422)/IF(SQRT(G1422^2+H1422^2)=0,1,SQRT(G1422^2+H1422^2)))</x:f>
      </x:c>
      <x:c r="G1422" s="14">
        <x:f>IF(B1422="","", -$F$8*SIN(B1422) - $B$7*$F$6*SIN($F$6*B1422))</x:f>
      </x:c>
      <x:c r="H1422" s="14">
        <x:f>IF(B1422="","", $F$8*COS(B1422) - $B$7*$F$6*COS($F$6*B1422))</x:f>
      </x:c>
    </x:row>
    <x:row r="1423">
      <x:c r="A1423" s="13" t="n">
        <x:v>1404</x:v>
      </x:c>
      <x:c r="B1423" s="14">
        <x:f>IF($B$12&lt;1404,"",$B$13+(1404-1)*($B$14-$B$13)/($B$12-1))</x:f>
      </x:c>
      <x:c r="C1423" s="14">
        <x:f>IF(B1423="","",$F$8*COS(B1423) + $B$7*COS($F$6*B1423))</x:f>
      </x:c>
      <x:c r="D1423" s="14">
        <x:f>IF(B1423="","",$F$8*SIN(B1423) - $B$7*SIN($F$6*B1423))</x:f>
      </x:c>
      <x:c r="E1423" s="14">
        <x:f>IF(B1423="","", C1423 + $F$12*$F$9*(-H1423)/IF(SQRT(G1423^2+H1423^2)=0,1,SQRT(G1423^2+H1423^2)))</x:f>
      </x:c>
      <x:c r="F1423" s="14">
        <x:f>IF(B1423="","", D1423 + $F$12*$F$9*(G1423)/IF(SQRT(G1423^2+H1423^2)=0,1,SQRT(G1423^2+H1423^2)))</x:f>
      </x:c>
      <x:c r="G1423" s="14">
        <x:f>IF(B1423="","", -$F$8*SIN(B1423) - $B$7*$F$6*SIN($F$6*B1423))</x:f>
      </x:c>
      <x:c r="H1423" s="14">
        <x:f>IF(B1423="","", $F$8*COS(B1423) - $B$7*$F$6*COS($F$6*B1423))</x:f>
      </x:c>
    </x:row>
    <x:row r="1424">
      <x:c r="A1424" s="13" t="n">
        <x:v>1405</x:v>
      </x:c>
      <x:c r="B1424" s="14">
        <x:f>IF($B$12&lt;1405,"",$B$13+(1405-1)*($B$14-$B$13)/($B$12-1))</x:f>
      </x:c>
      <x:c r="C1424" s="14">
        <x:f>IF(B1424="","",$F$8*COS(B1424) + $B$7*COS($F$6*B1424))</x:f>
      </x:c>
      <x:c r="D1424" s="14">
        <x:f>IF(B1424="","",$F$8*SIN(B1424) - $B$7*SIN($F$6*B1424))</x:f>
      </x:c>
      <x:c r="E1424" s="14">
        <x:f>IF(B1424="","", C1424 + $F$12*$F$9*(-H1424)/IF(SQRT(G1424^2+H1424^2)=0,1,SQRT(G1424^2+H1424^2)))</x:f>
      </x:c>
      <x:c r="F1424" s="14">
        <x:f>IF(B1424="","", D1424 + $F$12*$F$9*(G1424)/IF(SQRT(G1424^2+H1424^2)=0,1,SQRT(G1424^2+H1424^2)))</x:f>
      </x:c>
      <x:c r="G1424" s="14">
        <x:f>IF(B1424="","", -$F$8*SIN(B1424) - $B$7*$F$6*SIN($F$6*B1424))</x:f>
      </x:c>
      <x:c r="H1424" s="14">
        <x:f>IF(B1424="","", $F$8*COS(B1424) - $B$7*$F$6*COS($F$6*B1424))</x:f>
      </x:c>
    </x:row>
    <x:row r="1425">
      <x:c r="A1425" s="13" t="n">
        <x:v>1406</x:v>
      </x:c>
      <x:c r="B1425" s="14">
        <x:f>IF($B$12&lt;1406,"",$B$13+(1406-1)*($B$14-$B$13)/($B$12-1))</x:f>
      </x:c>
      <x:c r="C1425" s="14">
        <x:f>IF(B1425="","",$F$8*COS(B1425) + $B$7*COS($F$6*B1425))</x:f>
      </x:c>
      <x:c r="D1425" s="14">
        <x:f>IF(B1425="","",$F$8*SIN(B1425) - $B$7*SIN($F$6*B1425))</x:f>
      </x:c>
      <x:c r="E1425" s="14">
        <x:f>IF(B1425="","", C1425 + $F$12*$F$9*(-H1425)/IF(SQRT(G1425^2+H1425^2)=0,1,SQRT(G1425^2+H1425^2)))</x:f>
      </x:c>
      <x:c r="F1425" s="14">
        <x:f>IF(B1425="","", D1425 + $F$12*$F$9*(G1425)/IF(SQRT(G1425^2+H1425^2)=0,1,SQRT(G1425^2+H1425^2)))</x:f>
      </x:c>
      <x:c r="G1425" s="14">
        <x:f>IF(B1425="","", -$F$8*SIN(B1425) - $B$7*$F$6*SIN($F$6*B1425))</x:f>
      </x:c>
      <x:c r="H1425" s="14">
        <x:f>IF(B1425="","", $F$8*COS(B1425) - $B$7*$F$6*COS($F$6*B1425))</x:f>
      </x:c>
    </x:row>
    <x:row r="1426">
      <x:c r="A1426" s="13" t="n">
        <x:v>1407</x:v>
      </x:c>
      <x:c r="B1426" s="14">
        <x:f>IF($B$12&lt;1407,"",$B$13+(1407-1)*($B$14-$B$13)/($B$12-1))</x:f>
      </x:c>
      <x:c r="C1426" s="14">
        <x:f>IF(B1426="","",$F$8*COS(B1426) + $B$7*COS($F$6*B1426))</x:f>
      </x:c>
      <x:c r="D1426" s="14">
        <x:f>IF(B1426="","",$F$8*SIN(B1426) - $B$7*SIN($F$6*B1426))</x:f>
      </x:c>
      <x:c r="E1426" s="14">
        <x:f>IF(B1426="","", C1426 + $F$12*$F$9*(-H1426)/IF(SQRT(G1426^2+H1426^2)=0,1,SQRT(G1426^2+H1426^2)))</x:f>
      </x:c>
      <x:c r="F1426" s="14">
        <x:f>IF(B1426="","", D1426 + $F$12*$F$9*(G1426)/IF(SQRT(G1426^2+H1426^2)=0,1,SQRT(G1426^2+H1426^2)))</x:f>
      </x:c>
      <x:c r="G1426" s="14">
        <x:f>IF(B1426="","", -$F$8*SIN(B1426) - $B$7*$F$6*SIN($F$6*B1426))</x:f>
      </x:c>
      <x:c r="H1426" s="14">
        <x:f>IF(B1426="","", $F$8*COS(B1426) - $B$7*$F$6*COS($F$6*B1426))</x:f>
      </x:c>
    </x:row>
    <x:row r="1427">
      <x:c r="A1427" s="13" t="n">
        <x:v>1408</x:v>
      </x:c>
      <x:c r="B1427" s="14">
        <x:f>IF($B$12&lt;1408,"",$B$13+(1408-1)*($B$14-$B$13)/($B$12-1))</x:f>
      </x:c>
      <x:c r="C1427" s="14">
        <x:f>IF(B1427="","",$F$8*COS(B1427) + $B$7*COS($F$6*B1427))</x:f>
      </x:c>
      <x:c r="D1427" s="14">
        <x:f>IF(B1427="","",$F$8*SIN(B1427) - $B$7*SIN($F$6*B1427))</x:f>
      </x:c>
      <x:c r="E1427" s="14">
        <x:f>IF(B1427="","", C1427 + $F$12*$F$9*(-H1427)/IF(SQRT(G1427^2+H1427^2)=0,1,SQRT(G1427^2+H1427^2)))</x:f>
      </x:c>
      <x:c r="F1427" s="14">
        <x:f>IF(B1427="","", D1427 + $F$12*$F$9*(G1427)/IF(SQRT(G1427^2+H1427^2)=0,1,SQRT(G1427^2+H1427^2)))</x:f>
      </x:c>
      <x:c r="G1427" s="14">
        <x:f>IF(B1427="","", -$F$8*SIN(B1427) - $B$7*$F$6*SIN($F$6*B1427))</x:f>
      </x:c>
      <x:c r="H1427" s="14">
        <x:f>IF(B1427="","", $F$8*COS(B1427) - $B$7*$F$6*COS($F$6*B1427))</x:f>
      </x:c>
    </x:row>
    <x:row r="1428">
      <x:c r="A1428" s="13" t="n">
        <x:v>1409</x:v>
      </x:c>
      <x:c r="B1428" s="14">
        <x:f>IF($B$12&lt;1409,"",$B$13+(1409-1)*($B$14-$B$13)/($B$12-1))</x:f>
      </x:c>
      <x:c r="C1428" s="14">
        <x:f>IF(B1428="","",$F$8*COS(B1428) + $B$7*COS($F$6*B1428))</x:f>
      </x:c>
      <x:c r="D1428" s="14">
        <x:f>IF(B1428="","",$F$8*SIN(B1428) - $B$7*SIN($F$6*B1428))</x:f>
      </x:c>
      <x:c r="E1428" s="14">
        <x:f>IF(B1428="","", C1428 + $F$12*$F$9*(-H1428)/IF(SQRT(G1428^2+H1428^2)=0,1,SQRT(G1428^2+H1428^2)))</x:f>
      </x:c>
      <x:c r="F1428" s="14">
        <x:f>IF(B1428="","", D1428 + $F$12*$F$9*(G1428)/IF(SQRT(G1428^2+H1428^2)=0,1,SQRT(G1428^2+H1428^2)))</x:f>
      </x:c>
      <x:c r="G1428" s="14">
        <x:f>IF(B1428="","", -$F$8*SIN(B1428) - $B$7*$F$6*SIN($F$6*B1428))</x:f>
      </x:c>
      <x:c r="H1428" s="14">
        <x:f>IF(B1428="","", $F$8*COS(B1428) - $B$7*$F$6*COS($F$6*B1428))</x:f>
      </x:c>
    </x:row>
    <x:row r="1429">
      <x:c r="A1429" s="13" t="n">
        <x:v>1410</x:v>
      </x:c>
      <x:c r="B1429" s="14">
        <x:f>IF($B$12&lt;1410,"",$B$13+(1410-1)*($B$14-$B$13)/($B$12-1))</x:f>
      </x:c>
      <x:c r="C1429" s="14">
        <x:f>IF(B1429="","",$F$8*COS(B1429) + $B$7*COS($F$6*B1429))</x:f>
      </x:c>
      <x:c r="D1429" s="14">
        <x:f>IF(B1429="","",$F$8*SIN(B1429) - $B$7*SIN($F$6*B1429))</x:f>
      </x:c>
      <x:c r="E1429" s="14">
        <x:f>IF(B1429="","", C1429 + $F$12*$F$9*(-H1429)/IF(SQRT(G1429^2+H1429^2)=0,1,SQRT(G1429^2+H1429^2)))</x:f>
      </x:c>
      <x:c r="F1429" s="14">
        <x:f>IF(B1429="","", D1429 + $F$12*$F$9*(G1429)/IF(SQRT(G1429^2+H1429^2)=0,1,SQRT(G1429^2+H1429^2)))</x:f>
      </x:c>
      <x:c r="G1429" s="14">
        <x:f>IF(B1429="","", -$F$8*SIN(B1429) - $B$7*$F$6*SIN($F$6*B1429))</x:f>
      </x:c>
      <x:c r="H1429" s="14">
        <x:f>IF(B1429="","", $F$8*COS(B1429) - $B$7*$F$6*COS($F$6*B1429))</x:f>
      </x:c>
    </x:row>
    <x:row r="1430">
      <x:c r="A1430" s="13" t="n">
        <x:v>1411</x:v>
      </x:c>
      <x:c r="B1430" s="14">
        <x:f>IF($B$12&lt;1411,"",$B$13+(1411-1)*($B$14-$B$13)/($B$12-1))</x:f>
      </x:c>
      <x:c r="C1430" s="14">
        <x:f>IF(B1430="","",$F$8*COS(B1430) + $B$7*COS($F$6*B1430))</x:f>
      </x:c>
      <x:c r="D1430" s="14">
        <x:f>IF(B1430="","",$F$8*SIN(B1430) - $B$7*SIN($F$6*B1430))</x:f>
      </x:c>
      <x:c r="E1430" s="14">
        <x:f>IF(B1430="","", C1430 + $F$12*$F$9*(-H1430)/IF(SQRT(G1430^2+H1430^2)=0,1,SQRT(G1430^2+H1430^2)))</x:f>
      </x:c>
      <x:c r="F1430" s="14">
        <x:f>IF(B1430="","", D1430 + $F$12*$F$9*(G1430)/IF(SQRT(G1430^2+H1430^2)=0,1,SQRT(G1430^2+H1430^2)))</x:f>
      </x:c>
      <x:c r="G1430" s="14">
        <x:f>IF(B1430="","", -$F$8*SIN(B1430) - $B$7*$F$6*SIN($F$6*B1430))</x:f>
      </x:c>
      <x:c r="H1430" s="14">
        <x:f>IF(B1430="","", $F$8*COS(B1430) - $B$7*$F$6*COS($F$6*B1430))</x:f>
      </x:c>
    </x:row>
    <x:row r="1431">
      <x:c r="A1431" s="13" t="n">
        <x:v>1412</x:v>
      </x:c>
      <x:c r="B1431" s="14">
        <x:f>IF($B$12&lt;1412,"",$B$13+(1412-1)*($B$14-$B$13)/($B$12-1))</x:f>
      </x:c>
      <x:c r="C1431" s="14">
        <x:f>IF(B1431="","",$F$8*COS(B1431) + $B$7*COS($F$6*B1431))</x:f>
      </x:c>
      <x:c r="D1431" s="14">
        <x:f>IF(B1431="","",$F$8*SIN(B1431) - $B$7*SIN($F$6*B1431))</x:f>
      </x:c>
      <x:c r="E1431" s="14">
        <x:f>IF(B1431="","", C1431 + $F$12*$F$9*(-H1431)/IF(SQRT(G1431^2+H1431^2)=0,1,SQRT(G1431^2+H1431^2)))</x:f>
      </x:c>
      <x:c r="F1431" s="14">
        <x:f>IF(B1431="","", D1431 + $F$12*$F$9*(G1431)/IF(SQRT(G1431^2+H1431^2)=0,1,SQRT(G1431^2+H1431^2)))</x:f>
      </x:c>
      <x:c r="G1431" s="14">
        <x:f>IF(B1431="","", -$F$8*SIN(B1431) - $B$7*$F$6*SIN($F$6*B1431))</x:f>
      </x:c>
      <x:c r="H1431" s="14">
        <x:f>IF(B1431="","", $F$8*COS(B1431) - $B$7*$F$6*COS($F$6*B1431))</x:f>
      </x:c>
    </x:row>
    <x:row r="1432">
      <x:c r="A1432" s="13" t="n">
        <x:v>1413</x:v>
      </x:c>
      <x:c r="B1432" s="14">
        <x:f>IF($B$12&lt;1413,"",$B$13+(1413-1)*($B$14-$B$13)/($B$12-1))</x:f>
      </x:c>
      <x:c r="C1432" s="14">
        <x:f>IF(B1432="","",$F$8*COS(B1432) + $B$7*COS($F$6*B1432))</x:f>
      </x:c>
      <x:c r="D1432" s="14">
        <x:f>IF(B1432="","",$F$8*SIN(B1432) - $B$7*SIN($F$6*B1432))</x:f>
      </x:c>
      <x:c r="E1432" s="14">
        <x:f>IF(B1432="","", C1432 + $F$12*$F$9*(-H1432)/IF(SQRT(G1432^2+H1432^2)=0,1,SQRT(G1432^2+H1432^2)))</x:f>
      </x:c>
      <x:c r="F1432" s="14">
        <x:f>IF(B1432="","", D1432 + $F$12*$F$9*(G1432)/IF(SQRT(G1432^2+H1432^2)=0,1,SQRT(G1432^2+H1432^2)))</x:f>
      </x:c>
      <x:c r="G1432" s="14">
        <x:f>IF(B1432="","", -$F$8*SIN(B1432) - $B$7*$F$6*SIN($F$6*B1432))</x:f>
      </x:c>
      <x:c r="H1432" s="14">
        <x:f>IF(B1432="","", $F$8*COS(B1432) - $B$7*$F$6*COS($F$6*B1432))</x:f>
      </x:c>
    </x:row>
    <x:row r="1433">
      <x:c r="A1433" s="13" t="n">
        <x:v>1414</x:v>
      </x:c>
      <x:c r="B1433" s="14">
        <x:f>IF($B$12&lt;1414,"",$B$13+(1414-1)*($B$14-$B$13)/($B$12-1))</x:f>
      </x:c>
      <x:c r="C1433" s="14">
        <x:f>IF(B1433="","",$F$8*COS(B1433) + $B$7*COS($F$6*B1433))</x:f>
      </x:c>
      <x:c r="D1433" s="14">
        <x:f>IF(B1433="","",$F$8*SIN(B1433) - $B$7*SIN($F$6*B1433))</x:f>
      </x:c>
      <x:c r="E1433" s="14">
        <x:f>IF(B1433="","", C1433 + $F$12*$F$9*(-H1433)/IF(SQRT(G1433^2+H1433^2)=0,1,SQRT(G1433^2+H1433^2)))</x:f>
      </x:c>
      <x:c r="F1433" s="14">
        <x:f>IF(B1433="","", D1433 + $F$12*$F$9*(G1433)/IF(SQRT(G1433^2+H1433^2)=0,1,SQRT(G1433^2+H1433^2)))</x:f>
      </x:c>
      <x:c r="G1433" s="14">
        <x:f>IF(B1433="","", -$F$8*SIN(B1433) - $B$7*$F$6*SIN($F$6*B1433))</x:f>
      </x:c>
      <x:c r="H1433" s="14">
        <x:f>IF(B1433="","", $F$8*COS(B1433) - $B$7*$F$6*COS($F$6*B1433))</x:f>
      </x:c>
    </x:row>
    <x:row r="1434">
      <x:c r="A1434" s="13" t="n">
        <x:v>1415</x:v>
      </x:c>
      <x:c r="B1434" s="14">
        <x:f>IF($B$12&lt;1415,"",$B$13+(1415-1)*($B$14-$B$13)/($B$12-1))</x:f>
      </x:c>
      <x:c r="C1434" s="14">
        <x:f>IF(B1434="","",$F$8*COS(B1434) + $B$7*COS($F$6*B1434))</x:f>
      </x:c>
      <x:c r="D1434" s="14">
        <x:f>IF(B1434="","",$F$8*SIN(B1434) - $B$7*SIN($F$6*B1434))</x:f>
      </x:c>
      <x:c r="E1434" s="14">
        <x:f>IF(B1434="","", C1434 + $F$12*$F$9*(-H1434)/IF(SQRT(G1434^2+H1434^2)=0,1,SQRT(G1434^2+H1434^2)))</x:f>
      </x:c>
      <x:c r="F1434" s="14">
        <x:f>IF(B1434="","", D1434 + $F$12*$F$9*(G1434)/IF(SQRT(G1434^2+H1434^2)=0,1,SQRT(G1434^2+H1434^2)))</x:f>
      </x:c>
      <x:c r="G1434" s="14">
        <x:f>IF(B1434="","", -$F$8*SIN(B1434) - $B$7*$F$6*SIN($F$6*B1434))</x:f>
      </x:c>
      <x:c r="H1434" s="14">
        <x:f>IF(B1434="","", $F$8*COS(B1434) - $B$7*$F$6*COS($F$6*B1434))</x:f>
      </x:c>
    </x:row>
    <x:row r="1435">
      <x:c r="A1435" s="13" t="n">
        <x:v>1416</x:v>
      </x:c>
      <x:c r="B1435" s="14">
        <x:f>IF($B$12&lt;1416,"",$B$13+(1416-1)*($B$14-$B$13)/($B$12-1))</x:f>
      </x:c>
      <x:c r="C1435" s="14">
        <x:f>IF(B1435="","",$F$8*COS(B1435) + $B$7*COS($F$6*B1435))</x:f>
      </x:c>
      <x:c r="D1435" s="14">
        <x:f>IF(B1435="","",$F$8*SIN(B1435) - $B$7*SIN($F$6*B1435))</x:f>
      </x:c>
      <x:c r="E1435" s="14">
        <x:f>IF(B1435="","", C1435 + $F$12*$F$9*(-H1435)/IF(SQRT(G1435^2+H1435^2)=0,1,SQRT(G1435^2+H1435^2)))</x:f>
      </x:c>
      <x:c r="F1435" s="14">
        <x:f>IF(B1435="","", D1435 + $F$12*$F$9*(G1435)/IF(SQRT(G1435^2+H1435^2)=0,1,SQRT(G1435^2+H1435^2)))</x:f>
      </x:c>
      <x:c r="G1435" s="14">
        <x:f>IF(B1435="","", -$F$8*SIN(B1435) - $B$7*$F$6*SIN($F$6*B1435))</x:f>
      </x:c>
      <x:c r="H1435" s="14">
        <x:f>IF(B1435="","", $F$8*COS(B1435) - $B$7*$F$6*COS($F$6*B1435))</x:f>
      </x:c>
    </x:row>
    <x:row r="1436">
      <x:c r="A1436" s="13" t="n">
        <x:v>1417</x:v>
      </x:c>
      <x:c r="B1436" s="14">
        <x:f>IF($B$12&lt;1417,"",$B$13+(1417-1)*($B$14-$B$13)/($B$12-1))</x:f>
      </x:c>
      <x:c r="C1436" s="14">
        <x:f>IF(B1436="","",$F$8*COS(B1436) + $B$7*COS($F$6*B1436))</x:f>
      </x:c>
      <x:c r="D1436" s="14">
        <x:f>IF(B1436="","",$F$8*SIN(B1436) - $B$7*SIN($F$6*B1436))</x:f>
      </x:c>
      <x:c r="E1436" s="14">
        <x:f>IF(B1436="","", C1436 + $F$12*$F$9*(-H1436)/IF(SQRT(G1436^2+H1436^2)=0,1,SQRT(G1436^2+H1436^2)))</x:f>
      </x:c>
      <x:c r="F1436" s="14">
        <x:f>IF(B1436="","", D1436 + $F$12*$F$9*(G1436)/IF(SQRT(G1436^2+H1436^2)=0,1,SQRT(G1436^2+H1436^2)))</x:f>
      </x:c>
      <x:c r="G1436" s="14">
        <x:f>IF(B1436="","", -$F$8*SIN(B1436) - $B$7*$F$6*SIN($F$6*B1436))</x:f>
      </x:c>
      <x:c r="H1436" s="14">
        <x:f>IF(B1436="","", $F$8*COS(B1436) - $B$7*$F$6*COS($F$6*B1436))</x:f>
      </x:c>
    </x:row>
    <x:row r="1437">
      <x:c r="A1437" s="13" t="n">
        <x:v>1418</x:v>
      </x:c>
      <x:c r="B1437" s="14">
        <x:f>IF($B$12&lt;1418,"",$B$13+(1418-1)*($B$14-$B$13)/($B$12-1))</x:f>
      </x:c>
      <x:c r="C1437" s="14">
        <x:f>IF(B1437="","",$F$8*COS(B1437) + $B$7*COS($F$6*B1437))</x:f>
      </x:c>
      <x:c r="D1437" s="14">
        <x:f>IF(B1437="","",$F$8*SIN(B1437) - $B$7*SIN($F$6*B1437))</x:f>
      </x:c>
      <x:c r="E1437" s="14">
        <x:f>IF(B1437="","", C1437 + $F$12*$F$9*(-H1437)/IF(SQRT(G1437^2+H1437^2)=0,1,SQRT(G1437^2+H1437^2)))</x:f>
      </x:c>
      <x:c r="F1437" s="14">
        <x:f>IF(B1437="","", D1437 + $F$12*$F$9*(G1437)/IF(SQRT(G1437^2+H1437^2)=0,1,SQRT(G1437^2+H1437^2)))</x:f>
      </x:c>
      <x:c r="G1437" s="14">
        <x:f>IF(B1437="","", -$F$8*SIN(B1437) - $B$7*$F$6*SIN($F$6*B1437))</x:f>
      </x:c>
      <x:c r="H1437" s="14">
        <x:f>IF(B1437="","", $F$8*COS(B1437) - $B$7*$F$6*COS($F$6*B1437))</x:f>
      </x:c>
    </x:row>
    <x:row r="1438">
      <x:c r="A1438" s="13" t="n">
        <x:v>1419</x:v>
      </x:c>
      <x:c r="B1438" s="14">
        <x:f>IF($B$12&lt;1419,"",$B$13+(1419-1)*($B$14-$B$13)/($B$12-1))</x:f>
      </x:c>
      <x:c r="C1438" s="14">
        <x:f>IF(B1438="","",$F$8*COS(B1438) + $B$7*COS($F$6*B1438))</x:f>
      </x:c>
      <x:c r="D1438" s="14">
        <x:f>IF(B1438="","",$F$8*SIN(B1438) - $B$7*SIN($F$6*B1438))</x:f>
      </x:c>
      <x:c r="E1438" s="14">
        <x:f>IF(B1438="","", C1438 + $F$12*$F$9*(-H1438)/IF(SQRT(G1438^2+H1438^2)=0,1,SQRT(G1438^2+H1438^2)))</x:f>
      </x:c>
      <x:c r="F1438" s="14">
        <x:f>IF(B1438="","", D1438 + $F$12*$F$9*(G1438)/IF(SQRT(G1438^2+H1438^2)=0,1,SQRT(G1438^2+H1438^2)))</x:f>
      </x:c>
      <x:c r="G1438" s="14">
        <x:f>IF(B1438="","", -$F$8*SIN(B1438) - $B$7*$F$6*SIN($F$6*B1438))</x:f>
      </x:c>
      <x:c r="H1438" s="14">
        <x:f>IF(B1438="","", $F$8*COS(B1438) - $B$7*$F$6*COS($F$6*B1438))</x:f>
      </x:c>
    </x:row>
    <x:row r="1439">
      <x:c r="A1439" s="13" t="n">
        <x:v>1420</x:v>
      </x:c>
      <x:c r="B1439" s="14">
        <x:f>IF($B$12&lt;1420,"",$B$13+(1420-1)*($B$14-$B$13)/($B$12-1))</x:f>
      </x:c>
      <x:c r="C1439" s="14">
        <x:f>IF(B1439="","",$F$8*COS(B1439) + $B$7*COS($F$6*B1439))</x:f>
      </x:c>
      <x:c r="D1439" s="14">
        <x:f>IF(B1439="","",$F$8*SIN(B1439) - $B$7*SIN($F$6*B1439))</x:f>
      </x:c>
      <x:c r="E1439" s="14">
        <x:f>IF(B1439="","", C1439 + $F$12*$F$9*(-H1439)/IF(SQRT(G1439^2+H1439^2)=0,1,SQRT(G1439^2+H1439^2)))</x:f>
      </x:c>
      <x:c r="F1439" s="14">
        <x:f>IF(B1439="","", D1439 + $F$12*$F$9*(G1439)/IF(SQRT(G1439^2+H1439^2)=0,1,SQRT(G1439^2+H1439^2)))</x:f>
      </x:c>
      <x:c r="G1439" s="14">
        <x:f>IF(B1439="","", -$F$8*SIN(B1439) - $B$7*$F$6*SIN($F$6*B1439))</x:f>
      </x:c>
      <x:c r="H1439" s="14">
        <x:f>IF(B1439="","", $F$8*COS(B1439) - $B$7*$F$6*COS($F$6*B1439))</x:f>
      </x:c>
    </x:row>
    <x:row r="1440">
      <x:c r="A1440" s="13" t="n">
        <x:v>1421</x:v>
      </x:c>
      <x:c r="B1440" s="14">
        <x:f>IF($B$12&lt;1421,"",$B$13+(1421-1)*($B$14-$B$13)/($B$12-1))</x:f>
      </x:c>
      <x:c r="C1440" s="14">
        <x:f>IF(B1440="","",$F$8*COS(B1440) + $B$7*COS($F$6*B1440))</x:f>
      </x:c>
      <x:c r="D1440" s="14">
        <x:f>IF(B1440="","",$F$8*SIN(B1440) - $B$7*SIN($F$6*B1440))</x:f>
      </x:c>
      <x:c r="E1440" s="14">
        <x:f>IF(B1440="","", C1440 + $F$12*$F$9*(-H1440)/IF(SQRT(G1440^2+H1440^2)=0,1,SQRT(G1440^2+H1440^2)))</x:f>
      </x:c>
      <x:c r="F1440" s="14">
        <x:f>IF(B1440="","", D1440 + $F$12*$F$9*(G1440)/IF(SQRT(G1440^2+H1440^2)=0,1,SQRT(G1440^2+H1440^2)))</x:f>
      </x:c>
      <x:c r="G1440" s="14">
        <x:f>IF(B1440="","", -$F$8*SIN(B1440) - $B$7*$F$6*SIN($F$6*B1440))</x:f>
      </x:c>
      <x:c r="H1440" s="14">
        <x:f>IF(B1440="","", $F$8*COS(B1440) - $B$7*$F$6*COS($F$6*B1440))</x:f>
      </x:c>
    </x:row>
    <x:row r="1441">
      <x:c r="A1441" s="13" t="n">
        <x:v>1422</x:v>
      </x:c>
      <x:c r="B1441" s="14">
        <x:f>IF($B$12&lt;1422,"",$B$13+(1422-1)*($B$14-$B$13)/($B$12-1))</x:f>
      </x:c>
      <x:c r="C1441" s="14">
        <x:f>IF(B1441="","",$F$8*COS(B1441) + $B$7*COS($F$6*B1441))</x:f>
      </x:c>
      <x:c r="D1441" s="14">
        <x:f>IF(B1441="","",$F$8*SIN(B1441) - $B$7*SIN($F$6*B1441))</x:f>
      </x:c>
      <x:c r="E1441" s="14">
        <x:f>IF(B1441="","", C1441 + $F$12*$F$9*(-H1441)/IF(SQRT(G1441^2+H1441^2)=0,1,SQRT(G1441^2+H1441^2)))</x:f>
      </x:c>
      <x:c r="F1441" s="14">
        <x:f>IF(B1441="","", D1441 + $F$12*$F$9*(G1441)/IF(SQRT(G1441^2+H1441^2)=0,1,SQRT(G1441^2+H1441^2)))</x:f>
      </x:c>
      <x:c r="G1441" s="14">
        <x:f>IF(B1441="","", -$F$8*SIN(B1441) - $B$7*$F$6*SIN($F$6*B1441))</x:f>
      </x:c>
      <x:c r="H1441" s="14">
        <x:f>IF(B1441="","", $F$8*COS(B1441) - $B$7*$F$6*COS($F$6*B1441))</x:f>
      </x:c>
    </x:row>
    <x:row r="1442">
      <x:c r="A1442" s="13" t="n">
        <x:v>1423</x:v>
      </x:c>
      <x:c r="B1442" s="14">
        <x:f>IF($B$12&lt;1423,"",$B$13+(1423-1)*($B$14-$B$13)/($B$12-1))</x:f>
      </x:c>
      <x:c r="C1442" s="14">
        <x:f>IF(B1442="","",$F$8*COS(B1442) + $B$7*COS($F$6*B1442))</x:f>
      </x:c>
      <x:c r="D1442" s="14">
        <x:f>IF(B1442="","",$F$8*SIN(B1442) - $B$7*SIN($F$6*B1442))</x:f>
      </x:c>
      <x:c r="E1442" s="14">
        <x:f>IF(B1442="","", C1442 + $F$12*$F$9*(-H1442)/IF(SQRT(G1442^2+H1442^2)=0,1,SQRT(G1442^2+H1442^2)))</x:f>
      </x:c>
      <x:c r="F1442" s="14">
        <x:f>IF(B1442="","", D1442 + $F$12*$F$9*(G1442)/IF(SQRT(G1442^2+H1442^2)=0,1,SQRT(G1442^2+H1442^2)))</x:f>
      </x:c>
      <x:c r="G1442" s="14">
        <x:f>IF(B1442="","", -$F$8*SIN(B1442) - $B$7*$F$6*SIN($F$6*B1442))</x:f>
      </x:c>
      <x:c r="H1442" s="14">
        <x:f>IF(B1442="","", $F$8*COS(B1442) - $B$7*$F$6*COS($F$6*B1442))</x:f>
      </x:c>
    </x:row>
    <x:row r="1443">
      <x:c r="A1443" s="13" t="n">
        <x:v>1424</x:v>
      </x:c>
      <x:c r="B1443" s="14">
        <x:f>IF($B$12&lt;1424,"",$B$13+(1424-1)*($B$14-$B$13)/($B$12-1))</x:f>
      </x:c>
      <x:c r="C1443" s="14">
        <x:f>IF(B1443="","",$F$8*COS(B1443) + $B$7*COS($F$6*B1443))</x:f>
      </x:c>
      <x:c r="D1443" s="14">
        <x:f>IF(B1443="","",$F$8*SIN(B1443) - $B$7*SIN($F$6*B1443))</x:f>
      </x:c>
      <x:c r="E1443" s="14">
        <x:f>IF(B1443="","", C1443 + $F$12*$F$9*(-H1443)/IF(SQRT(G1443^2+H1443^2)=0,1,SQRT(G1443^2+H1443^2)))</x:f>
      </x:c>
      <x:c r="F1443" s="14">
        <x:f>IF(B1443="","", D1443 + $F$12*$F$9*(G1443)/IF(SQRT(G1443^2+H1443^2)=0,1,SQRT(G1443^2+H1443^2)))</x:f>
      </x:c>
      <x:c r="G1443" s="14">
        <x:f>IF(B1443="","", -$F$8*SIN(B1443) - $B$7*$F$6*SIN($F$6*B1443))</x:f>
      </x:c>
      <x:c r="H1443" s="14">
        <x:f>IF(B1443="","", $F$8*COS(B1443) - $B$7*$F$6*COS($F$6*B1443))</x:f>
      </x:c>
    </x:row>
    <x:row r="1444">
      <x:c r="A1444" s="13" t="n">
        <x:v>1425</x:v>
      </x:c>
      <x:c r="B1444" s="14">
        <x:f>IF($B$12&lt;1425,"",$B$13+(1425-1)*($B$14-$B$13)/($B$12-1))</x:f>
      </x:c>
      <x:c r="C1444" s="14">
        <x:f>IF(B1444="","",$F$8*COS(B1444) + $B$7*COS($F$6*B1444))</x:f>
      </x:c>
      <x:c r="D1444" s="14">
        <x:f>IF(B1444="","",$F$8*SIN(B1444) - $B$7*SIN($F$6*B1444))</x:f>
      </x:c>
      <x:c r="E1444" s="14">
        <x:f>IF(B1444="","", C1444 + $F$12*$F$9*(-H1444)/IF(SQRT(G1444^2+H1444^2)=0,1,SQRT(G1444^2+H1444^2)))</x:f>
      </x:c>
      <x:c r="F1444" s="14">
        <x:f>IF(B1444="","", D1444 + $F$12*$F$9*(G1444)/IF(SQRT(G1444^2+H1444^2)=0,1,SQRT(G1444^2+H1444^2)))</x:f>
      </x:c>
      <x:c r="G1444" s="14">
        <x:f>IF(B1444="","", -$F$8*SIN(B1444) - $B$7*$F$6*SIN($F$6*B1444))</x:f>
      </x:c>
      <x:c r="H1444" s="14">
        <x:f>IF(B1444="","", $F$8*COS(B1444) - $B$7*$F$6*COS($F$6*B1444))</x:f>
      </x:c>
    </x:row>
    <x:row r="1445">
      <x:c r="A1445" s="13" t="n">
        <x:v>1426</x:v>
      </x:c>
      <x:c r="B1445" s="14">
        <x:f>IF($B$12&lt;1426,"",$B$13+(1426-1)*($B$14-$B$13)/($B$12-1))</x:f>
      </x:c>
      <x:c r="C1445" s="14">
        <x:f>IF(B1445="","",$F$8*COS(B1445) + $B$7*COS($F$6*B1445))</x:f>
      </x:c>
      <x:c r="D1445" s="14">
        <x:f>IF(B1445="","",$F$8*SIN(B1445) - $B$7*SIN($F$6*B1445))</x:f>
      </x:c>
      <x:c r="E1445" s="14">
        <x:f>IF(B1445="","", C1445 + $F$12*$F$9*(-H1445)/IF(SQRT(G1445^2+H1445^2)=0,1,SQRT(G1445^2+H1445^2)))</x:f>
      </x:c>
      <x:c r="F1445" s="14">
        <x:f>IF(B1445="","", D1445 + $F$12*$F$9*(G1445)/IF(SQRT(G1445^2+H1445^2)=0,1,SQRT(G1445^2+H1445^2)))</x:f>
      </x:c>
      <x:c r="G1445" s="14">
        <x:f>IF(B1445="","", -$F$8*SIN(B1445) - $B$7*$F$6*SIN($F$6*B1445))</x:f>
      </x:c>
      <x:c r="H1445" s="14">
        <x:f>IF(B1445="","", $F$8*COS(B1445) - $B$7*$F$6*COS($F$6*B1445))</x:f>
      </x:c>
    </x:row>
    <x:row r="1446">
      <x:c r="A1446" s="13" t="n">
        <x:v>1427</x:v>
      </x:c>
      <x:c r="B1446" s="14">
        <x:f>IF($B$12&lt;1427,"",$B$13+(1427-1)*($B$14-$B$13)/($B$12-1))</x:f>
      </x:c>
      <x:c r="C1446" s="14">
        <x:f>IF(B1446="","",$F$8*COS(B1446) + $B$7*COS($F$6*B1446))</x:f>
      </x:c>
      <x:c r="D1446" s="14">
        <x:f>IF(B1446="","",$F$8*SIN(B1446) - $B$7*SIN($F$6*B1446))</x:f>
      </x:c>
      <x:c r="E1446" s="14">
        <x:f>IF(B1446="","", C1446 + $F$12*$F$9*(-H1446)/IF(SQRT(G1446^2+H1446^2)=0,1,SQRT(G1446^2+H1446^2)))</x:f>
      </x:c>
      <x:c r="F1446" s="14">
        <x:f>IF(B1446="","", D1446 + $F$12*$F$9*(G1446)/IF(SQRT(G1446^2+H1446^2)=0,1,SQRT(G1446^2+H1446^2)))</x:f>
      </x:c>
      <x:c r="G1446" s="14">
        <x:f>IF(B1446="","", -$F$8*SIN(B1446) - $B$7*$F$6*SIN($F$6*B1446))</x:f>
      </x:c>
      <x:c r="H1446" s="14">
        <x:f>IF(B1446="","", $F$8*COS(B1446) - $B$7*$F$6*COS($F$6*B1446))</x:f>
      </x:c>
    </x:row>
    <x:row r="1447">
      <x:c r="A1447" s="13" t="n">
        <x:v>1428</x:v>
      </x:c>
      <x:c r="B1447" s="14">
        <x:f>IF($B$12&lt;1428,"",$B$13+(1428-1)*($B$14-$B$13)/($B$12-1))</x:f>
      </x:c>
      <x:c r="C1447" s="14">
        <x:f>IF(B1447="","",$F$8*COS(B1447) + $B$7*COS($F$6*B1447))</x:f>
      </x:c>
      <x:c r="D1447" s="14">
        <x:f>IF(B1447="","",$F$8*SIN(B1447) - $B$7*SIN($F$6*B1447))</x:f>
      </x:c>
      <x:c r="E1447" s="14">
        <x:f>IF(B1447="","", C1447 + $F$12*$F$9*(-H1447)/IF(SQRT(G1447^2+H1447^2)=0,1,SQRT(G1447^2+H1447^2)))</x:f>
      </x:c>
      <x:c r="F1447" s="14">
        <x:f>IF(B1447="","", D1447 + $F$12*$F$9*(G1447)/IF(SQRT(G1447^2+H1447^2)=0,1,SQRT(G1447^2+H1447^2)))</x:f>
      </x:c>
      <x:c r="G1447" s="14">
        <x:f>IF(B1447="","", -$F$8*SIN(B1447) - $B$7*$F$6*SIN($F$6*B1447))</x:f>
      </x:c>
      <x:c r="H1447" s="14">
        <x:f>IF(B1447="","", $F$8*COS(B1447) - $B$7*$F$6*COS($F$6*B1447))</x:f>
      </x:c>
    </x:row>
    <x:row r="1448">
      <x:c r="A1448" s="13" t="n">
        <x:v>1429</x:v>
      </x:c>
      <x:c r="B1448" s="14">
        <x:f>IF($B$12&lt;1429,"",$B$13+(1429-1)*($B$14-$B$13)/($B$12-1))</x:f>
      </x:c>
      <x:c r="C1448" s="14">
        <x:f>IF(B1448="","",$F$8*COS(B1448) + $B$7*COS($F$6*B1448))</x:f>
      </x:c>
      <x:c r="D1448" s="14">
        <x:f>IF(B1448="","",$F$8*SIN(B1448) - $B$7*SIN($F$6*B1448))</x:f>
      </x:c>
      <x:c r="E1448" s="14">
        <x:f>IF(B1448="","", C1448 + $F$12*$F$9*(-H1448)/IF(SQRT(G1448^2+H1448^2)=0,1,SQRT(G1448^2+H1448^2)))</x:f>
      </x:c>
      <x:c r="F1448" s="14">
        <x:f>IF(B1448="","", D1448 + $F$12*$F$9*(G1448)/IF(SQRT(G1448^2+H1448^2)=0,1,SQRT(G1448^2+H1448^2)))</x:f>
      </x:c>
      <x:c r="G1448" s="14">
        <x:f>IF(B1448="","", -$F$8*SIN(B1448) - $B$7*$F$6*SIN($F$6*B1448))</x:f>
      </x:c>
      <x:c r="H1448" s="14">
        <x:f>IF(B1448="","", $F$8*COS(B1448) - $B$7*$F$6*COS($F$6*B1448))</x:f>
      </x:c>
    </x:row>
    <x:row r="1449">
      <x:c r="A1449" s="13" t="n">
        <x:v>1430</x:v>
      </x:c>
      <x:c r="B1449" s="14">
        <x:f>IF($B$12&lt;1430,"",$B$13+(1430-1)*($B$14-$B$13)/($B$12-1))</x:f>
      </x:c>
      <x:c r="C1449" s="14">
        <x:f>IF(B1449="","",$F$8*COS(B1449) + $B$7*COS($F$6*B1449))</x:f>
      </x:c>
      <x:c r="D1449" s="14">
        <x:f>IF(B1449="","",$F$8*SIN(B1449) - $B$7*SIN($F$6*B1449))</x:f>
      </x:c>
      <x:c r="E1449" s="14">
        <x:f>IF(B1449="","", C1449 + $F$12*$F$9*(-H1449)/IF(SQRT(G1449^2+H1449^2)=0,1,SQRT(G1449^2+H1449^2)))</x:f>
      </x:c>
      <x:c r="F1449" s="14">
        <x:f>IF(B1449="","", D1449 + $F$12*$F$9*(G1449)/IF(SQRT(G1449^2+H1449^2)=0,1,SQRT(G1449^2+H1449^2)))</x:f>
      </x:c>
      <x:c r="G1449" s="14">
        <x:f>IF(B1449="","", -$F$8*SIN(B1449) - $B$7*$F$6*SIN($F$6*B1449))</x:f>
      </x:c>
      <x:c r="H1449" s="14">
        <x:f>IF(B1449="","", $F$8*COS(B1449) - $B$7*$F$6*COS($F$6*B1449))</x:f>
      </x:c>
    </x:row>
    <x:row r="1450">
      <x:c r="A1450" s="13" t="n">
        <x:v>1431</x:v>
      </x:c>
      <x:c r="B1450" s="14">
        <x:f>IF($B$12&lt;1431,"",$B$13+(1431-1)*($B$14-$B$13)/($B$12-1))</x:f>
      </x:c>
      <x:c r="C1450" s="14">
        <x:f>IF(B1450="","",$F$8*COS(B1450) + $B$7*COS($F$6*B1450))</x:f>
      </x:c>
      <x:c r="D1450" s="14">
        <x:f>IF(B1450="","",$F$8*SIN(B1450) - $B$7*SIN($F$6*B1450))</x:f>
      </x:c>
      <x:c r="E1450" s="14">
        <x:f>IF(B1450="","", C1450 + $F$12*$F$9*(-H1450)/IF(SQRT(G1450^2+H1450^2)=0,1,SQRT(G1450^2+H1450^2)))</x:f>
      </x:c>
      <x:c r="F1450" s="14">
        <x:f>IF(B1450="","", D1450 + $F$12*$F$9*(G1450)/IF(SQRT(G1450^2+H1450^2)=0,1,SQRT(G1450^2+H1450^2)))</x:f>
      </x:c>
      <x:c r="G1450" s="14">
        <x:f>IF(B1450="","", -$F$8*SIN(B1450) - $B$7*$F$6*SIN($F$6*B1450))</x:f>
      </x:c>
      <x:c r="H1450" s="14">
        <x:f>IF(B1450="","", $F$8*COS(B1450) - $B$7*$F$6*COS($F$6*B1450))</x:f>
      </x:c>
    </x:row>
    <x:row r="1451">
      <x:c r="A1451" s="13" t="n">
        <x:v>1432</x:v>
      </x:c>
      <x:c r="B1451" s="14">
        <x:f>IF($B$12&lt;1432,"",$B$13+(1432-1)*($B$14-$B$13)/($B$12-1))</x:f>
      </x:c>
      <x:c r="C1451" s="14">
        <x:f>IF(B1451="","",$F$8*COS(B1451) + $B$7*COS($F$6*B1451))</x:f>
      </x:c>
      <x:c r="D1451" s="14">
        <x:f>IF(B1451="","",$F$8*SIN(B1451) - $B$7*SIN($F$6*B1451))</x:f>
      </x:c>
      <x:c r="E1451" s="14">
        <x:f>IF(B1451="","", C1451 + $F$12*$F$9*(-H1451)/IF(SQRT(G1451^2+H1451^2)=0,1,SQRT(G1451^2+H1451^2)))</x:f>
      </x:c>
      <x:c r="F1451" s="14">
        <x:f>IF(B1451="","", D1451 + $F$12*$F$9*(G1451)/IF(SQRT(G1451^2+H1451^2)=0,1,SQRT(G1451^2+H1451^2)))</x:f>
      </x:c>
      <x:c r="G1451" s="14">
        <x:f>IF(B1451="","", -$F$8*SIN(B1451) - $B$7*$F$6*SIN($F$6*B1451))</x:f>
      </x:c>
      <x:c r="H1451" s="14">
        <x:f>IF(B1451="","", $F$8*COS(B1451) - $B$7*$F$6*COS($F$6*B1451))</x:f>
      </x:c>
    </x:row>
    <x:row r="1452">
      <x:c r="A1452" s="13" t="n">
        <x:v>1433</x:v>
      </x:c>
      <x:c r="B1452" s="14">
        <x:f>IF($B$12&lt;1433,"",$B$13+(1433-1)*($B$14-$B$13)/($B$12-1))</x:f>
      </x:c>
      <x:c r="C1452" s="14">
        <x:f>IF(B1452="","",$F$8*COS(B1452) + $B$7*COS($F$6*B1452))</x:f>
      </x:c>
      <x:c r="D1452" s="14">
        <x:f>IF(B1452="","",$F$8*SIN(B1452) - $B$7*SIN($F$6*B1452))</x:f>
      </x:c>
      <x:c r="E1452" s="14">
        <x:f>IF(B1452="","", C1452 + $F$12*$F$9*(-H1452)/IF(SQRT(G1452^2+H1452^2)=0,1,SQRT(G1452^2+H1452^2)))</x:f>
      </x:c>
      <x:c r="F1452" s="14">
        <x:f>IF(B1452="","", D1452 + $F$12*$F$9*(G1452)/IF(SQRT(G1452^2+H1452^2)=0,1,SQRT(G1452^2+H1452^2)))</x:f>
      </x:c>
      <x:c r="G1452" s="14">
        <x:f>IF(B1452="","", -$F$8*SIN(B1452) - $B$7*$F$6*SIN($F$6*B1452))</x:f>
      </x:c>
      <x:c r="H1452" s="14">
        <x:f>IF(B1452="","", $F$8*COS(B1452) - $B$7*$F$6*COS($F$6*B1452))</x:f>
      </x:c>
    </x:row>
    <x:row r="1453">
      <x:c r="A1453" s="13" t="n">
        <x:v>1434</x:v>
      </x:c>
      <x:c r="B1453" s="14">
        <x:f>IF($B$12&lt;1434,"",$B$13+(1434-1)*($B$14-$B$13)/($B$12-1))</x:f>
      </x:c>
      <x:c r="C1453" s="14">
        <x:f>IF(B1453="","",$F$8*COS(B1453) + $B$7*COS($F$6*B1453))</x:f>
      </x:c>
      <x:c r="D1453" s="14">
        <x:f>IF(B1453="","",$F$8*SIN(B1453) - $B$7*SIN($F$6*B1453))</x:f>
      </x:c>
      <x:c r="E1453" s="14">
        <x:f>IF(B1453="","", C1453 + $F$12*$F$9*(-H1453)/IF(SQRT(G1453^2+H1453^2)=0,1,SQRT(G1453^2+H1453^2)))</x:f>
      </x:c>
      <x:c r="F1453" s="14">
        <x:f>IF(B1453="","", D1453 + $F$12*$F$9*(G1453)/IF(SQRT(G1453^2+H1453^2)=0,1,SQRT(G1453^2+H1453^2)))</x:f>
      </x:c>
      <x:c r="G1453" s="14">
        <x:f>IF(B1453="","", -$F$8*SIN(B1453) - $B$7*$F$6*SIN($F$6*B1453))</x:f>
      </x:c>
      <x:c r="H1453" s="14">
        <x:f>IF(B1453="","", $F$8*COS(B1453) - $B$7*$F$6*COS($F$6*B1453))</x:f>
      </x:c>
    </x:row>
    <x:row r="1454">
      <x:c r="A1454" s="13" t="n">
        <x:v>1435</x:v>
      </x:c>
      <x:c r="B1454" s="14">
        <x:f>IF($B$12&lt;1435,"",$B$13+(1435-1)*($B$14-$B$13)/($B$12-1))</x:f>
      </x:c>
      <x:c r="C1454" s="14">
        <x:f>IF(B1454="","",$F$8*COS(B1454) + $B$7*COS($F$6*B1454))</x:f>
      </x:c>
      <x:c r="D1454" s="14">
        <x:f>IF(B1454="","",$F$8*SIN(B1454) - $B$7*SIN($F$6*B1454))</x:f>
      </x:c>
      <x:c r="E1454" s="14">
        <x:f>IF(B1454="","", C1454 + $F$12*$F$9*(-H1454)/IF(SQRT(G1454^2+H1454^2)=0,1,SQRT(G1454^2+H1454^2)))</x:f>
      </x:c>
      <x:c r="F1454" s="14">
        <x:f>IF(B1454="","", D1454 + $F$12*$F$9*(G1454)/IF(SQRT(G1454^2+H1454^2)=0,1,SQRT(G1454^2+H1454^2)))</x:f>
      </x:c>
      <x:c r="G1454" s="14">
        <x:f>IF(B1454="","", -$F$8*SIN(B1454) - $B$7*$F$6*SIN($F$6*B1454))</x:f>
      </x:c>
      <x:c r="H1454" s="14">
        <x:f>IF(B1454="","", $F$8*COS(B1454) - $B$7*$F$6*COS($F$6*B1454))</x:f>
      </x:c>
    </x:row>
    <x:row r="1455">
      <x:c r="A1455" s="13" t="n">
        <x:v>1436</x:v>
      </x:c>
      <x:c r="B1455" s="14">
        <x:f>IF($B$12&lt;1436,"",$B$13+(1436-1)*($B$14-$B$13)/($B$12-1))</x:f>
      </x:c>
      <x:c r="C1455" s="14">
        <x:f>IF(B1455="","",$F$8*COS(B1455) + $B$7*COS($F$6*B1455))</x:f>
      </x:c>
      <x:c r="D1455" s="14">
        <x:f>IF(B1455="","",$F$8*SIN(B1455) - $B$7*SIN($F$6*B1455))</x:f>
      </x:c>
      <x:c r="E1455" s="14">
        <x:f>IF(B1455="","", C1455 + $F$12*$F$9*(-H1455)/IF(SQRT(G1455^2+H1455^2)=0,1,SQRT(G1455^2+H1455^2)))</x:f>
      </x:c>
      <x:c r="F1455" s="14">
        <x:f>IF(B1455="","", D1455 + $F$12*$F$9*(G1455)/IF(SQRT(G1455^2+H1455^2)=0,1,SQRT(G1455^2+H1455^2)))</x:f>
      </x:c>
      <x:c r="G1455" s="14">
        <x:f>IF(B1455="","", -$F$8*SIN(B1455) - $B$7*$F$6*SIN($F$6*B1455))</x:f>
      </x:c>
      <x:c r="H1455" s="14">
        <x:f>IF(B1455="","", $F$8*COS(B1455) - $B$7*$F$6*COS($F$6*B1455))</x:f>
      </x:c>
    </x:row>
    <x:row r="1456">
      <x:c r="A1456" s="13" t="n">
        <x:v>1437</x:v>
      </x:c>
      <x:c r="B1456" s="14">
        <x:f>IF($B$12&lt;1437,"",$B$13+(1437-1)*($B$14-$B$13)/($B$12-1))</x:f>
      </x:c>
      <x:c r="C1456" s="14">
        <x:f>IF(B1456="","",$F$8*COS(B1456) + $B$7*COS($F$6*B1456))</x:f>
      </x:c>
      <x:c r="D1456" s="14">
        <x:f>IF(B1456="","",$F$8*SIN(B1456) - $B$7*SIN($F$6*B1456))</x:f>
      </x:c>
      <x:c r="E1456" s="14">
        <x:f>IF(B1456="","", C1456 + $F$12*$F$9*(-H1456)/IF(SQRT(G1456^2+H1456^2)=0,1,SQRT(G1456^2+H1456^2)))</x:f>
      </x:c>
      <x:c r="F1456" s="14">
        <x:f>IF(B1456="","", D1456 + $F$12*$F$9*(G1456)/IF(SQRT(G1456^2+H1456^2)=0,1,SQRT(G1456^2+H1456^2)))</x:f>
      </x:c>
      <x:c r="G1456" s="14">
        <x:f>IF(B1456="","", -$F$8*SIN(B1456) - $B$7*$F$6*SIN($F$6*B1456))</x:f>
      </x:c>
      <x:c r="H1456" s="14">
        <x:f>IF(B1456="","", $F$8*COS(B1456) - $B$7*$F$6*COS($F$6*B1456))</x:f>
      </x:c>
    </x:row>
    <x:row r="1457">
      <x:c r="A1457" s="13" t="n">
        <x:v>1438</x:v>
      </x:c>
      <x:c r="B1457" s="14">
        <x:f>IF($B$12&lt;1438,"",$B$13+(1438-1)*($B$14-$B$13)/($B$12-1))</x:f>
      </x:c>
      <x:c r="C1457" s="14">
        <x:f>IF(B1457="","",$F$8*COS(B1457) + $B$7*COS($F$6*B1457))</x:f>
      </x:c>
      <x:c r="D1457" s="14">
        <x:f>IF(B1457="","",$F$8*SIN(B1457) - $B$7*SIN($F$6*B1457))</x:f>
      </x:c>
      <x:c r="E1457" s="14">
        <x:f>IF(B1457="","", C1457 + $F$12*$F$9*(-H1457)/IF(SQRT(G1457^2+H1457^2)=0,1,SQRT(G1457^2+H1457^2)))</x:f>
      </x:c>
      <x:c r="F1457" s="14">
        <x:f>IF(B1457="","", D1457 + $F$12*$F$9*(G1457)/IF(SQRT(G1457^2+H1457^2)=0,1,SQRT(G1457^2+H1457^2)))</x:f>
      </x:c>
      <x:c r="G1457" s="14">
        <x:f>IF(B1457="","", -$F$8*SIN(B1457) - $B$7*$F$6*SIN($F$6*B1457))</x:f>
      </x:c>
      <x:c r="H1457" s="14">
        <x:f>IF(B1457="","", $F$8*COS(B1457) - $B$7*$F$6*COS($F$6*B1457))</x:f>
      </x:c>
    </x:row>
    <x:row r="1458">
      <x:c r="A1458" s="13" t="n">
        <x:v>1439</x:v>
      </x:c>
      <x:c r="B1458" s="14">
        <x:f>IF($B$12&lt;1439,"",$B$13+(1439-1)*($B$14-$B$13)/($B$12-1))</x:f>
      </x:c>
      <x:c r="C1458" s="14">
        <x:f>IF(B1458="","",$F$8*COS(B1458) + $B$7*COS($F$6*B1458))</x:f>
      </x:c>
      <x:c r="D1458" s="14">
        <x:f>IF(B1458="","",$F$8*SIN(B1458) - $B$7*SIN($F$6*B1458))</x:f>
      </x:c>
      <x:c r="E1458" s="14">
        <x:f>IF(B1458="","", C1458 + $F$12*$F$9*(-H1458)/IF(SQRT(G1458^2+H1458^2)=0,1,SQRT(G1458^2+H1458^2)))</x:f>
      </x:c>
      <x:c r="F1458" s="14">
        <x:f>IF(B1458="","", D1458 + $F$12*$F$9*(G1458)/IF(SQRT(G1458^2+H1458^2)=0,1,SQRT(G1458^2+H1458^2)))</x:f>
      </x:c>
      <x:c r="G1458" s="14">
        <x:f>IF(B1458="","", -$F$8*SIN(B1458) - $B$7*$F$6*SIN($F$6*B1458))</x:f>
      </x:c>
      <x:c r="H1458" s="14">
        <x:f>IF(B1458="","", $F$8*COS(B1458) - $B$7*$F$6*COS($F$6*B1458))</x:f>
      </x:c>
    </x:row>
    <x:row r="1459">
      <x:c r="A1459" s="13" t="n">
        <x:v>1440</x:v>
      </x:c>
      <x:c r="B1459" s="14">
        <x:f>IF($B$12&lt;1440,"",$B$13+(1440-1)*($B$14-$B$13)/($B$12-1))</x:f>
      </x:c>
      <x:c r="C1459" s="14">
        <x:f>IF(B1459="","",$F$8*COS(B1459) + $B$7*COS($F$6*B1459))</x:f>
      </x:c>
      <x:c r="D1459" s="14">
        <x:f>IF(B1459="","",$F$8*SIN(B1459) - $B$7*SIN($F$6*B1459))</x:f>
      </x:c>
      <x:c r="E1459" s="14">
        <x:f>IF(B1459="","", C1459 + $F$12*$F$9*(-H1459)/IF(SQRT(G1459^2+H1459^2)=0,1,SQRT(G1459^2+H1459^2)))</x:f>
      </x:c>
      <x:c r="F1459" s="14">
        <x:f>IF(B1459="","", D1459 + $F$12*$F$9*(G1459)/IF(SQRT(G1459^2+H1459^2)=0,1,SQRT(G1459^2+H1459^2)))</x:f>
      </x:c>
      <x:c r="G1459" s="14">
        <x:f>IF(B1459="","", -$F$8*SIN(B1459) - $B$7*$F$6*SIN($F$6*B1459))</x:f>
      </x:c>
      <x:c r="H1459" s="14">
        <x:f>IF(B1459="","", $F$8*COS(B1459) - $B$7*$F$6*COS($F$6*B1459))</x:f>
      </x:c>
    </x:row>
    <x:row r="1460">
      <x:c r="A1460" s="13" t="n">
        <x:v>1441</x:v>
      </x:c>
      <x:c r="B1460" s="14">
        <x:f>IF($B$12&lt;1441,"",$B$13+(1441-1)*($B$14-$B$13)/($B$12-1))</x:f>
      </x:c>
      <x:c r="C1460" s="14">
        <x:f>IF(B1460="","",$F$8*COS(B1460) + $B$7*COS($F$6*B1460))</x:f>
      </x:c>
      <x:c r="D1460" s="14">
        <x:f>IF(B1460="","",$F$8*SIN(B1460) - $B$7*SIN($F$6*B1460))</x:f>
      </x:c>
      <x:c r="E1460" s="14">
        <x:f>IF(B1460="","", C1460 + $F$12*$F$9*(-H1460)/IF(SQRT(G1460^2+H1460^2)=0,1,SQRT(G1460^2+H1460^2)))</x:f>
      </x:c>
      <x:c r="F1460" s="14">
        <x:f>IF(B1460="","", D1460 + $F$12*$F$9*(G1460)/IF(SQRT(G1460^2+H1460^2)=0,1,SQRT(G1460^2+H1460^2)))</x:f>
      </x:c>
      <x:c r="G1460" s="14">
        <x:f>IF(B1460="","", -$F$8*SIN(B1460) - $B$7*$F$6*SIN($F$6*B1460))</x:f>
      </x:c>
      <x:c r="H1460" s="14">
        <x:f>IF(B1460="","", $F$8*COS(B1460) - $B$7*$F$6*COS($F$6*B1460))</x:f>
      </x:c>
    </x:row>
    <x:row r="1461">
      <x:c r="A1461" s="13" t="n">
        <x:v>1442</x:v>
      </x:c>
      <x:c r="B1461" s="14">
        <x:f>IF($B$12&lt;1442,"",$B$13+(1442-1)*($B$14-$B$13)/($B$12-1))</x:f>
      </x:c>
      <x:c r="C1461" s="14">
        <x:f>IF(B1461="","",$F$8*COS(B1461) + $B$7*COS($F$6*B1461))</x:f>
      </x:c>
      <x:c r="D1461" s="14">
        <x:f>IF(B1461="","",$F$8*SIN(B1461) - $B$7*SIN($F$6*B1461))</x:f>
      </x:c>
      <x:c r="E1461" s="14">
        <x:f>IF(B1461="","", C1461 + $F$12*$F$9*(-H1461)/IF(SQRT(G1461^2+H1461^2)=0,1,SQRT(G1461^2+H1461^2)))</x:f>
      </x:c>
      <x:c r="F1461" s="14">
        <x:f>IF(B1461="","", D1461 + $F$12*$F$9*(G1461)/IF(SQRT(G1461^2+H1461^2)=0,1,SQRT(G1461^2+H1461^2)))</x:f>
      </x:c>
      <x:c r="G1461" s="14">
        <x:f>IF(B1461="","", -$F$8*SIN(B1461) - $B$7*$F$6*SIN($F$6*B1461))</x:f>
      </x:c>
      <x:c r="H1461" s="14">
        <x:f>IF(B1461="","", $F$8*COS(B1461) - $B$7*$F$6*COS($F$6*B1461))</x:f>
      </x:c>
    </x:row>
    <x:row r="1462">
      <x:c r="A1462" s="13" t="n">
        <x:v>1443</x:v>
      </x:c>
      <x:c r="B1462" s="14">
        <x:f>IF($B$12&lt;1443,"",$B$13+(1443-1)*($B$14-$B$13)/($B$12-1))</x:f>
      </x:c>
      <x:c r="C1462" s="14">
        <x:f>IF(B1462="","",$F$8*COS(B1462) + $B$7*COS($F$6*B1462))</x:f>
      </x:c>
      <x:c r="D1462" s="14">
        <x:f>IF(B1462="","",$F$8*SIN(B1462) - $B$7*SIN($F$6*B1462))</x:f>
      </x:c>
      <x:c r="E1462" s="14">
        <x:f>IF(B1462="","", C1462 + $F$12*$F$9*(-H1462)/IF(SQRT(G1462^2+H1462^2)=0,1,SQRT(G1462^2+H1462^2)))</x:f>
      </x:c>
      <x:c r="F1462" s="14">
        <x:f>IF(B1462="","", D1462 + $F$12*$F$9*(G1462)/IF(SQRT(G1462^2+H1462^2)=0,1,SQRT(G1462^2+H1462^2)))</x:f>
      </x:c>
      <x:c r="G1462" s="14">
        <x:f>IF(B1462="","", -$F$8*SIN(B1462) - $B$7*$F$6*SIN($F$6*B1462))</x:f>
      </x:c>
      <x:c r="H1462" s="14">
        <x:f>IF(B1462="","", $F$8*COS(B1462) - $B$7*$F$6*COS($F$6*B1462))</x:f>
      </x:c>
    </x:row>
    <x:row r="1463">
      <x:c r="A1463" s="13" t="n">
        <x:v>1444</x:v>
      </x:c>
      <x:c r="B1463" s="14">
        <x:f>IF($B$12&lt;1444,"",$B$13+(1444-1)*($B$14-$B$13)/($B$12-1))</x:f>
      </x:c>
      <x:c r="C1463" s="14">
        <x:f>IF(B1463="","",$F$8*COS(B1463) + $B$7*COS($F$6*B1463))</x:f>
      </x:c>
      <x:c r="D1463" s="14">
        <x:f>IF(B1463="","",$F$8*SIN(B1463) - $B$7*SIN($F$6*B1463))</x:f>
      </x:c>
      <x:c r="E1463" s="14">
        <x:f>IF(B1463="","", C1463 + $F$12*$F$9*(-H1463)/IF(SQRT(G1463^2+H1463^2)=0,1,SQRT(G1463^2+H1463^2)))</x:f>
      </x:c>
      <x:c r="F1463" s="14">
        <x:f>IF(B1463="","", D1463 + $F$12*$F$9*(G1463)/IF(SQRT(G1463^2+H1463^2)=0,1,SQRT(G1463^2+H1463^2)))</x:f>
      </x:c>
      <x:c r="G1463" s="14">
        <x:f>IF(B1463="","", -$F$8*SIN(B1463) - $B$7*$F$6*SIN($F$6*B1463))</x:f>
      </x:c>
      <x:c r="H1463" s="14">
        <x:f>IF(B1463="","", $F$8*COS(B1463) - $B$7*$F$6*COS($F$6*B1463))</x:f>
      </x:c>
    </x:row>
    <x:row r="1464">
      <x:c r="A1464" s="13" t="n">
        <x:v>1445</x:v>
      </x:c>
      <x:c r="B1464" s="14">
        <x:f>IF($B$12&lt;1445,"",$B$13+(1445-1)*($B$14-$B$13)/($B$12-1))</x:f>
      </x:c>
      <x:c r="C1464" s="14">
        <x:f>IF(B1464="","",$F$8*COS(B1464) + $B$7*COS($F$6*B1464))</x:f>
      </x:c>
      <x:c r="D1464" s="14">
        <x:f>IF(B1464="","",$F$8*SIN(B1464) - $B$7*SIN($F$6*B1464))</x:f>
      </x:c>
      <x:c r="E1464" s="14">
        <x:f>IF(B1464="","", C1464 + $F$12*$F$9*(-H1464)/IF(SQRT(G1464^2+H1464^2)=0,1,SQRT(G1464^2+H1464^2)))</x:f>
      </x:c>
      <x:c r="F1464" s="14">
        <x:f>IF(B1464="","", D1464 + $F$12*$F$9*(G1464)/IF(SQRT(G1464^2+H1464^2)=0,1,SQRT(G1464^2+H1464^2)))</x:f>
      </x:c>
      <x:c r="G1464" s="14">
        <x:f>IF(B1464="","", -$F$8*SIN(B1464) - $B$7*$F$6*SIN($F$6*B1464))</x:f>
      </x:c>
      <x:c r="H1464" s="14">
        <x:f>IF(B1464="","", $F$8*COS(B1464) - $B$7*$F$6*COS($F$6*B1464))</x:f>
      </x:c>
    </x:row>
    <x:row r="1465">
      <x:c r="A1465" s="13" t="n">
        <x:v>1446</x:v>
      </x:c>
      <x:c r="B1465" s="14">
        <x:f>IF($B$12&lt;1446,"",$B$13+(1446-1)*($B$14-$B$13)/($B$12-1))</x:f>
      </x:c>
      <x:c r="C1465" s="14">
        <x:f>IF(B1465="","",$F$8*COS(B1465) + $B$7*COS($F$6*B1465))</x:f>
      </x:c>
      <x:c r="D1465" s="14">
        <x:f>IF(B1465="","",$F$8*SIN(B1465) - $B$7*SIN($F$6*B1465))</x:f>
      </x:c>
      <x:c r="E1465" s="14">
        <x:f>IF(B1465="","", C1465 + $F$12*$F$9*(-H1465)/IF(SQRT(G1465^2+H1465^2)=0,1,SQRT(G1465^2+H1465^2)))</x:f>
      </x:c>
      <x:c r="F1465" s="14">
        <x:f>IF(B1465="","", D1465 + $F$12*$F$9*(G1465)/IF(SQRT(G1465^2+H1465^2)=0,1,SQRT(G1465^2+H1465^2)))</x:f>
      </x:c>
      <x:c r="G1465" s="14">
        <x:f>IF(B1465="","", -$F$8*SIN(B1465) - $B$7*$F$6*SIN($F$6*B1465))</x:f>
      </x:c>
      <x:c r="H1465" s="14">
        <x:f>IF(B1465="","", $F$8*COS(B1465) - $B$7*$F$6*COS($F$6*B1465))</x:f>
      </x:c>
    </x:row>
    <x:row r="1466">
      <x:c r="A1466" s="13" t="n">
        <x:v>1447</x:v>
      </x:c>
      <x:c r="B1466" s="14">
        <x:f>IF($B$12&lt;1447,"",$B$13+(1447-1)*($B$14-$B$13)/($B$12-1))</x:f>
      </x:c>
      <x:c r="C1466" s="14">
        <x:f>IF(B1466="","",$F$8*COS(B1466) + $B$7*COS($F$6*B1466))</x:f>
      </x:c>
      <x:c r="D1466" s="14">
        <x:f>IF(B1466="","",$F$8*SIN(B1466) - $B$7*SIN($F$6*B1466))</x:f>
      </x:c>
      <x:c r="E1466" s="14">
        <x:f>IF(B1466="","", C1466 + $F$12*$F$9*(-H1466)/IF(SQRT(G1466^2+H1466^2)=0,1,SQRT(G1466^2+H1466^2)))</x:f>
      </x:c>
      <x:c r="F1466" s="14">
        <x:f>IF(B1466="","", D1466 + $F$12*$F$9*(G1466)/IF(SQRT(G1466^2+H1466^2)=0,1,SQRT(G1466^2+H1466^2)))</x:f>
      </x:c>
      <x:c r="G1466" s="14">
        <x:f>IF(B1466="","", -$F$8*SIN(B1466) - $B$7*$F$6*SIN($F$6*B1466))</x:f>
      </x:c>
      <x:c r="H1466" s="14">
        <x:f>IF(B1466="","", $F$8*COS(B1466) - $B$7*$F$6*COS($F$6*B1466))</x:f>
      </x:c>
    </x:row>
    <x:row r="1467">
      <x:c r="A1467" s="13" t="n">
        <x:v>1448</x:v>
      </x:c>
      <x:c r="B1467" s="14">
        <x:f>IF($B$12&lt;1448,"",$B$13+(1448-1)*($B$14-$B$13)/($B$12-1))</x:f>
      </x:c>
      <x:c r="C1467" s="14">
        <x:f>IF(B1467="","",$F$8*COS(B1467) + $B$7*COS($F$6*B1467))</x:f>
      </x:c>
      <x:c r="D1467" s="14">
        <x:f>IF(B1467="","",$F$8*SIN(B1467) - $B$7*SIN($F$6*B1467))</x:f>
      </x:c>
      <x:c r="E1467" s="14">
        <x:f>IF(B1467="","", C1467 + $F$12*$F$9*(-H1467)/IF(SQRT(G1467^2+H1467^2)=0,1,SQRT(G1467^2+H1467^2)))</x:f>
      </x:c>
      <x:c r="F1467" s="14">
        <x:f>IF(B1467="","", D1467 + $F$12*$F$9*(G1467)/IF(SQRT(G1467^2+H1467^2)=0,1,SQRT(G1467^2+H1467^2)))</x:f>
      </x:c>
      <x:c r="G1467" s="14">
        <x:f>IF(B1467="","", -$F$8*SIN(B1467) - $B$7*$F$6*SIN($F$6*B1467))</x:f>
      </x:c>
      <x:c r="H1467" s="14">
        <x:f>IF(B1467="","", $F$8*COS(B1467) - $B$7*$F$6*COS($F$6*B1467))</x:f>
      </x:c>
    </x:row>
    <x:row r="1468">
      <x:c r="A1468" s="13" t="n">
        <x:v>1449</x:v>
      </x:c>
      <x:c r="B1468" s="14">
        <x:f>IF($B$12&lt;1449,"",$B$13+(1449-1)*($B$14-$B$13)/($B$12-1))</x:f>
      </x:c>
      <x:c r="C1468" s="14">
        <x:f>IF(B1468="","",$F$8*COS(B1468) + $B$7*COS($F$6*B1468))</x:f>
      </x:c>
      <x:c r="D1468" s="14">
        <x:f>IF(B1468="","",$F$8*SIN(B1468) - $B$7*SIN($F$6*B1468))</x:f>
      </x:c>
      <x:c r="E1468" s="14">
        <x:f>IF(B1468="","", C1468 + $F$12*$F$9*(-H1468)/IF(SQRT(G1468^2+H1468^2)=0,1,SQRT(G1468^2+H1468^2)))</x:f>
      </x:c>
      <x:c r="F1468" s="14">
        <x:f>IF(B1468="","", D1468 + $F$12*$F$9*(G1468)/IF(SQRT(G1468^2+H1468^2)=0,1,SQRT(G1468^2+H1468^2)))</x:f>
      </x:c>
      <x:c r="G1468" s="14">
        <x:f>IF(B1468="","", -$F$8*SIN(B1468) - $B$7*$F$6*SIN($F$6*B1468))</x:f>
      </x:c>
      <x:c r="H1468" s="14">
        <x:f>IF(B1468="","", $F$8*COS(B1468) - $B$7*$F$6*COS($F$6*B1468))</x:f>
      </x:c>
    </x:row>
    <x:row r="1469">
      <x:c r="A1469" s="13" t="n">
        <x:v>1450</x:v>
      </x:c>
      <x:c r="B1469" s="14">
        <x:f>IF($B$12&lt;1450,"",$B$13+(1450-1)*($B$14-$B$13)/($B$12-1))</x:f>
      </x:c>
      <x:c r="C1469" s="14">
        <x:f>IF(B1469="","",$F$8*COS(B1469) + $B$7*COS($F$6*B1469))</x:f>
      </x:c>
      <x:c r="D1469" s="14">
        <x:f>IF(B1469="","",$F$8*SIN(B1469) - $B$7*SIN($F$6*B1469))</x:f>
      </x:c>
      <x:c r="E1469" s="14">
        <x:f>IF(B1469="","", C1469 + $F$12*$F$9*(-H1469)/IF(SQRT(G1469^2+H1469^2)=0,1,SQRT(G1469^2+H1469^2)))</x:f>
      </x:c>
      <x:c r="F1469" s="14">
        <x:f>IF(B1469="","", D1469 + $F$12*$F$9*(G1469)/IF(SQRT(G1469^2+H1469^2)=0,1,SQRT(G1469^2+H1469^2)))</x:f>
      </x:c>
      <x:c r="G1469" s="14">
        <x:f>IF(B1469="","", -$F$8*SIN(B1469) - $B$7*$F$6*SIN($F$6*B1469))</x:f>
      </x:c>
      <x:c r="H1469" s="14">
        <x:f>IF(B1469="","", $F$8*COS(B1469) - $B$7*$F$6*COS($F$6*B1469))</x:f>
      </x:c>
    </x:row>
    <x:row r="1470">
      <x:c r="A1470" s="13" t="n">
        <x:v>1451</x:v>
      </x:c>
      <x:c r="B1470" s="14">
        <x:f>IF($B$12&lt;1451,"",$B$13+(1451-1)*($B$14-$B$13)/($B$12-1))</x:f>
      </x:c>
      <x:c r="C1470" s="14">
        <x:f>IF(B1470="","",$F$8*COS(B1470) + $B$7*COS($F$6*B1470))</x:f>
      </x:c>
      <x:c r="D1470" s="14">
        <x:f>IF(B1470="","",$F$8*SIN(B1470) - $B$7*SIN($F$6*B1470))</x:f>
      </x:c>
      <x:c r="E1470" s="14">
        <x:f>IF(B1470="","", C1470 + $F$12*$F$9*(-H1470)/IF(SQRT(G1470^2+H1470^2)=0,1,SQRT(G1470^2+H1470^2)))</x:f>
      </x:c>
      <x:c r="F1470" s="14">
        <x:f>IF(B1470="","", D1470 + $F$12*$F$9*(G1470)/IF(SQRT(G1470^2+H1470^2)=0,1,SQRT(G1470^2+H1470^2)))</x:f>
      </x:c>
      <x:c r="G1470" s="14">
        <x:f>IF(B1470="","", -$F$8*SIN(B1470) - $B$7*$F$6*SIN($F$6*B1470))</x:f>
      </x:c>
      <x:c r="H1470" s="14">
        <x:f>IF(B1470="","", $F$8*COS(B1470) - $B$7*$F$6*COS($F$6*B1470))</x:f>
      </x:c>
    </x:row>
    <x:row r="1471">
      <x:c r="A1471" s="13" t="n">
        <x:v>1452</x:v>
      </x:c>
      <x:c r="B1471" s="14">
        <x:f>IF($B$12&lt;1452,"",$B$13+(1452-1)*($B$14-$B$13)/($B$12-1))</x:f>
      </x:c>
      <x:c r="C1471" s="14">
        <x:f>IF(B1471="","",$F$8*COS(B1471) + $B$7*COS($F$6*B1471))</x:f>
      </x:c>
      <x:c r="D1471" s="14">
        <x:f>IF(B1471="","",$F$8*SIN(B1471) - $B$7*SIN($F$6*B1471))</x:f>
      </x:c>
      <x:c r="E1471" s="14">
        <x:f>IF(B1471="","", C1471 + $F$12*$F$9*(-H1471)/IF(SQRT(G1471^2+H1471^2)=0,1,SQRT(G1471^2+H1471^2)))</x:f>
      </x:c>
      <x:c r="F1471" s="14">
        <x:f>IF(B1471="","", D1471 + $F$12*$F$9*(G1471)/IF(SQRT(G1471^2+H1471^2)=0,1,SQRT(G1471^2+H1471^2)))</x:f>
      </x:c>
      <x:c r="G1471" s="14">
        <x:f>IF(B1471="","", -$F$8*SIN(B1471) - $B$7*$F$6*SIN($F$6*B1471))</x:f>
      </x:c>
      <x:c r="H1471" s="14">
        <x:f>IF(B1471="","", $F$8*COS(B1471) - $B$7*$F$6*COS($F$6*B1471))</x:f>
      </x:c>
    </x:row>
    <x:row r="1472">
      <x:c r="A1472" s="13" t="n">
        <x:v>1453</x:v>
      </x:c>
      <x:c r="B1472" s="14">
        <x:f>IF($B$12&lt;1453,"",$B$13+(1453-1)*($B$14-$B$13)/($B$12-1))</x:f>
      </x:c>
      <x:c r="C1472" s="14">
        <x:f>IF(B1472="","",$F$8*COS(B1472) + $B$7*COS($F$6*B1472))</x:f>
      </x:c>
      <x:c r="D1472" s="14">
        <x:f>IF(B1472="","",$F$8*SIN(B1472) - $B$7*SIN($F$6*B1472))</x:f>
      </x:c>
      <x:c r="E1472" s="14">
        <x:f>IF(B1472="","", C1472 + $F$12*$F$9*(-H1472)/IF(SQRT(G1472^2+H1472^2)=0,1,SQRT(G1472^2+H1472^2)))</x:f>
      </x:c>
      <x:c r="F1472" s="14">
        <x:f>IF(B1472="","", D1472 + $F$12*$F$9*(G1472)/IF(SQRT(G1472^2+H1472^2)=0,1,SQRT(G1472^2+H1472^2)))</x:f>
      </x:c>
      <x:c r="G1472" s="14">
        <x:f>IF(B1472="","", -$F$8*SIN(B1472) - $B$7*$F$6*SIN($F$6*B1472))</x:f>
      </x:c>
      <x:c r="H1472" s="14">
        <x:f>IF(B1472="","", $F$8*COS(B1472) - $B$7*$F$6*COS($F$6*B1472))</x:f>
      </x:c>
    </x:row>
    <x:row r="1473">
      <x:c r="A1473" s="13" t="n">
        <x:v>1454</x:v>
      </x:c>
      <x:c r="B1473" s="14">
        <x:f>IF($B$12&lt;1454,"",$B$13+(1454-1)*($B$14-$B$13)/($B$12-1))</x:f>
      </x:c>
      <x:c r="C1473" s="14">
        <x:f>IF(B1473="","",$F$8*COS(B1473) + $B$7*COS($F$6*B1473))</x:f>
      </x:c>
      <x:c r="D1473" s="14">
        <x:f>IF(B1473="","",$F$8*SIN(B1473) - $B$7*SIN($F$6*B1473))</x:f>
      </x:c>
      <x:c r="E1473" s="14">
        <x:f>IF(B1473="","", C1473 + $F$12*$F$9*(-H1473)/IF(SQRT(G1473^2+H1473^2)=0,1,SQRT(G1473^2+H1473^2)))</x:f>
      </x:c>
      <x:c r="F1473" s="14">
        <x:f>IF(B1473="","", D1473 + $F$12*$F$9*(G1473)/IF(SQRT(G1473^2+H1473^2)=0,1,SQRT(G1473^2+H1473^2)))</x:f>
      </x:c>
      <x:c r="G1473" s="14">
        <x:f>IF(B1473="","", -$F$8*SIN(B1473) - $B$7*$F$6*SIN($F$6*B1473))</x:f>
      </x:c>
      <x:c r="H1473" s="14">
        <x:f>IF(B1473="","", $F$8*COS(B1473) - $B$7*$F$6*COS($F$6*B1473))</x:f>
      </x:c>
    </x:row>
    <x:row r="1474">
      <x:c r="A1474" s="13" t="n">
        <x:v>1455</x:v>
      </x:c>
      <x:c r="B1474" s="14">
        <x:f>IF($B$12&lt;1455,"",$B$13+(1455-1)*($B$14-$B$13)/($B$12-1))</x:f>
      </x:c>
      <x:c r="C1474" s="14">
        <x:f>IF(B1474="","",$F$8*COS(B1474) + $B$7*COS($F$6*B1474))</x:f>
      </x:c>
      <x:c r="D1474" s="14">
        <x:f>IF(B1474="","",$F$8*SIN(B1474) - $B$7*SIN($F$6*B1474))</x:f>
      </x:c>
      <x:c r="E1474" s="14">
        <x:f>IF(B1474="","", C1474 + $F$12*$F$9*(-H1474)/IF(SQRT(G1474^2+H1474^2)=0,1,SQRT(G1474^2+H1474^2)))</x:f>
      </x:c>
      <x:c r="F1474" s="14">
        <x:f>IF(B1474="","", D1474 + $F$12*$F$9*(G1474)/IF(SQRT(G1474^2+H1474^2)=0,1,SQRT(G1474^2+H1474^2)))</x:f>
      </x:c>
      <x:c r="G1474" s="14">
        <x:f>IF(B1474="","", -$F$8*SIN(B1474) - $B$7*$F$6*SIN($F$6*B1474))</x:f>
      </x:c>
      <x:c r="H1474" s="14">
        <x:f>IF(B1474="","", $F$8*COS(B1474) - $B$7*$F$6*COS($F$6*B1474))</x:f>
      </x:c>
    </x:row>
    <x:row r="1475">
      <x:c r="A1475" s="13" t="n">
        <x:v>1456</x:v>
      </x:c>
      <x:c r="B1475" s="14">
        <x:f>IF($B$12&lt;1456,"",$B$13+(1456-1)*($B$14-$B$13)/($B$12-1))</x:f>
      </x:c>
      <x:c r="C1475" s="14">
        <x:f>IF(B1475="","",$F$8*COS(B1475) + $B$7*COS($F$6*B1475))</x:f>
      </x:c>
      <x:c r="D1475" s="14">
        <x:f>IF(B1475="","",$F$8*SIN(B1475) - $B$7*SIN($F$6*B1475))</x:f>
      </x:c>
      <x:c r="E1475" s="14">
        <x:f>IF(B1475="","", C1475 + $F$12*$F$9*(-H1475)/IF(SQRT(G1475^2+H1475^2)=0,1,SQRT(G1475^2+H1475^2)))</x:f>
      </x:c>
      <x:c r="F1475" s="14">
        <x:f>IF(B1475="","", D1475 + $F$12*$F$9*(G1475)/IF(SQRT(G1475^2+H1475^2)=0,1,SQRT(G1475^2+H1475^2)))</x:f>
      </x:c>
      <x:c r="G1475" s="14">
        <x:f>IF(B1475="","", -$F$8*SIN(B1475) - $B$7*$F$6*SIN($F$6*B1475))</x:f>
      </x:c>
      <x:c r="H1475" s="14">
        <x:f>IF(B1475="","", $F$8*COS(B1475) - $B$7*$F$6*COS($F$6*B1475))</x:f>
      </x:c>
    </x:row>
    <x:row r="1476">
      <x:c r="A1476" s="13" t="n">
        <x:v>1457</x:v>
      </x:c>
      <x:c r="B1476" s="14">
        <x:f>IF($B$12&lt;1457,"",$B$13+(1457-1)*($B$14-$B$13)/($B$12-1))</x:f>
      </x:c>
      <x:c r="C1476" s="14">
        <x:f>IF(B1476="","",$F$8*COS(B1476) + $B$7*COS($F$6*B1476))</x:f>
      </x:c>
      <x:c r="D1476" s="14">
        <x:f>IF(B1476="","",$F$8*SIN(B1476) - $B$7*SIN($F$6*B1476))</x:f>
      </x:c>
      <x:c r="E1476" s="14">
        <x:f>IF(B1476="","", C1476 + $F$12*$F$9*(-H1476)/IF(SQRT(G1476^2+H1476^2)=0,1,SQRT(G1476^2+H1476^2)))</x:f>
      </x:c>
      <x:c r="F1476" s="14">
        <x:f>IF(B1476="","", D1476 + $F$12*$F$9*(G1476)/IF(SQRT(G1476^2+H1476^2)=0,1,SQRT(G1476^2+H1476^2)))</x:f>
      </x:c>
      <x:c r="G1476" s="14">
        <x:f>IF(B1476="","", -$F$8*SIN(B1476) - $B$7*$F$6*SIN($F$6*B1476))</x:f>
      </x:c>
      <x:c r="H1476" s="14">
        <x:f>IF(B1476="","", $F$8*COS(B1476) - $B$7*$F$6*COS($F$6*B1476))</x:f>
      </x:c>
    </x:row>
    <x:row r="1477">
      <x:c r="A1477" s="13" t="n">
        <x:v>1458</x:v>
      </x:c>
      <x:c r="B1477" s="14">
        <x:f>IF($B$12&lt;1458,"",$B$13+(1458-1)*($B$14-$B$13)/($B$12-1))</x:f>
      </x:c>
      <x:c r="C1477" s="14">
        <x:f>IF(B1477="","",$F$8*COS(B1477) + $B$7*COS($F$6*B1477))</x:f>
      </x:c>
      <x:c r="D1477" s="14">
        <x:f>IF(B1477="","",$F$8*SIN(B1477) - $B$7*SIN($F$6*B1477))</x:f>
      </x:c>
      <x:c r="E1477" s="14">
        <x:f>IF(B1477="","", C1477 + $F$12*$F$9*(-H1477)/IF(SQRT(G1477^2+H1477^2)=0,1,SQRT(G1477^2+H1477^2)))</x:f>
      </x:c>
      <x:c r="F1477" s="14">
        <x:f>IF(B1477="","", D1477 + $F$12*$F$9*(G1477)/IF(SQRT(G1477^2+H1477^2)=0,1,SQRT(G1477^2+H1477^2)))</x:f>
      </x:c>
      <x:c r="G1477" s="14">
        <x:f>IF(B1477="","", -$F$8*SIN(B1477) - $B$7*$F$6*SIN($F$6*B1477))</x:f>
      </x:c>
      <x:c r="H1477" s="14">
        <x:f>IF(B1477="","", $F$8*COS(B1477) - $B$7*$F$6*COS($F$6*B1477))</x:f>
      </x:c>
    </x:row>
    <x:row r="1478">
      <x:c r="A1478" s="13" t="n">
        <x:v>1459</x:v>
      </x:c>
      <x:c r="B1478" s="14">
        <x:f>IF($B$12&lt;1459,"",$B$13+(1459-1)*($B$14-$B$13)/($B$12-1))</x:f>
      </x:c>
      <x:c r="C1478" s="14">
        <x:f>IF(B1478="","",$F$8*COS(B1478) + $B$7*COS($F$6*B1478))</x:f>
      </x:c>
      <x:c r="D1478" s="14">
        <x:f>IF(B1478="","",$F$8*SIN(B1478) - $B$7*SIN($F$6*B1478))</x:f>
      </x:c>
      <x:c r="E1478" s="14">
        <x:f>IF(B1478="","", C1478 + $F$12*$F$9*(-H1478)/IF(SQRT(G1478^2+H1478^2)=0,1,SQRT(G1478^2+H1478^2)))</x:f>
      </x:c>
      <x:c r="F1478" s="14">
        <x:f>IF(B1478="","", D1478 + $F$12*$F$9*(G1478)/IF(SQRT(G1478^2+H1478^2)=0,1,SQRT(G1478^2+H1478^2)))</x:f>
      </x:c>
      <x:c r="G1478" s="14">
        <x:f>IF(B1478="","", -$F$8*SIN(B1478) - $B$7*$F$6*SIN($F$6*B1478))</x:f>
      </x:c>
      <x:c r="H1478" s="14">
        <x:f>IF(B1478="","", $F$8*COS(B1478) - $B$7*$F$6*COS($F$6*B1478))</x:f>
      </x:c>
    </x:row>
    <x:row r="1479">
      <x:c r="A1479" s="13" t="n">
        <x:v>1460</x:v>
      </x:c>
      <x:c r="B1479" s="14">
        <x:f>IF($B$12&lt;1460,"",$B$13+(1460-1)*($B$14-$B$13)/($B$12-1))</x:f>
      </x:c>
      <x:c r="C1479" s="14">
        <x:f>IF(B1479="","",$F$8*COS(B1479) + $B$7*COS($F$6*B1479))</x:f>
      </x:c>
      <x:c r="D1479" s="14">
        <x:f>IF(B1479="","",$F$8*SIN(B1479) - $B$7*SIN($F$6*B1479))</x:f>
      </x:c>
      <x:c r="E1479" s="14">
        <x:f>IF(B1479="","", C1479 + $F$12*$F$9*(-H1479)/IF(SQRT(G1479^2+H1479^2)=0,1,SQRT(G1479^2+H1479^2)))</x:f>
      </x:c>
      <x:c r="F1479" s="14">
        <x:f>IF(B1479="","", D1479 + $F$12*$F$9*(G1479)/IF(SQRT(G1479^2+H1479^2)=0,1,SQRT(G1479^2+H1479^2)))</x:f>
      </x:c>
      <x:c r="G1479" s="14">
        <x:f>IF(B1479="","", -$F$8*SIN(B1479) - $B$7*$F$6*SIN($F$6*B1479))</x:f>
      </x:c>
      <x:c r="H1479" s="14">
        <x:f>IF(B1479="","", $F$8*COS(B1479) - $B$7*$F$6*COS($F$6*B1479))</x:f>
      </x:c>
    </x:row>
    <x:row r="1480">
      <x:c r="A1480" s="13" t="n">
        <x:v>1461</x:v>
      </x:c>
      <x:c r="B1480" s="14">
        <x:f>IF($B$12&lt;1461,"",$B$13+(1461-1)*($B$14-$B$13)/($B$12-1))</x:f>
      </x:c>
      <x:c r="C1480" s="14">
        <x:f>IF(B1480="","",$F$8*COS(B1480) + $B$7*COS($F$6*B1480))</x:f>
      </x:c>
      <x:c r="D1480" s="14">
        <x:f>IF(B1480="","",$F$8*SIN(B1480) - $B$7*SIN($F$6*B1480))</x:f>
      </x:c>
      <x:c r="E1480" s="14">
        <x:f>IF(B1480="","", C1480 + $F$12*$F$9*(-H1480)/IF(SQRT(G1480^2+H1480^2)=0,1,SQRT(G1480^2+H1480^2)))</x:f>
      </x:c>
      <x:c r="F1480" s="14">
        <x:f>IF(B1480="","", D1480 + $F$12*$F$9*(G1480)/IF(SQRT(G1480^2+H1480^2)=0,1,SQRT(G1480^2+H1480^2)))</x:f>
      </x:c>
      <x:c r="G1480" s="14">
        <x:f>IF(B1480="","", -$F$8*SIN(B1480) - $B$7*$F$6*SIN($F$6*B1480))</x:f>
      </x:c>
      <x:c r="H1480" s="14">
        <x:f>IF(B1480="","", $F$8*COS(B1480) - $B$7*$F$6*COS($F$6*B1480))</x:f>
      </x:c>
    </x:row>
    <x:row r="1481">
      <x:c r="A1481" s="13" t="n">
        <x:v>1462</x:v>
      </x:c>
      <x:c r="B1481" s="14">
        <x:f>IF($B$12&lt;1462,"",$B$13+(1462-1)*($B$14-$B$13)/($B$12-1))</x:f>
      </x:c>
      <x:c r="C1481" s="14">
        <x:f>IF(B1481="","",$F$8*COS(B1481) + $B$7*COS($F$6*B1481))</x:f>
      </x:c>
      <x:c r="D1481" s="14">
        <x:f>IF(B1481="","",$F$8*SIN(B1481) - $B$7*SIN($F$6*B1481))</x:f>
      </x:c>
      <x:c r="E1481" s="14">
        <x:f>IF(B1481="","", C1481 + $F$12*$F$9*(-H1481)/IF(SQRT(G1481^2+H1481^2)=0,1,SQRT(G1481^2+H1481^2)))</x:f>
      </x:c>
      <x:c r="F1481" s="14">
        <x:f>IF(B1481="","", D1481 + $F$12*$F$9*(G1481)/IF(SQRT(G1481^2+H1481^2)=0,1,SQRT(G1481^2+H1481^2)))</x:f>
      </x:c>
      <x:c r="G1481" s="14">
        <x:f>IF(B1481="","", -$F$8*SIN(B1481) - $B$7*$F$6*SIN($F$6*B1481))</x:f>
      </x:c>
      <x:c r="H1481" s="14">
        <x:f>IF(B1481="","", $F$8*COS(B1481) - $B$7*$F$6*COS($F$6*B1481))</x:f>
      </x:c>
    </x:row>
    <x:row r="1482">
      <x:c r="A1482" s="13" t="n">
        <x:v>1463</x:v>
      </x:c>
      <x:c r="B1482" s="14">
        <x:f>IF($B$12&lt;1463,"",$B$13+(1463-1)*($B$14-$B$13)/($B$12-1))</x:f>
      </x:c>
      <x:c r="C1482" s="14">
        <x:f>IF(B1482="","",$F$8*COS(B1482) + $B$7*COS($F$6*B1482))</x:f>
      </x:c>
      <x:c r="D1482" s="14">
        <x:f>IF(B1482="","",$F$8*SIN(B1482) - $B$7*SIN($F$6*B1482))</x:f>
      </x:c>
      <x:c r="E1482" s="14">
        <x:f>IF(B1482="","", C1482 + $F$12*$F$9*(-H1482)/IF(SQRT(G1482^2+H1482^2)=0,1,SQRT(G1482^2+H1482^2)))</x:f>
      </x:c>
      <x:c r="F1482" s="14">
        <x:f>IF(B1482="","", D1482 + $F$12*$F$9*(G1482)/IF(SQRT(G1482^2+H1482^2)=0,1,SQRT(G1482^2+H1482^2)))</x:f>
      </x:c>
      <x:c r="G1482" s="14">
        <x:f>IF(B1482="","", -$F$8*SIN(B1482) - $B$7*$F$6*SIN($F$6*B1482))</x:f>
      </x:c>
      <x:c r="H1482" s="14">
        <x:f>IF(B1482="","", $F$8*COS(B1482) - $B$7*$F$6*COS($F$6*B1482))</x:f>
      </x:c>
    </x:row>
    <x:row r="1483">
      <x:c r="A1483" s="13" t="n">
        <x:v>1464</x:v>
      </x:c>
      <x:c r="B1483" s="14">
        <x:f>IF($B$12&lt;1464,"",$B$13+(1464-1)*($B$14-$B$13)/($B$12-1))</x:f>
      </x:c>
      <x:c r="C1483" s="14">
        <x:f>IF(B1483="","",$F$8*COS(B1483) + $B$7*COS($F$6*B1483))</x:f>
      </x:c>
      <x:c r="D1483" s="14">
        <x:f>IF(B1483="","",$F$8*SIN(B1483) - $B$7*SIN($F$6*B1483))</x:f>
      </x:c>
      <x:c r="E1483" s="14">
        <x:f>IF(B1483="","", C1483 + $F$12*$F$9*(-H1483)/IF(SQRT(G1483^2+H1483^2)=0,1,SQRT(G1483^2+H1483^2)))</x:f>
      </x:c>
      <x:c r="F1483" s="14">
        <x:f>IF(B1483="","", D1483 + $F$12*$F$9*(G1483)/IF(SQRT(G1483^2+H1483^2)=0,1,SQRT(G1483^2+H1483^2)))</x:f>
      </x:c>
      <x:c r="G1483" s="14">
        <x:f>IF(B1483="","", -$F$8*SIN(B1483) - $B$7*$F$6*SIN($F$6*B1483))</x:f>
      </x:c>
      <x:c r="H1483" s="14">
        <x:f>IF(B1483="","", $F$8*COS(B1483) - $B$7*$F$6*COS($F$6*B1483))</x:f>
      </x:c>
    </x:row>
    <x:row r="1484">
      <x:c r="A1484" s="13" t="n">
        <x:v>1465</x:v>
      </x:c>
      <x:c r="B1484" s="14">
        <x:f>IF($B$12&lt;1465,"",$B$13+(1465-1)*($B$14-$B$13)/($B$12-1))</x:f>
      </x:c>
      <x:c r="C1484" s="14">
        <x:f>IF(B1484="","",$F$8*COS(B1484) + $B$7*COS($F$6*B1484))</x:f>
      </x:c>
      <x:c r="D1484" s="14">
        <x:f>IF(B1484="","",$F$8*SIN(B1484) - $B$7*SIN($F$6*B1484))</x:f>
      </x:c>
      <x:c r="E1484" s="14">
        <x:f>IF(B1484="","", C1484 + $F$12*$F$9*(-H1484)/IF(SQRT(G1484^2+H1484^2)=0,1,SQRT(G1484^2+H1484^2)))</x:f>
      </x:c>
      <x:c r="F1484" s="14">
        <x:f>IF(B1484="","", D1484 + $F$12*$F$9*(G1484)/IF(SQRT(G1484^2+H1484^2)=0,1,SQRT(G1484^2+H1484^2)))</x:f>
      </x:c>
      <x:c r="G1484" s="14">
        <x:f>IF(B1484="","", -$F$8*SIN(B1484) - $B$7*$F$6*SIN($F$6*B1484))</x:f>
      </x:c>
      <x:c r="H1484" s="14">
        <x:f>IF(B1484="","", $F$8*COS(B1484) - $B$7*$F$6*COS($F$6*B1484))</x:f>
      </x:c>
    </x:row>
    <x:row r="1485">
      <x:c r="A1485" s="13" t="n">
        <x:v>1466</x:v>
      </x:c>
      <x:c r="B1485" s="14">
        <x:f>IF($B$12&lt;1466,"",$B$13+(1466-1)*($B$14-$B$13)/($B$12-1))</x:f>
      </x:c>
      <x:c r="C1485" s="14">
        <x:f>IF(B1485="","",$F$8*COS(B1485) + $B$7*COS($F$6*B1485))</x:f>
      </x:c>
      <x:c r="D1485" s="14">
        <x:f>IF(B1485="","",$F$8*SIN(B1485) - $B$7*SIN($F$6*B1485))</x:f>
      </x:c>
      <x:c r="E1485" s="14">
        <x:f>IF(B1485="","", C1485 + $F$12*$F$9*(-H1485)/IF(SQRT(G1485^2+H1485^2)=0,1,SQRT(G1485^2+H1485^2)))</x:f>
      </x:c>
      <x:c r="F1485" s="14">
        <x:f>IF(B1485="","", D1485 + $F$12*$F$9*(G1485)/IF(SQRT(G1485^2+H1485^2)=0,1,SQRT(G1485^2+H1485^2)))</x:f>
      </x:c>
      <x:c r="G1485" s="14">
        <x:f>IF(B1485="","", -$F$8*SIN(B1485) - $B$7*$F$6*SIN($F$6*B1485))</x:f>
      </x:c>
      <x:c r="H1485" s="14">
        <x:f>IF(B1485="","", $F$8*COS(B1485) - $B$7*$F$6*COS($F$6*B1485))</x:f>
      </x:c>
    </x:row>
    <x:row r="1486">
      <x:c r="A1486" s="13" t="n">
        <x:v>1467</x:v>
      </x:c>
      <x:c r="B1486" s="14">
        <x:f>IF($B$12&lt;1467,"",$B$13+(1467-1)*($B$14-$B$13)/($B$12-1))</x:f>
      </x:c>
      <x:c r="C1486" s="14">
        <x:f>IF(B1486="","",$F$8*COS(B1486) + $B$7*COS($F$6*B1486))</x:f>
      </x:c>
      <x:c r="D1486" s="14">
        <x:f>IF(B1486="","",$F$8*SIN(B1486) - $B$7*SIN($F$6*B1486))</x:f>
      </x:c>
      <x:c r="E1486" s="14">
        <x:f>IF(B1486="","", C1486 + $F$12*$F$9*(-H1486)/IF(SQRT(G1486^2+H1486^2)=0,1,SQRT(G1486^2+H1486^2)))</x:f>
      </x:c>
      <x:c r="F1486" s="14">
        <x:f>IF(B1486="","", D1486 + $F$12*$F$9*(G1486)/IF(SQRT(G1486^2+H1486^2)=0,1,SQRT(G1486^2+H1486^2)))</x:f>
      </x:c>
      <x:c r="G1486" s="14">
        <x:f>IF(B1486="","", -$F$8*SIN(B1486) - $B$7*$F$6*SIN($F$6*B1486))</x:f>
      </x:c>
      <x:c r="H1486" s="14">
        <x:f>IF(B1486="","", $F$8*COS(B1486) - $B$7*$F$6*COS($F$6*B1486))</x:f>
      </x:c>
    </x:row>
    <x:row r="1487">
      <x:c r="A1487" s="13" t="n">
        <x:v>1468</x:v>
      </x:c>
      <x:c r="B1487" s="14">
        <x:f>IF($B$12&lt;1468,"",$B$13+(1468-1)*($B$14-$B$13)/($B$12-1))</x:f>
      </x:c>
      <x:c r="C1487" s="14">
        <x:f>IF(B1487="","",$F$8*COS(B1487) + $B$7*COS($F$6*B1487))</x:f>
      </x:c>
      <x:c r="D1487" s="14">
        <x:f>IF(B1487="","",$F$8*SIN(B1487) - $B$7*SIN($F$6*B1487))</x:f>
      </x:c>
      <x:c r="E1487" s="14">
        <x:f>IF(B1487="","", C1487 + $F$12*$F$9*(-H1487)/IF(SQRT(G1487^2+H1487^2)=0,1,SQRT(G1487^2+H1487^2)))</x:f>
      </x:c>
      <x:c r="F1487" s="14">
        <x:f>IF(B1487="","", D1487 + $F$12*$F$9*(G1487)/IF(SQRT(G1487^2+H1487^2)=0,1,SQRT(G1487^2+H1487^2)))</x:f>
      </x:c>
      <x:c r="G1487" s="14">
        <x:f>IF(B1487="","", -$F$8*SIN(B1487) - $B$7*$F$6*SIN($F$6*B1487))</x:f>
      </x:c>
      <x:c r="H1487" s="14">
        <x:f>IF(B1487="","", $F$8*COS(B1487) - $B$7*$F$6*COS($F$6*B1487))</x:f>
      </x:c>
    </x:row>
    <x:row r="1488">
      <x:c r="A1488" s="13" t="n">
        <x:v>1469</x:v>
      </x:c>
      <x:c r="B1488" s="14">
        <x:f>IF($B$12&lt;1469,"",$B$13+(1469-1)*($B$14-$B$13)/($B$12-1))</x:f>
      </x:c>
      <x:c r="C1488" s="14">
        <x:f>IF(B1488="","",$F$8*COS(B1488) + $B$7*COS($F$6*B1488))</x:f>
      </x:c>
      <x:c r="D1488" s="14">
        <x:f>IF(B1488="","",$F$8*SIN(B1488) - $B$7*SIN($F$6*B1488))</x:f>
      </x:c>
      <x:c r="E1488" s="14">
        <x:f>IF(B1488="","", C1488 + $F$12*$F$9*(-H1488)/IF(SQRT(G1488^2+H1488^2)=0,1,SQRT(G1488^2+H1488^2)))</x:f>
      </x:c>
      <x:c r="F1488" s="14">
        <x:f>IF(B1488="","", D1488 + $F$12*$F$9*(G1488)/IF(SQRT(G1488^2+H1488^2)=0,1,SQRT(G1488^2+H1488^2)))</x:f>
      </x:c>
      <x:c r="G1488" s="14">
        <x:f>IF(B1488="","", -$F$8*SIN(B1488) - $B$7*$F$6*SIN($F$6*B1488))</x:f>
      </x:c>
      <x:c r="H1488" s="14">
        <x:f>IF(B1488="","", $F$8*COS(B1488) - $B$7*$F$6*COS($F$6*B1488))</x:f>
      </x:c>
    </x:row>
    <x:row r="1489">
      <x:c r="A1489" s="13" t="n">
        <x:v>1470</x:v>
      </x:c>
      <x:c r="B1489" s="14">
        <x:f>IF($B$12&lt;1470,"",$B$13+(1470-1)*($B$14-$B$13)/($B$12-1))</x:f>
      </x:c>
      <x:c r="C1489" s="14">
        <x:f>IF(B1489="","",$F$8*COS(B1489) + $B$7*COS($F$6*B1489))</x:f>
      </x:c>
      <x:c r="D1489" s="14">
        <x:f>IF(B1489="","",$F$8*SIN(B1489) - $B$7*SIN($F$6*B1489))</x:f>
      </x:c>
      <x:c r="E1489" s="14">
        <x:f>IF(B1489="","", C1489 + $F$12*$F$9*(-H1489)/IF(SQRT(G1489^2+H1489^2)=0,1,SQRT(G1489^2+H1489^2)))</x:f>
      </x:c>
      <x:c r="F1489" s="14">
        <x:f>IF(B1489="","", D1489 + $F$12*$F$9*(G1489)/IF(SQRT(G1489^2+H1489^2)=0,1,SQRT(G1489^2+H1489^2)))</x:f>
      </x:c>
      <x:c r="G1489" s="14">
        <x:f>IF(B1489="","", -$F$8*SIN(B1489) - $B$7*$F$6*SIN($F$6*B1489))</x:f>
      </x:c>
      <x:c r="H1489" s="14">
        <x:f>IF(B1489="","", $F$8*COS(B1489) - $B$7*$F$6*COS($F$6*B1489))</x:f>
      </x:c>
    </x:row>
    <x:row r="1490">
      <x:c r="A1490" s="13" t="n">
        <x:v>1471</x:v>
      </x:c>
      <x:c r="B1490" s="14">
        <x:f>IF($B$12&lt;1471,"",$B$13+(1471-1)*($B$14-$B$13)/($B$12-1))</x:f>
      </x:c>
      <x:c r="C1490" s="14">
        <x:f>IF(B1490="","",$F$8*COS(B1490) + $B$7*COS($F$6*B1490))</x:f>
      </x:c>
      <x:c r="D1490" s="14">
        <x:f>IF(B1490="","",$F$8*SIN(B1490) - $B$7*SIN($F$6*B1490))</x:f>
      </x:c>
      <x:c r="E1490" s="14">
        <x:f>IF(B1490="","", C1490 + $F$12*$F$9*(-H1490)/IF(SQRT(G1490^2+H1490^2)=0,1,SQRT(G1490^2+H1490^2)))</x:f>
      </x:c>
      <x:c r="F1490" s="14">
        <x:f>IF(B1490="","", D1490 + $F$12*$F$9*(G1490)/IF(SQRT(G1490^2+H1490^2)=0,1,SQRT(G1490^2+H1490^2)))</x:f>
      </x:c>
      <x:c r="G1490" s="14">
        <x:f>IF(B1490="","", -$F$8*SIN(B1490) - $B$7*$F$6*SIN($F$6*B1490))</x:f>
      </x:c>
      <x:c r="H1490" s="14">
        <x:f>IF(B1490="","", $F$8*COS(B1490) - $B$7*$F$6*COS($F$6*B1490))</x:f>
      </x:c>
    </x:row>
    <x:row r="1491">
      <x:c r="A1491" s="13" t="n">
        <x:v>1472</x:v>
      </x:c>
      <x:c r="B1491" s="14">
        <x:f>IF($B$12&lt;1472,"",$B$13+(1472-1)*($B$14-$B$13)/($B$12-1))</x:f>
      </x:c>
      <x:c r="C1491" s="14">
        <x:f>IF(B1491="","",$F$8*COS(B1491) + $B$7*COS($F$6*B1491))</x:f>
      </x:c>
      <x:c r="D1491" s="14">
        <x:f>IF(B1491="","",$F$8*SIN(B1491) - $B$7*SIN($F$6*B1491))</x:f>
      </x:c>
      <x:c r="E1491" s="14">
        <x:f>IF(B1491="","", C1491 + $F$12*$F$9*(-H1491)/IF(SQRT(G1491^2+H1491^2)=0,1,SQRT(G1491^2+H1491^2)))</x:f>
      </x:c>
      <x:c r="F1491" s="14">
        <x:f>IF(B1491="","", D1491 + $F$12*$F$9*(G1491)/IF(SQRT(G1491^2+H1491^2)=0,1,SQRT(G1491^2+H1491^2)))</x:f>
      </x:c>
      <x:c r="G1491" s="14">
        <x:f>IF(B1491="","", -$F$8*SIN(B1491) - $B$7*$F$6*SIN($F$6*B1491))</x:f>
      </x:c>
      <x:c r="H1491" s="14">
        <x:f>IF(B1491="","", $F$8*COS(B1491) - $B$7*$F$6*COS($F$6*B1491))</x:f>
      </x:c>
    </x:row>
    <x:row r="1492">
      <x:c r="A1492" s="13" t="n">
        <x:v>1473</x:v>
      </x:c>
      <x:c r="B1492" s="14">
        <x:f>IF($B$12&lt;1473,"",$B$13+(1473-1)*($B$14-$B$13)/($B$12-1))</x:f>
      </x:c>
      <x:c r="C1492" s="14">
        <x:f>IF(B1492="","",$F$8*COS(B1492) + $B$7*COS($F$6*B1492))</x:f>
      </x:c>
      <x:c r="D1492" s="14">
        <x:f>IF(B1492="","",$F$8*SIN(B1492) - $B$7*SIN($F$6*B1492))</x:f>
      </x:c>
      <x:c r="E1492" s="14">
        <x:f>IF(B1492="","", C1492 + $F$12*$F$9*(-H1492)/IF(SQRT(G1492^2+H1492^2)=0,1,SQRT(G1492^2+H1492^2)))</x:f>
      </x:c>
      <x:c r="F1492" s="14">
        <x:f>IF(B1492="","", D1492 + $F$12*$F$9*(G1492)/IF(SQRT(G1492^2+H1492^2)=0,1,SQRT(G1492^2+H1492^2)))</x:f>
      </x:c>
      <x:c r="G1492" s="14">
        <x:f>IF(B1492="","", -$F$8*SIN(B1492) - $B$7*$F$6*SIN($F$6*B1492))</x:f>
      </x:c>
      <x:c r="H1492" s="14">
        <x:f>IF(B1492="","", $F$8*COS(B1492) - $B$7*$F$6*COS($F$6*B1492))</x:f>
      </x:c>
    </x:row>
    <x:row r="1493">
      <x:c r="A1493" s="13" t="n">
        <x:v>1474</x:v>
      </x:c>
      <x:c r="B1493" s="14">
        <x:f>IF($B$12&lt;1474,"",$B$13+(1474-1)*($B$14-$B$13)/($B$12-1))</x:f>
      </x:c>
      <x:c r="C1493" s="14">
        <x:f>IF(B1493="","",$F$8*COS(B1493) + $B$7*COS($F$6*B1493))</x:f>
      </x:c>
      <x:c r="D1493" s="14">
        <x:f>IF(B1493="","",$F$8*SIN(B1493) - $B$7*SIN($F$6*B1493))</x:f>
      </x:c>
      <x:c r="E1493" s="14">
        <x:f>IF(B1493="","", C1493 + $F$12*$F$9*(-H1493)/IF(SQRT(G1493^2+H1493^2)=0,1,SQRT(G1493^2+H1493^2)))</x:f>
      </x:c>
      <x:c r="F1493" s="14">
        <x:f>IF(B1493="","", D1493 + $F$12*$F$9*(G1493)/IF(SQRT(G1493^2+H1493^2)=0,1,SQRT(G1493^2+H1493^2)))</x:f>
      </x:c>
      <x:c r="G1493" s="14">
        <x:f>IF(B1493="","", -$F$8*SIN(B1493) - $B$7*$F$6*SIN($F$6*B1493))</x:f>
      </x:c>
      <x:c r="H1493" s="14">
        <x:f>IF(B1493="","", $F$8*COS(B1493) - $B$7*$F$6*COS($F$6*B1493))</x:f>
      </x:c>
    </x:row>
    <x:row r="1494">
      <x:c r="A1494" s="13" t="n">
        <x:v>1475</x:v>
      </x:c>
      <x:c r="B1494" s="14">
        <x:f>IF($B$12&lt;1475,"",$B$13+(1475-1)*($B$14-$B$13)/($B$12-1))</x:f>
      </x:c>
      <x:c r="C1494" s="14">
        <x:f>IF(B1494="","",$F$8*COS(B1494) + $B$7*COS($F$6*B1494))</x:f>
      </x:c>
      <x:c r="D1494" s="14">
        <x:f>IF(B1494="","",$F$8*SIN(B1494) - $B$7*SIN($F$6*B1494))</x:f>
      </x:c>
      <x:c r="E1494" s="14">
        <x:f>IF(B1494="","", C1494 + $F$12*$F$9*(-H1494)/IF(SQRT(G1494^2+H1494^2)=0,1,SQRT(G1494^2+H1494^2)))</x:f>
      </x:c>
      <x:c r="F1494" s="14">
        <x:f>IF(B1494="","", D1494 + $F$12*$F$9*(G1494)/IF(SQRT(G1494^2+H1494^2)=0,1,SQRT(G1494^2+H1494^2)))</x:f>
      </x:c>
      <x:c r="G1494" s="14">
        <x:f>IF(B1494="","", -$F$8*SIN(B1494) - $B$7*$F$6*SIN($F$6*B1494))</x:f>
      </x:c>
      <x:c r="H1494" s="14">
        <x:f>IF(B1494="","", $F$8*COS(B1494) - $B$7*$F$6*COS($F$6*B1494))</x:f>
      </x:c>
    </x:row>
    <x:row r="1495">
      <x:c r="A1495" s="13" t="n">
        <x:v>1476</x:v>
      </x:c>
      <x:c r="B1495" s="14">
        <x:f>IF($B$12&lt;1476,"",$B$13+(1476-1)*($B$14-$B$13)/($B$12-1))</x:f>
      </x:c>
      <x:c r="C1495" s="14">
        <x:f>IF(B1495="","",$F$8*COS(B1495) + $B$7*COS($F$6*B1495))</x:f>
      </x:c>
      <x:c r="D1495" s="14">
        <x:f>IF(B1495="","",$F$8*SIN(B1495) - $B$7*SIN($F$6*B1495))</x:f>
      </x:c>
      <x:c r="E1495" s="14">
        <x:f>IF(B1495="","", C1495 + $F$12*$F$9*(-H1495)/IF(SQRT(G1495^2+H1495^2)=0,1,SQRT(G1495^2+H1495^2)))</x:f>
      </x:c>
      <x:c r="F1495" s="14">
        <x:f>IF(B1495="","", D1495 + $F$12*$F$9*(G1495)/IF(SQRT(G1495^2+H1495^2)=0,1,SQRT(G1495^2+H1495^2)))</x:f>
      </x:c>
      <x:c r="G1495" s="14">
        <x:f>IF(B1495="","", -$F$8*SIN(B1495) - $B$7*$F$6*SIN($F$6*B1495))</x:f>
      </x:c>
      <x:c r="H1495" s="14">
        <x:f>IF(B1495="","", $F$8*COS(B1495) - $B$7*$F$6*COS($F$6*B1495))</x:f>
      </x:c>
    </x:row>
    <x:row r="1496">
      <x:c r="A1496" s="13" t="n">
        <x:v>1477</x:v>
      </x:c>
      <x:c r="B1496" s="14">
        <x:f>IF($B$12&lt;1477,"",$B$13+(1477-1)*($B$14-$B$13)/($B$12-1))</x:f>
      </x:c>
      <x:c r="C1496" s="14">
        <x:f>IF(B1496="","",$F$8*COS(B1496) + $B$7*COS($F$6*B1496))</x:f>
      </x:c>
      <x:c r="D1496" s="14">
        <x:f>IF(B1496="","",$F$8*SIN(B1496) - $B$7*SIN($F$6*B1496))</x:f>
      </x:c>
      <x:c r="E1496" s="14">
        <x:f>IF(B1496="","", C1496 + $F$12*$F$9*(-H1496)/IF(SQRT(G1496^2+H1496^2)=0,1,SQRT(G1496^2+H1496^2)))</x:f>
      </x:c>
      <x:c r="F1496" s="14">
        <x:f>IF(B1496="","", D1496 + $F$12*$F$9*(G1496)/IF(SQRT(G1496^2+H1496^2)=0,1,SQRT(G1496^2+H1496^2)))</x:f>
      </x:c>
      <x:c r="G1496" s="14">
        <x:f>IF(B1496="","", -$F$8*SIN(B1496) - $B$7*$F$6*SIN($F$6*B1496))</x:f>
      </x:c>
      <x:c r="H1496" s="14">
        <x:f>IF(B1496="","", $F$8*COS(B1496) - $B$7*$F$6*COS($F$6*B1496))</x:f>
      </x:c>
    </x:row>
    <x:row r="1497">
      <x:c r="A1497" s="13" t="n">
        <x:v>1478</x:v>
      </x:c>
      <x:c r="B1497" s="14">
        <x:f>IF($B$12&lt;1478,"",$B$13+(1478-1)*($B$14-$B$13)/($B$12-1))</x:f>
      </x:c>
      <x:c r="C1497" s="14">
        <x:f>IF(B1497="","",$F$8*COS(B1497) + $B$7*COS($F$6*B1497))</x:f>
      </x:c>
      <x:c r="D1497" s="14">
        <x:f>IF(B1497="","",$F$8*SIN(B1497) - $B$7*SIN($F$6*B1497))</x:f>
      </x:c>
      <x:c r="E1497" s="14">
        <x:f>IF(B1497="","", C1497 + $F$12*$F$9*(-H1497)/IF(SQRT(G1497^2+H1497^2)=0,1,SQRT(G1497^2+H1497^2)))</x:f>
      </x:c>
      <x:c r="F1497" s="14">
        <x:f>IF(B1497="","", D1497 + $F$12*$F$9*(G1497)/IF(SQRT(G1497^2+H1497^2)=0,1,SQRT(G1497^2+H1497^2)))</x:f>
      </x:c>
      <x:c r="G1497" s="14">
        <x:f>IF(B1497="","", -$F$8*SIN(B1497) - $B$7*$F$6*SIN($F$6*B1497))</x:f>
      </x:c>
      <x:c r="H1497" s="14">
        <x:f>IF(B1497="","", $F$8*COS(B1497) - $B$7*$F$6*COS($F$6*B1497))</x:f>
      </x:c>
    </x:row>
    <x:row r="1498">
      <x:c r="A1498" s="13" t="n">
        <x:v>1479</x:v>
      </x:c>
      <x:c r="B1498" s="14">
        <x:f>IF($B$12&lt;1479,"",$B$13+(1479-1)*($B$14-$B$13)/($B$12-1))</x:f>
      </x:c>
      <x:c r="C1498" s="14">
        <x:f>IF(B1498="","",$F$8*COS(B1498) + $B$7*COS($F$6*B1498))</x:f>
      </x:c>
      <x:c r="D1498" s="14">
        <x:f>IF(B1498="","",$F$8*SIN(B1498) - $B$7*SIN($F$6*B1498))</x:f>
      </x:c>
      <x:c r="E1498" s="14">
        <x:f>IF(B1498="","", C1498 + $F$12*$F$9*(-H1498)/IF(SQRT(G1498^2+H1498^2)=0,1,SQRT(G1498^2+H1498^2)))</x:f>
      </x:c>
      <x:c r="F1498" s="14">
        <x:f>IF(B1498="","", D1498 + $F$12*$F$9*(G1498)/IF(SQRT(G1498^2+H1498^2)=0,1,SQRT(G1498^2+H1498^2)))</x:f>
      </x:c>
      <x:c r="G1498" s="14">
        <x:f>IF(B1498="","", -$F$8*SIN(B1498) - $B$7*$F$6*SIN($F$6*B1498))</x:f>
      </x:c>
      <x:c r="H1498" s="14">
        <x:f>IF(B1498="","", $F$8*COS(B1498) - $B$7*$F$6*COS($F$6*B1498))</x:f>
      </x:c>
    </x:row>
    <x:row r="1499">
      <x:c r="A1499" s="13" t="n">
        <x:v>1480</x:v>
      </x:c>
      <x:c r="B1499" s="14">
        <x:f>IF($B$12&lt;1480,"",$B$13+(1480-1)*($B$14-$B$13)/($B$12-1))</x:f>
      </x:c>
      <x:c r="C1499" s="14">
        <x:f>IF(B1499="","",$F$8*COS(B1499) + $B$7*COS($F$6*B1499))</x:f>
      </x:c>
      <x:c r="D1499" s="14">
        <x:f>IF(B1499="","",$F$8*SIN(B1499) - $B$7*SIN($F$6*B1499))</x:f>
      </x:c>
      <x:c r="E1499" s="14">
        <x:f>IF(B1499="","", C1499 + $F$12*$F$9*(-H1499)/IF(SQRT(G1499^2+H1499^2)=0,1,SQRT(G1499^2+H1499^2)))</x:f>
      </x:c>
      <x:c r="F1499" s="14">
        <x:f>IF(B1499="","", D1499 + $F$12*$F$9*(G1499)/IF(SQRT(G1499^2+H1499^2)=0,1,SQRT(G1499^2+H1499^2)))</x:f>
      </x:c>
      <x:c r="G1499" s="14">
        <x:f>IF(B1499="","", -$F$8*SIN(B1499) - $B$7*$F$6*SIN($F$6*B1499))</x:f>
      </x:c>
      <x:c r="H1499" s="14">
        <x:f>IF(B1499="","", $F$8*COS(B1499) - $B$7*$F$6*COS($F$6*B1499))</x:f>
      </x:c>
    </x:row>
    <x:row r="1500">
      <x:c r="A1500" s="13" t="n">
        <x:v>1481</x:v>
      </x:c>
      <x:c r="B1500" s="14">
        <x:f>IF($B$12&lt;1481,"",$B$13+(1481-1)*($B$14-$B$13)/($B$12-1))</x:f>
      </x:c>
      <x:c r="C1500" s="14">
        <x:f>IF(B1500="","",$F$8*COS(B1500) + $B$7*COS($F$6*B1500))</x:f>
      </x:c>
      <x:c r="D1500" s="14">
        <x:f>IF(B1500="","",$F$8*SIN(B1500) - $B$7*SIN($F$6*B1500))</x:f>
      </x:c>
      <x:c r="E1500" s="14">
        <x:f>IF(B1500="","", C1500 + $F$12*$F$9*(-H1500)/IF(SQRT(G1500^2+H1500^2)=0,1,SQRT(G1500^2+H1500^2)))</x:f>
      </x:c>
      <x:c r="F1500" s="14">
        <x:f>IF(B1500="","", D1500 + $F$12*$F$9*(G1500)/IF(SQRT(G1500^2+H1500^2)=0,1,SQRT(G1500^2+H1500^2)))</x:f>
      </x:c>
      <x:c r="G1500" s="14">
        <x:f>IF(B1500="","", -$F$8*SIN(B1500) - $B$7*$F$6*SIN($F$6*B1500))</x:f>
      </x:c>
      <x:c r="H1500" s="14">
        <x:f>IF(B1500="","", $F$8*COS(B1500) - $B$7*$F$6*COS($F$6*B1500))</x:f>
      </x:c>
    </x:row>
    <x:row r="1501">
      <x:c r="A1501" s="13" t="n">
        <x:v>1482</x:v>
      </x:c>
      <x:c r="B1501" s="14">
        <x:f>IF($B$12&lt;1482,"",$B$13+(1482-1)*($B$14-$B$13)/($B$12-1))</x:f>
      </x:c>
      <x:c r="C1501" s="14">
        <x:f>IF(B1501="","",$F$8*COS(B1501) + $B$7*COS($F$6*B1501))</x:f>
      </x:c>
      <x:c r="D1501" s="14">
        <x:f>IF(B1501="","",$F$8*SIN(B1501) - $B$7*SIN($F$6*B1501))</x:f>
      </x:c>
      <x:c r="E1501" s="14">
        <x:f>IF(B1501="","", C1501 + $F$12*$F$9*(-H1501)/IF(SQRT(G1501^2+H1501^2)=0,1,SQRT(G1501^2+H1501^2)))</x:f>
      </x:c>
      <x:c r="F1501" s="14">
        <x:f>IF(B1501="","", D1501 + $F$12*$F$9*(G1501)/IF(SQRT(G1501^2+H1501^2)=0,1,SQRT(G1501^2+H1501^2)))</x:f>
      </x:c>
      <x:c r="G1501" s="14">
        <x:f>IF(B1501="","", -$F$8*SIN(B1501) - $B$7*$F$6*SIN($F$6*B1501))</x:f>
      </x:c>
      <x:c r="H1501" s="14">
        <x:f>IF(B1501="","", $F$8*COS(B1501) - $B$7*$F$6*COS($F$6*B1501))</x:f>
      </x:c>
    </x:row>
    <x:row r="1502">
      <x:c r="A1502" s="13" t="n">
        <x:v>1483</x:v>
      </x:c>
      <x:c r="B1502" s="14">
        <x:f>IF($B$12&lt;1483,"",$B$13+(1483-1)*($B$14-$B$13)/($B$12-1))</x:f>
      </x:c>
      <x:c r="C1502" s="14">
        <x:f>IF(B1502="","",$F$8*COS(B1502) + $B$7*COS($F$6*B1502))</x:f>
      </x:c>
      <x:c r="D1502" s="14">
        <x:f>IF(B1502="","",$F$8*SIN(B1502) - $B$7*SIN($F$6*B1502))</x:f>
      </x:c>
      <x:c r="E1502" s="14">
        <x:f>IF(B1502="","", C1502 + $F$12*$F$9*(-H1502)/IF(SQRT(G1502^2+H1502^2)=0,1,SQRT(G1502^2+H1502^2)))</x:f>
      </x:c>
      <x:c r="F1502" s="14">
        <x:f>IF(B1502="","", D1502 + $F$12*$F$9*(G1502)/IF(SQRT(G1502^2+H1502^2)=0,1,SQRT(G1502^2+H1502^2)))</x:f>
      </x:c>
      <x:c r="G1502" s="14">
        <x:f>IF(B1502="","", -$F$8*SIN(B1502) - $B$7*$F$6*SIN($F$6*B1502))</x:f>
      </x:c>
      <x:c r="H1502" s="14">
        <x:f>IF(B1502="","", $F$8*COS(B1502) - $B$7*$F$6*COS($F$6*B1502))</x:f>
      </x:c>
    </x:row>
    <x:row r="1503">
      <x:c r="A1503" s="13" t="n">
        <x:v>1484</x:v>
      </x:c>
      <x:c r="B1503" s="14">
        <x:f>IF($B$12&lt;1484,"",$B$13+(1484-1)*($B$14-$B$13)/($B$12-1))</x:f>
      </x:c>
      <x:c r="C1503" s="14">
        <x:f>IF(B1503="","",$F$8*COS(B1503) + $B$7*COS($F$6*B1503))</x:f>
      </x:c>
      <x:c r="D1503" s="14">
        <x:f>IF(B1503="","",$F$8*SIN(B1503) - $B$7*SIN($F$6*B1503))</x:f>
      </x:c>
      <x:c r="E1503" s="14">
        <x:f>IF(B1503="","", C1503 + $F$12*$F$9*(-H1503)/IF(SQRT(G1503^2+H1503^2)=0,1,SQRT(G1503^2+H1503^2)))</x:f>
      </x:c>
      <x:c r="F1503" s="14">
        <x:f>IF(B1503="","", D1503 + $F$12*$F$9*(G1503)/IF(SQRT(G1503^2+H1503^2)=0,1,SQRT(G1503^2+H1503^2)))</x:f>
      </x:c>
      <x:c r="G1503" s="14">
        <x:f>IF(B1503="","", -$F$8*SIN(B1503) - $B$7*$F$6*SIN($F$6*B1503))</x:f>
      </x:c>
      <x:c r="H1503" s="14">
        <x:f>IF(B1503="","", $F$8*COS(B1503) - $B$7*$F$6*COS($F$6*B1503))</x:f>
      </x:c>
    </x:row>
    <x:row r="1504">
      <x:c r="A1504" s="13" t="n">
        <x:v>1485</x:v>
      </x:c>
      <x:c r="B1504" s="14">
        <x:f>IF($B$12&lt;1485,"",$B$13+(1485-1)*($B$14-$B$13)/($B$12-1))</x:f>
      </x:c>
      <x:c r="C1504" s="14">
        <x:f>IF(B1504="","",$F$8*COS(B1504) + $B$7*COS($F$6*B1504))</x:f>
      </x:c>
      <x:c r="D1504" s="14">
        <x:f>IF(B1504="","",$F$8*SIN(B1504) - $B$7*SIN($F$6*B1504))</x:f>
      </x:c>
      <x:c r="E1504" s="14">
        <x:f>IF(B1504="","", C1504 + $F$12*$F$9*(-H1504)/IF(SQRT(G1504^2+H1504^2)=0,1,SQRT(G1504^2+H1504^2)))</x:f>
      </x:c>
      <x:c r="F1504" s="14">
        <x:f>IF(B1504="","", D1504 + $F$12*$F$9*(G1504)/IF(SQRT(G1504^2+H1504^2)=0,1,SQRT(G1504^2+H1504^2)))</x:f>
      </x:c>
      <x:c r="G1504" s="14">
        <x:f>IF(B1504="","", -$F$8*SIN(B1504) - $B$7*$F$6*SIN($F$6*B1504))</x:f>
      </x:c>
      <x:c r="H1504" s="14">
        <x:f>IF(B1504="","", $F$8*COS(B1504) - $B$7*$F$6*COS($F$6*B1504))</x:f>
      </x:c>
    </x:row>
    <x:row r="1505">
      <x:c r="A1505" s="13" t="n">
        <x:v>1486</x:v>
      </x:c>
      <x:c r="B1505" s="14">
        <x:f>IF($B$12&lt;1486,"",$B$13+(1486-1)*($B$14-$B$13)/($B$12-1))</x:f>
      </x:c>
      <x:c r="C1505" s="14">
        <x:f>IF(B1505="","",$F$8*COS(B1505) + $B$7*COS($F$6*B1505))</x:f>
      </x:c>
      <x:c r="D1505" s="14">
        <x:f>IF(B1505="","",$F$8*SIN(B1505) - $B$7*SIN($F$6*B1505))</x:f>
      </x:c>
      <x:c r="E1505" s="14">
        <x:f>IF(B1505="","", C1505 + $F$12*$F$9*(-H1505)/IF(SQRT(G1505^2+H1505^2)=0,1,SQRT(G1505^2+H1505^2)))</x:f>
      </x:c>
      <x:c r="F1505" s="14">
        <x:f>IF(B1505="","", D1505 + $F$12*$F$9*(G1505)/IF(SQRT(G1505^2+H1505^2)=0,1,SQRT(G1505^2+H1505^2)))</x:f>
      </x:c>
      <x:c r="G1505" s="14">
        <x:f>IF(B1505="","", -$F$8*SIN(B1505) - $B$7*$F$6*SIN($F$6*B1505))</x:f>
      </x:c>
      <x:c r="H1505" s="14">
        <x:f>IF(B1505="","", $F$8*COS(B1505) - $B$7*$F$6*COS($F$6*B1505))</x:f>
      </x:c>
    </x:row>
    <x:row r="1506">
      <x:c r="A1506" s="13" t="n">
        <x:v>1487</x:v>
      </x:c>
      <x:c r="B1506" s="14">
        <x:f>IF($B$12&lt;1487,"",$B$13+(1487-1)*($B$14-$B$13)/($B$12-1))</x:f>
      </x:c>
      <x:c r="C1506" s="14">
        <x:f>IF(B1506="","",$F$8*COS(B1506) + $B$7*COS($F$6*B1506))</x:f>
      </x:c>
      <x:c r="D1506" s="14">
        <x:f>IF(B1506="","",$F$8*SIN(B1506) - $B$7*SIN($F$6*B1506))</x:f>
      </x:c>
      <x:c r="E1506" s="14">
        <x:f>IF(B1506="","", C1506 + $F$12*$F$9*(-H1506)/IF(SQRT(G1506^2+H1506^2)=0,1,SQRT(G1506^2+H1506^2)))</x:f>
      </x:c>
      <x:c r="F1506" s="14">
        <x:f>IF(B1506="","", D1506 + $F$12*$F$9*(G1506)/IF(SQRT(G1506^2+H1506^2)=0,1,SQRT(G1506^2+H1506^2)))</x:f>
      </x:c>
      <x:c r="G1506" s="14">
        <x:f>IF(B1506="","", -$F$8*SIN(B1506) - $B$7*$F$6*SIN($F$6*B1506))</x:f>
      </x:c>
      <x:c r="H1506" s="14">
        <x:f>IF(B1506="","", $F$8*COS(B1506) - $B$7*$F$6*COS($F$6*B1506))</x:f>
      </x:c>
    </x:row>
    <x:row r="1507">
      <x:c r="A1507" s="13" t="n">
        <x:v>1488</x:v>
      </x:c>
      <x:c r="B1507" s="14">
        <x:f>IF($B$12&lt;1488,"",$B$13+(1488-1)*($B$14-$B$13)/($B$12-1))</x:f>
      </x:c>
      <x:c r="C1507" s="14">
        <x:f>IF(B1507="","",$F$8*COS(B1507) + $B$7*COS($F$6*B1507))</x:f>
      </x:c>
      <x:c r="D1507" s="14">
        <x:f>IF(B1507="","",$F$8*SIN(B1507) - $B$7*SIN($F$6*B1507))</x:f>
      </x:c>
      <x:c r="E1507" s="14">
        <x:f>IF(B1507="","", C1507 + $F$12*$F$9*(-H1507)/IF(SQRT(G1507^2+H1507^2)=0,1,SQRT(G1507^2+H1507^2)))</x:f>
      </x:c>
      <x:c r="F1507" s="14">
        <x:f>IF(B1507="","", D1507 + $F$12*$F$9*(G1507)/IF(SQRT(G1507^2+H1507^2)=0,1,SQRT(G1507^2+H1507^2)))</x:f>
      </x:c>
      <x:c r="G1507" s="14">
        <x:f>IF(B1507="","", -$F$8*SIN(B1507) - $B$7*$F$6*SIN($F$6*B1507))</x:f>
      </x:c>
      <x:c r="H1507" s="14">
        <x:f>IF(B1507="","", $F$8*COS(B1507) - $B$7*$F$6*COS($F$6*B1507))</x:f>
      </x:c>
    </x:row>
    <x:row r="1508">
      <x:c r="A1508" s="13" t="n">
        <x:v>1489</x:v>
      </x:c>
      <x:c r="B1508" s="14">
        <x:f>IF($B$12&lt;1489,"",$B$13+(1489-1)*($B$14-$B$13)/($B$12-1))</x:f>
      </x:c>
      <x:c r="C1508" s="14">
        <x:f>IF(B1508="","",$F$8*COS(B1508) + $B$7*COS($F$6*B1508))</x:f>
      </x:c>
      <x:c r="D1508" s="14">
        <x:f>IF(B1508="","",$F$8*SIN(B1508) - $B$7*SIN($F$6*B1508))</x:f>
      </x:c>
      <x:c r="E1508" s="14">
        <x:f>IF(B1508="","", C1508 + $F$12*$F$9*(-H1508)/IF(SQRT(G1508^2+H1508^2)=0,1,SQRT(G1508^2+H1508^2)))</x:f>
      </x:c>
      <x:c r="F1508" s="14">
        <x:f>IF(B1508="","", D1508 + $F$12*$F$9*(G1508)/IF(SQRT(G1508^2+H1508^2)=0,1,SQRT(G1508^2+H1508^2)))</x:f>
      </x:c>
      <x:c r="G1508" s="14">
        <x:f>IF(B1508="","", -$F$8*SIN(B1508) - $B$7*$F$6*SIN($F$6*B1508))</x:f>
      </x:c>
      <x:c r="H1508" s="14">
        <x:f>IF(B1508="","", $F$8*COS(B1508) - $B$7*$F$6*COS($F$6*B1508))</x:f>
      </x:c>
    </x:row>
    <x:row r="1509">
      <x:c r="A1509" s="13" t="n">
        <x:v>1490</x:v>
      </x:c>
      <x:c r="B1509" s="14">
        <x:f>IF($B$12&lt;1490,"",$B$13+(1490-1)*($B$14-$B$13)/($B$12-1))</x:f>
      </x:c>
      <x:c r="C1509" s="14">
        <x:f>IF(B1509="","",$F$8*COS(B1509) + $B$7*COS($F$6*B1509))</x:f>
      </x:c>
      <x:c r="D1509" s="14">
        <x:f>IF(B1509="","",$F$8*SIN(B1509) - $B$7*SIN($F$6*B1509))</x:f>
      </x:c>
      <x:c r="E1509" s="14">
        <x:f>IF(B1509="","", C1509 + $F$12*$F$9*(-H1509)/IF(SQRT(G1509^2+H1509^2)=0,1,SQRT(G1509^2+H1509^2)))</x:f>
      </x:c>
      <x:c r="F1509" s="14">
        <x:f>IF(B1509="","", D1509 + $F$12*$F$9*(G1509)/IF(SQRT(G1509^2+H1509^2)=0,1,SQRT(G1509^2+H1509^2)))</x:f>
      </x:c>
      <x:c r="G1509" s="14">
        <x:f>IF(B1509="","", -$F$8*SIN(B1509) - $B$7*$F$6*SIN($F$6*B1509))</x:f>
      </x:c>
      <x:c r="H1509" s="14">
        <x:f>IF(B1509="","", $F$8*COS(B1509) - $B$7*$F$6*COS($F$6*B1509))</x:f>
      </x:c>
    </x:row>
    <x:row r="1510">
      <x:c r="A1510" s="13" t="n">
        <x:v>1491</x:v>
      </x:c>
      <x:c r="B1510" s="14">
        <x:f>IF($B$12&lt;1491,"",$B$13+(1491-1)*($B$14-$B$13)/($B$12-1))</x:f>
      </x:c>
      <x:c r="C1510" s="14">
        <x:f>IF(B1510="","",$F$8*COS(B1510) + $B$7*COS($F$6*B1510))</x:f>
      </x:c>
      <x:c r="D1510" s="14">
        <x:f>IF(B1510="","",$F$8*SIN(B1510) - $B$7*SIN($F$6*B1510))</x:f>
      </x:c>
      <x:c r="E1510" s="14">
        <x:f>IF(B1510="","", C1510 + $F$12*$F$9*(-H1510)/IF(SQRT(G1510^2+H1510^2)=0,1,SQRT(G1510^2+H1510^2)))</x:f>
      </x:c>
      <x:c r="F1510" s="14">
        <x:f>IF(B1510="","", D1510 + $F$12*$F$9*(G1510)/IF(SQRT(G1510^2+H1510^2)=0,1,SQRT(G1510^2+H1510^2)))</x:f>
      </x:c>
      <x:c r="G1510" s="14">
        <x:f>IF(B1510="","", -$F$8*SIN(B1510) - $B$7*$F$6*SIN($F$6*B1510))</x:f>
      </x:c>
      <x:c r="H1510" s="14">
        <x:f>IF(B1510="","", $F$8*COS(B1510) - $B$7*$F$6*COS($F$6*B1510))</x:f>
      </x:c>
    </x:row>
    <x:row r="1511">
      <x:c r="A1511" s="13" t="n">
        <x:v>1492</x:v>
      </x:c>
      <x:c r="B1511" s="14">
        <x:f>IF($B$12&lt;1492,"",$B$13+(1492-1)*($B$14-$B$13)/($B$12-1))</x:f>
      </x:c>
      <x:c r="C1511" s="14">
        <x:f>IF(B1511="","",$F$8*COS(B1511) + $B$7*COS($F$6*B1511))</x:f>
      </x:c>
      <x:c r="D1511" s="14">
        <x:f>IF(B1511="","",$F$8*SIN(B1511) - $B$7*SIN($F$6*B1511))</x:f>
      </x:c>
      <x:c r="E1511" s="14">
        <x:f>IF(B1511="","", C1511 + $F$12*$F$9*(-H1511)/IF(SQRT(G1511^2+H1511^2)=0,1,SQRT(G1511^2+H1511^2)))</x:f>
      </x:c>
      <x:c r="F1511" s="14">
        <x:f>IF(B1511="","", D1511 + $F$12*$F$9*(G1511)/IF(SQRT(G1511^2+H1511^2)=0,1,SQRT(G1511^2+H1511^2)))</x:f>
      </x:c>
      <x:c r="G1511" s="14">
        <x:f>IF(B1511="","", -$F$8*SIN(B1511) - $B$7*$F$6*SIN($F$6*B1511))</x:f>
      </x:c>
      <x:c r="H1511" s="14">
        <x:f>IF(B1511="","", $F$8*COS(B1511) - $B$7*$F$6*COS($F$6*B1511))</x:f>
      </x:c>
    </x:row>
    <x:row r="1512">
      <x:c r="A1512" s="13" t="n">
        <x:v>1493</x:v>
      </x:c>
      <x:c r="B1512" s="14">
        <x:f>IF($B$12&lt;1493,"",$B$13+(1493-1)*($B$14-$B$13)/($B$12-1))</x:f>
      </x:c>
      <x:c r="C1512" s="14">
        <x:f>IF(B1512="","",$F$8*COS(B1512) + $B$7*COS($F$6*B1512))</x:f>
      </x:c>
      <x:c r="D1512" s="14">
        <x:f>IF(B1512="","",$F$8*SIN(B1512) - $B$7*SIN($F$6*B1512))</x:f>
      </x:c>
      <x:c r="E1512" s="14">
        <x:f>IF(B1512="","", C1512 + $F$12*$F$9*(-H1512)/IF(SQRT(G1512^2+H1512^2)=0,1,SQRT(G1512^2+H1512^2)))</x:f>
      </x:c>
      <x:c r="F1512" s="14">
        <x:f>IF(B1512="","", D1512 + $F$12*$F$9*(G1512)/IF(SQRT(G1512^2+H1512^2)=0,1,SQRT(G1512^2+H1512^2)))</x:f>
      </x:c>
      <x:c r="G1512" s="14">
        <x:f>IF(B1512="","", -$F$8*SIN(B1512) - $B$7*$F$6*SIN($F$6*B1512))</x:f>
      </x:c>
      <x:c r="H1512" s="14">
        <x:f>IF(B1512="","", $F$8*COS(B1512) - $B$7*$F$6*COS($F$6*B1512))</x:f>
      </x:c>
    </x:row>
    <x:row r="1513">
      <x:c r="A1513" s="13" t="n">
        <x:v>1494</x:v>
      </x:c>
      <x:c r="B1513" s="14">
        <x:f>IF($B$12&lt;1494,"",$B$13+(1494-1)*($B$14-$B$13)/($B$12-1))</x:f>
      </x:c>
      <x:c r="C1513" s="14">
        <x:f>IF(B1513="","",$F$8*COS(B1513) + $B$7*COS($F$6*B1513))</x:f>
      </x:c>
      <x:c r="D1513" s="14">
        <x:f>IF(B1513="","",$F$8*SIN(B1513) - $B$7*SIN($F$6*B1513))</x:f>
      </x:c>
      <x:c r="E1513" s="14">
        <x:f>IF(B1513="","", C1513 + $F$12*$F$9*(-H1513)/IF(SQRT(G1513^2+H1513^2)=0,1,SQRT(G1513^2+H1513^2)))</x:f>
      </x:c>
      <x:c r="F1513" s="14">
        <x:f>IF(B1513="","", D1513 + $F$12*$F$9*(G1513)/IF(SQRT(G1513^2+H1513^2)=0,1,SQRT(G1513^2+H1513^2)))</x:f>
      </x:c>
      <x:c r="G1513" s="14">
        <x:f>IF(B1513="","", -$F$8*SIN(B1513) - $B$7*$F$6*SIN($F$6*B1513))</x:f>
      </x:c>
      <x:c r="H1513" s="14">
        <x:f>IF(B1513="","", $F$8*COS(B1513) - $B$7*$F$6*COS($F$6*B1513))</x:f>
      </x:c>
    </x:row>
    <x:row r="1514">
      <x:c r="A1514" s="13" t="n">
        <x:v>1495</x:v>
      </x:c>
      <x:c r="B1514" s="14">
        <x:f>IF($B$12&lt;1495,"",$B$13+(1495-1)*($B$14-$B$13)/($B$12-1))</x:f>
      </x:c>
      <x:c r="C1514" s="14">
        <x:f>IF(B1514="","",$F$8*COS(B1514) + $B$7*COS($F$6*B1514))</x:f>
      </x:c>
      <x:c r="D1514" s="14">
        <x:f>IF(B1514="","",$F$8*SIN(B1514) - $B$7*SIN($F$6*B1514))</x:f>
      </x:c>
      <x:c r="E1514" s="14">
        <x:f>IF(B1514="","", C1514 + $F$12*$F$9*(-H1514)/IF(SQRT(G1514^2+H1514^2)=0,1,SQRT(G1514^2+H1514^2)))</x:f>
      </x:c>
      <x:c r="F1514" s="14">
        <x:f>IF(B1514="","", D1514 + $F$12*$F$9*(G1514)/IF(SQRT(G1514^2+H1514^2)=0,1,SQRT(G1514^2+H1514^2)))</x:f>
      </x:c>
      <x:c r="G1514" s="14">
        <x:f>IF(B1514="","", -$F$8*SIN(B1514) - $B$7*$F$6*SIN($F$6*B1514))</x:f>
      </x:c>
      <x:c r="H1514" s="14">
        <x:f>IF(B1514="","", $F$8*COS(B1514) - $B$7*$F$6*COS($F$6*B1514))</x:f>
      </x:c>
    </x:row>
    <x:row r="1515">
      <x:c r="A1515" s="13" t="n">
        <x:v>1496</x:v>
      </x:c>
      <x:c r="B1515" s="14">
        <x:f>IF($B$12&lt;1496,"",$B$13+(1496-1)*($B$14-$B$13)/($B$12-1))</x:f>
      </x:c>
      <x:c r="C1515" s="14">
        <x:f>IF(B1515="","",$F$8*COS(B1515) + $B$7*COS($F$6*B1515))</x:f>
      </x:c>
      <x:c r="D1515" s="14">
        <x:f>IF(B1515="","",$F$8*SIN(B1515) - $B$7*SIN($F$6*B1515))</x:f>
      </x:c>
      <x:c r="E1515" s="14">
        <x:f>IF(B1515="","", C1515 + $F$12*$F$9*(-H1515)/IF(SQRT(G1515^2+H1515^2)=0,1,SQRT(G1515^2+H1515^2)))</x:f>
      </x:c>
      <x:c r="F1515" s="14">
        <x:f>IF(B1515="","", D1515 + $F$12*$F$9*(G1515)/IF(SQRT(G1515^2+H1515^2)=0,1,SQRT(G1515^2+H1515^2)))</x:f>
      </x:c>
      <x:c r="G1515" s="14">
        <x:f>IF(B1515="","", -$F$8*SIN(B1515) - $B$7*$F$6*SIN($F$6*B1515))</x:f>
      </x:c>
      <x:c r="H1515" s="14">
        <x:f>IF(B1515="","", $F$8*COS(B1515) - $B$7*$F$6*COS($F$6*B1515))</x:f>
      </x:c>
    </x:row>
    <x:row r="1516">
      <x:c r="A1516" s="13" t="n">
        <x:v>1497</x:v>
      </x:c>
      <x:c r="B1516" s="14">
        <x:f>IF($B$12&lt;1497,"",$B$13+(1497-1)*($B$14-$B$13)/($B$12-1))</x:f>
      </x:c>
      <x:c r="C1516" s="14">
        <x:f>IF(B1516="","",$F$8*COS(B1516) + $B$7*COS($F$6*B1516))</x:f>
      </x:c>
      <x:c r="D1516" s="14">
        <x:f>IF(B1516="","",$F$8*SIN(B1516) - $B$7*SIN($F$6*B1516))</x:f>
      </x:c>
      <x:c r="E1516" s="14">
        <x:f>IF(B1516="","", C1516 + $F$12*$F$9*(-H1516)/IF(SQRT(G1516^2+H1516^2)=0,1,SQRT(G1516^2+H1516^2)))</x:f>
      </x:c>
      <x:c r="F1516" s="14">
        <x:f>IF(B1516="","", D1516 + $F$12*$F$9*(G1516)/IF(SQRT(G1516^2+H1516^2)=0,1,SQRT(G1516^2+H1516^2)))</x:f>
      </x:c>
      <x:c r="G1516" s="14">
        <x:f>IF(B1516="","", -$F$8*SIN(B1516) - $B$7*$F$6*SIN($F$6*B1516))</x:f>
      </x:c>
      <x:c r="H1516" s="14">
        <x:f>IF(B1516="","", $F$8*COS(B1516) - $B$7*$F$6*COS($F$6*B1516))</x:f>
      </x:c>
    </x:row>
    <x:row r="1517">
      <x:c r="A1517" s="13" t="n">
        <x:v>1498</x:v>
      </x:c>
      <x:c r="B1517" s="14">
        <x:f>IF($B$12&lt;1498,"",$B$13+(1498-1)*($B$14-$B$13)/($B$12-1))</x:f>
      </x:c>
      <x:c r="C1517" s="14">
        <x:f>IF(B1517="","",$F$8*COS(B1517) + $B$7*COS($F$6*B1517))</x:f>
      </x:c>
      <x:c r="D1517" s="14">
        <x:f>IF(B1517="","",$F$8*SIN(B1517) - $B$7*SIN($F$6*B1517))</x:f>
      </x:c>
      <x:c r="E1517" s="14">
        <x:f>IF(B1517="","", C1517 + $F$12*$F$9*(-H1517)/IF(SQRT(G1517^2+H1517^2)=0,1,SQRT(G1517^2+H1517^2)))</x:f>
      </x:c>
      <x:c r="F1517" s="14">
        <x:f>IF(B1517="","", D1517 + $F$12*$F$9*(G1517)/IF(SQRT(G1517^2+H1517^2)=0,1,SQRT(G1517^2+H1517^2)))</x:f>
      </x:c>
      <x:c r="G1517" s="14">
        <x:f>IF(B1517="","", -$F$8*SIN(B1517) - $B$7*$F$6*SIN($F$6*B1517))</x:f>
      </x:c>
      <x:c r="H1517" s="14">
        <x:f>IF(B1517="","", $F$8*COS(B1517) - $B$7*$F$6*COS($F$6*B1517))</x:f>
      </x:c>
    </x:row>
    <x:row r="1518">
      <x:c r="A1518" s="13" t="n">
        <x:v>1499</x:v>
      </x:c>
      <x:c r="B1518" s="14">
        <x:f>IF($B$12&lt;1499,"",$B$13+(1499-1)*($B$14-$B$13)/($B$12-1))</x:f>
      </x:c>
      <x:c r="C1518" s="14">
        <x:f>IF(B1518="","",$F$8*COS(B1518) + $B$7*COS($F$6*B1518))</x:f>
      </x:c>
      <x:c r="D1518" s="14">
        <x:f>IF(B1518="","",$F$8*SIN(B1518) - $B$7*SIN($F$6*B1518))</x:f>
      </x:c>
      <x:c r="E1518" s="14">
        <x:f>IF(B1518="","", C1518 + $F$12*$F$9*(-H1518)/IF(SQRT(G1518^2+H1518^2)=0,1,SQRT(G1518^2+H1518^2)))</x:f>
      </x:c>
      <x:c r="F1518" s="14">
        <x:f>IF(B1518="","", D1518 + $F$12*$F$9*(G1518)/IF(SQRT(G1518^2+H1518^2)=0,1,SQRT(G1518^2+H1518^2)))</x:f>
      </x:c>
      <x:c r="G1518" s="14">
        <x:f>IF(B1518="","", -$F$8*SIN(B1518) - $B$7*$F$6*SIN($F$6*B1518))</x:f>
      </x:c>
      <x:c r="H1518" s="14">
        <x:f>IF(B1518="","", $F$8*COS(B1518) - $B$7*$F$6*COS($F$6*B1518))</x:f>
      </x:c>
    </x:row>
    <x:row r="1519">
      <x:c r="A1519" s="13" t="n">
        <x:v>1500</x:v>
      </x:c>
      <x:c r="B1519" s="14">
        <x:f>IF($B$12&lt;1500,"",$B$13+(1500-1)*($B$14-$B$13)/($B$12-1))</x:f>
      </x:c>
      <x:c r="C1519" s="14">
        <x:f>IF(B1519="","",$F$8*COS(B1519) + $B$7*COS($F$6*B1519))</x:f>
      </x:c>
      <x:c r="D1519" s="14">
        <x:f>IF(B1519="","",$F$8*SIN(B1519) - $B$7*SIN($F$6*B1519))</x:f>
      </x:c>
      <x:c r="E1519" s="14">
        <x:f>IF(B1519="","", C1519 + $F$12*$F$9*(-H1519)/IF(SQRT(G1519^2+H1519^2)=0,1,SQRT(G1519^2+H1519^2)))</x:f>
      </x:c>
      <x:c r="F1519" s="14">
        <x:f>IF(B1519="","", D1519 + $F$12*$F$9*(G1519)/IF(SQRT(G1519^2+H1519^2)=0,1,SQRT(G1519^2+H1519^2)))</x:f>
      </x:c>
      <x:c r="G1519" s="14">
        <x:f>IF(B1519="","", -$F$8*SIN(B1519) - $B$7*$F$6*SIN($F$6*B1519))</x:f>
      </x:c>
      <x:c r="H1519" s="14">
        <x:f>IF(B1519="","", $F$8*COS(B1519) - $B$7*$F$6*COS($F$6*B1519))</x:f>
      </x:c>
    </x:row>
    <x:row r="1520">
      <x:c r="A1520" s="13" t="n">
        <x:v>1501</x:v>
      </x:c>
      <x:c r="B1520" s="14">
        <x:f>IF($B$12&lt;1501,"",$B$13+(1501-1)*($B$14-$B$13)/($B$12-1))</x:f>
      </x:c>
      <x:c r="C1520" s="14">
        <x:f>IF(B1520="","",$F$8*COS(B1520) + $B$7*COS($F$6*B1520))</x:f>
      </x:c>
      <x:c r="D1520" s="14">
        <x:f>IF(B1520="","",$F$8*SIN(B1520) - $B$7*SIN($F$6*B1520))</x:f>
      </x:c>
      <x:c r="E1520" s="14">
        <x:f>IF(B1520="","", C1520 + $F$12*$F$9*(-H1520)/IF(SQRT(G1520^2+H1520^2)=0,1,SQRT(G1520^2+H1520^2)))</x:f>
      </x:c>
      <x:c r="F1520" s="14">
        <x:f>IF(B1520="","", D1520 + $F$12*$F$9*(G1520)/IF(SQRT(G1520^2+H1520^2)=0,1,SQRT(G1520^2+H1520^2)))</x:f>
      </x:c>
      <x:c r="G1520" s="14">
        <x:f>IF(B1520="","", -$F$8*SIN(B1520) - $B$7*$F$6*SIN($F$6*B1520))</x:f>
      </x:c>
      <x:c r="H1520" s="14">
        <x:f>IF(B1520="","", $F$8*COS(B1520) - $B$7*$F$6*COS($F$6*B1520))</x:f>
      </x:c>
    </x:row>
    <x:row r="1521">
      <x:c r="A1521" s="13" t="n">
        <x:v>1502</x:v>
      </x:c>
      <x:c r="B1521" s="14">
        <x:f>IF($B$12&lt;1502,"",$B$13+(1502-1)*($B$14-$B$13)/($B$12-1))</x:f>
      </x:c>
      <x:c r="C1521" s="14">
        <x:f>IF(B1521="","",$F$8*COS(B1521) + $B$7*COS($F$6*B1521))</x:f>
      </x:c>
      <x:c r="D1521" s="14">
        <x:f>IF(B1521="","",$F$8*SIN(B1521) - $B$7*SIN($F$6*B1521))</x:f>
      </x:c>
      <x:c r="E1521" s="14">
        <x:f>IF(B1521="","", C1521 + $F$12*$F$9*(-H1521)/IF(SQRT(G1521^2+H1521^2)=0,1,SQRT(G1521^2+H1521^2)))</x:f>
      </x:c>
      <x:c r="F1521" s="14">
        <x:f>IF(B1521="","", D1521 + $F$12*$F$9*(G1521)/IF(SQRT(G1521^2+H1521^2)=0,1,SQRT(G1521^2+H1521^2)))</x:f>
      </x:c>
      <x:c r="G1521" s="14">
        <x:f>IF(B1521="","", -$F$8*SIN(B1521) - $B$7*$F$6*SIN($F$6*B1521))</x:f>
      </x:c>
      <x:c r="H1521" s="14">
        <x:f>IF(B1521="","", $F$8*COS(B1521) - $B$7*$F$6*COS($F$6*B1521))</x:f>
      </x:c>
    </x:row>
    <x:row r="1522">
      <x:c r="A1522" s="13" t="n">
        <x:v>1503</x:v>
      </x:c>
      <x:c r="B1522" s="14">
        <x:f>IF($B$12&lt;1503,"",$B$13+(1503-1)*($B$14-$B$13)/($B$12-1))</x:f>
      </x:c>
      <x:c r="C1522" s="14">
        <x:f>IF(B1522="","",$F$8*COS(B1522) + $B$7*COS($F$6*B1522))</x:f>
      </x:c>
      <x:c r="D1522" s="14">
        <x:f>IF(B1522="","",$F$8*SIN(B1522) - $B$7*SIN($F$6*B1522))</x:f>
      </x:c>
      <x:c r="E1522" s="14">
        <x:f>IF(B1522="","", C1522 + $F$12*$F$9*(-H1522)/IF(SQRT(G1522^2+H1522^2)=0,1,SQRT(G1522^2+H1522^2)))</x:f>
      </x:c>
      <x:c r="F1522" s="14">
        <x:f>IF(B1522="","", D1522 + $F$12*$F$9*(G1522)/IF(SQRT(G1522^2+H1522^2)=0,1,SQRT(G1522^2+H1522^2)))</x:f>
      </x:c>
      <x:c r="G1522" s="14">
        <x:f>IF(B1522="","", -$F$8*SIN(B1522) - $B$7*$F$6*SIN($F$6*B1522))</x:f>
      </x:c>
      <x:c r="H1522" s="14">
        <x:f>IF(B1522="","", $F$8*COS(B1522) - $B$7*$F$6*COS($F$6*B1522))</x:f>
      </x:c>
    </x:row>
    <x:row r="1523">
      <x:c r="A1523" s="13" t="n">
        <x:v>1504</x:v>
      </x:c>
      <x:c r="B1523" s="14">
        <x:f>IF($B$12&lt;1504,"",$B$13+(1504-1)*($B$14-$B$13)/($B$12-1))</x:f>
      </x:c>
      <x:c r="C1523" s="14">
        <x:f>IF(B1523="","",$F$8*COS(B1523) + $B$7*COS($F$6*B1523))</x:f>
      </x:c>
      <x:c r="D1523" s="14">
        <x:f>IF(B1523="","",$F$8*SIN(B1523) - $B$7*SIN($F$6*B1523))</x:f>
      </x:c>
      <x:c r="E1523" s="14">
        <x:f>IF(B1523="","", C1523 + $F$12*$F$9*(-H1523)/IF(SQRT(G1523^2+H1523^2)=0,1,SQRT(G1523^2+H1523^2)))</x:f>
      </x:c>
      <x:c r="F1523" s="14">
        <x:f>IF(B1523="","", D1523 + $F$12*$F$9*(G1523)/IF(SQRT(G1523^2+H1523^2)=0,1,SQRT(G1523^2+H1523^2)))</x:f>
      </x:c>
      <x:c r="G1523" s="14">
        <x:f>IF(B1523="","", -$F$8*SIN(B1523) - $B$7*$F$6*SIN($F$6*B1523))</x:f>
      </x:c>
      <x:c r="H1523" s="14">
        <x:f>IF(B1523="","", $F$8*COS(B1523) - $B$7*$F$6*COS($F$6*B1523))</x:f>
      </x:c>
    </x:row>
    <x:row r="1524">
      <x:c r="A1524" s="13" t="n">
        <x:v>1505</x:v>
      </x:c>
      <x:c r="B1524" s="14">
        <x:f>IF($B$12&lt;1505,"",$B$13+(1505-1)*($B$14-$B$13)/($B$12-1))</x:f>
      </x:c>
      <x:c r="C1524" s="14">
        <x:f>IF(B1524="","",$F$8*COS(B1524) + $B$7*COS($F$6*B1524))</x:f>
      </x:c>
      <x:c r="D1524" s="14">
        <x:f>IF(B1524="","",$F$8*SIN(B1524) - $B$7*SIN($F$6*B1524))</x:f>
      </x:c>
      <x:c r="E1524" s="14">
        <x:f>IF(B1524="","", C1524 + $F$12*$F$9*(-H1524)/IF(SQRT(G1524^2+H1524^2)=0,1,SQRT(G1524^2+H1524^2)))</x:f>
      </x:c>
      <x:c r="F1524" s="14">
        <x:f>IF(B1524="","", D1524 + $F$12*$F$9*(G1524)/IF(SQRT(G1524^2+H1524^2)=0,1,SQRT(G1524^2+H1524^2)))</x:f>
      </x:c>
      <x:c r="G1524" s="14">
        <x:f>IF(B1524="","", -$F$8*SIN(B1524) - $B$7*$F$6*SIN($F$6*B1524))</x:f>
      </x:c>
      <x:c r="H1524" s="14">
        <x:f>IF(B1524="","", $F$8*COS(B1524) - $B$7*$F$6*COS($F$6*B1524))</x:f>
      </x:c>
    </x:row>
    <x:row r="1525">
      <x:c r="A1525" s="13" t="n">
        <x:v>1506</x:v>
      </x:c>
      <x:c r="B1525" s="14">
        <x:f>IF($B$12&lt;1506,"",$B$13+(1506-1)*($B$14-$B$13)/($B$12-1))</x:f>
      </x:c>
      <x:c r="C1525" s="14">
        <x:f>IF(B1525="","",$F$8*COS(B1525) + $B$7*COS($F$6*B1525))</x:f>
      </x:c>
      <x:c r="D1525" s="14">
        <x:f>IF(B1525="","",$F$8*SIN(B1525) - $B$7*SIN($F$6*B1525))</x:f>
      </x:c>
      <x:c r="E1525" s="14">
        <x:f>IF(B1525="","", C1525 + $F$12*$F$9*(-H1525)/IF(SQRT(G1525^2+H1525^2)=0,1,SQRT(G1525^2+H1525^2)))</x:f>
      </x:c>
      <x:c r="F1525" s="14">
        <x:f>IF(B1525="","", D1525 + $F$12*$F$9*(G1525)/IF(SQRT(G1525^2+H1525^2)=0,1,SQRT(G1525^2+H1525^2)))</x:f>
      </x:c>
      <x:c r="G1525" s="14">
        <x:f>IF(B1525="","", -$F$8*SIN(B1525) - $B$7*$F$6*SIN($F$6*B1525))</x:f>
      </x:c>
      <x:c r="H1525" s="14">
        <x:f>IF(B1525="","", $F$8*COS(B1525) - $B$7*$F$6*COS($F$6*B1525))</x:f>
      </x:c>
    </x:row>
    <x:row r="1526">
      <x:c r="A1526" s="13" t="n">
        <x:v>1507</x:v>
      </x:c>
      <x:c r="B1526" s="14">
        <x:f>IF($B$12&lt;1507,"",$B$13+(1507-1)*($B$14-$B$13)/($B$12-1))</x:f>
      </x:c>
      <x:c r="C1526" s="14">
        <x:f>IF(B1526="","",$F$8*COS(B1526) + $B$7*COS($F$6*B1526))</x:f>
      </x:c>
      <x:c r="D1526" s="14">
        <x:f>IF(B1526="","",$F$8*SIN(B1526) - $B$7*SIN($F$6*B1526))</x:f>
      </x:c>
      <x:c r="E1526" s="14">
        <x:f>IF(B1526="","", C1526 + $F$12*$F$9*(-H1526)/IF(SQRT(G1526^2+H1526^2)=0,1,SQRT(G1526^2+H1526^2)))</x:f>
      </x:c>
      <x:c r="F1526" s="14">
        <x:f>IF(B1526="","", D1526 + $F$12*$F$9*(G1526)/IF(SQRT(G1526^2+H1526^2)=0,1,SQRT(G1526^2+H1526^2)))</x:f>
      </x:c>
      <x:c r="G1526" s="14">
        <x:f>IF(B1526="","", -$F$8*SIN(B1526) - $B$7*$F$6*SIN($F$6*B1526))</x:f>
      </x:c>
      <x:c r="H1526" s="14">
        <x:f>IF(B1526="","", $F$8*COS(B1526) - $B$7*$F$6*COS($F$6*B1526))</x:f>
      </x:c>
    </x:row>
    <x:row r="1527">
      <x:c r="A1527" s="13" t="n">
        <x:v>1508</x:v>
      </x:c>
      <x:c r="B1527" s="14">
        <x:f>IF($B$12&lt;1508,"",$B$13+(1508-1)*($B$14-$B$13)/($B$12-1))</x:f>
      </x:c>
      <x:c r="C1527" s="14">
        <x:f>IF(B1527="","",$F$8*COS(B1527) + $B$7*COS($F$6*B1527))</x:f>
      </x:c>
      <x:c r="D1527" s="14">
        <x:f>IF(B1527="","",$F$8*SIN(B1527) - $B$7*SIN($F$6*B1527))</x:f>
      </x:c>
      <x:c r="E1527" s="14">
        <x:f>IF(B1527="","", C1527 + $F$12*$F$9*(-H1527)/IF(SQRT(G1527^2+H1527^2)=0,1,SQRT(G1527^2+H1527^2)))</x:f>
      </x:c>
      <x:c r="F1527" s="14">
        <x:f>IF(B1527="","", D1527 + $F$12*$F$9*(G1527)/IF(SQRT(G1527^2+H1527^2)=0,1,SQRT(G1527^2+H1527^2)))</x:f>
      </x:c>
      <x:c r="G1527" s="14">
        <x:f>IF(B1527="","", -$F$8*SIN(B1527) - $B$7*$F$6*SIN($F$6*B1527))</x:f>
      </x:c>
      <x:c r="H1527" s="14">
        <x:f>IF(B1527="","", $F$8*COS(B1527) - $B$7*$F$6*COS($F$6*B1527))</x:f>
      </x:c>
    </x:row>
    <x:row r="1528">
      <x:c r="A1528" s="13" t="n">
        <x:v>1509</x:v>
      </x:c>
      <x:c r="B1528" s="14">
        <x:f>IF($B$12&lt;1509,"",$B$13+(1509-1)*($B$14-$B$13)/($B$12-1))</x:f>
      </x:c>
      <x:c r="C1528" s="14">
        <x:f>IF(B1528="","",$F$8*COS(B1528) + $B$7*COS($F$6*B1528))</x:f>
      </x:c>
      <x:c r="D1528" s="14">
        <x:f>IF(B1528="","",$F$8*SIN(B1528) - $B$7*SIN($F$6*B1528))</x:f>
      </x:c>
      <x:c r="E1528" s="14">
        <x:f>IF(B1528="","", C1528 + $F$12*$F$9*(-H1528)/IF(SQRT(G1528^2+H1528^2)=0,1,SQRT(G1528^2+H1528^2)))</x:f>
      </x:c>
      <x:c r="F1528" s="14">
        <x:f>IF(B1528="","", D1528 + $F$12*$F$9*(G1528)/IF(SQRT(G1528^2+H1528^2)=0,1,SQRT(G1528^2+H1528^2)))</x:f>
      </x:c>
      <x:c r="G1528" s="14">
        <x:f>IF(B1528="","", -$F$8*SIN(B1528) - $B$7*$F$6*SIN($F$6*B1528))</x:f>
      </x:c>
      <x:c r="H1528" s="14">
        <x:f>IF(B1528="","", $F$8*COS(B1528) - $B$7*$F$6*COS($F$6*B1528))</x:f>
      </x:c>
    </x:row>
    <x:row r="1529">
      <x:c r="A1529" s="13" t="n">
        <x:v>1510</x:v>
      </x:c>
      <x:c r="B1529" s="14">
        <x:f>IF($B$12&lt;1510,"",$B$13+(1510-1)*($B$14-$B$13)/($B$12-1))</x:f>
      </x:c>
      <x:c r="C1529" s="14">
        <x:f>IF(B1529="","",$F$8*COS(B1529) + $B$7*COS($F$6*B1529))</x:f>
      </x:c>
      <x:c r="D1529" s="14">
        <x:f>IF(B1529="","",$F$8*SIN(B1529) - $B$7*SIN($F$6*B1529))</x:f>
      </x:c>
      <x:c r="E1529" s="14">
        <x:f>IF(B1529="","", C1529 + $F$12*$F$9*(-H1529)/IF(SQRT(G1529^2+H1529^2)=0,1,SQRT(G1529^2+H1529^2)))</x:f>
      </x:c>
      <x:c r="F1529" s="14">
        <x:f>IF(B1529="","", D1529 + $F$12*$F$9*(G1529)/IF(SQRT(G1529^2+H1529^2)=0,1,SQRT(G1529^2+H1529^2)))</x:f>
      </x:c>
      <x:c r="G1529" s="14">
        <x:f>IF(B1529="","", -$F$8*SIN(B1529) - $B$7*$F$6*SIN($F$6*B1529))</x:f>
      </x:c>
      <x:c r="H1529" s="14">
        <x:f>IF(B1529="","", $F$8*COS(B1529) - $B$7*$F$6*COS($F$6*B1529))</x:f>
      </x:c>
    </x:row>
    <x:row r="1530">
      <x:c r="A1530" s="13" t="n">
        <x:v>1511</x:v>
      </x:c>
      <x:c r="B1530" s="14">
        <x:f>IF($B$12&lt;1511,"",$B$13+(1511-1)*($B$14-$B$13)/($B$12-1))</x:f>
      </x:c>
      <x:c r="C1530" s="14">
        <x:f>IF(B1530="","",$F$8*COS(B1530) + $B$7*COS($F$6*B1530))</x:f>
      </x:c>
      <x:c r="D1530" s="14">
        <x:f>IF(B1530="","",$F$8*SIN(B1530) - $B$7*SIN($F$6*B1530))</x:f>
      </x:c>
      <x:c r="E1530" s="14">
        <x:f>IF(B1530="","", C1530 + $F$12*$F$9*(-H1530)/IF(SQRT(G1530^2+H1530^2)=0,1,SQRT(G1530^2+H1530^2)))</x:f>
      </x:c>
      <x:c r="F1530" s="14">
        <x:f>IF(B1530="","", D1530 + $F$12*$F$9*(G1530)/IF(SQRT(G1530^2+H1530^2)=0,1,SQRT(G1530^2+H1530^2)))</x:f>
      </x:c>
      <x:c r="G1530" s="14">
        <x:f>IF(B1530="","", -$F$8*SIN(B1530) - $B$7*$F$6*SIN($F$6*B1530))</x:f>
      </x:c>
      <x:c r="H1530" s="14">
        <x:f>IF(B1530="","", $F$8*COS(B1530) - $B$7*$F$6*COS($F$6*B1530))</x:f>
      </x:c>
    </x:row>
    <x:row r="1531">
      <x:c r="A1531" s="13" t="n">
        <x:v>1512</x:v>
      </x:c>
      <x:c r="B1531" s="14">
        <x:f>IF($B$12&lt;1512,"",$B$13+(1512-1)*($B$14-$B$13)/($B$12-1))</x:f>
      </x:c>
      <x:c r="C1531" s="14">
        <x:f>IF(B1531="","",$F$8*COS(B1531) + $B$7*COS($F$6*B1531))</x:f>
      </x:c>
      <x:c r="D1531" s="14">
        <x:f>IF(B1531="","",$F$8*SIN(B1531) - $B$7*SIN($F$6*B1531))</x:f>
      </x:c>
      <x:c r="E1531" s="14">
        <x:f>IF(B1531="","", C1531 + $F$12*$F$9*(-H1531)/IF(SQRT(G1531^2+H1531^2)=0,1,SQRT(G1531^2+H1531^2)))</x:f>
      </x:c>
      <x:c r="F1531" s="14">
        <x:f>IF(B1531="","", D1531 + $F$12*$F$9*(G1531)/IF(SQRT(G1531^2+H1531^2)=0,1,SQRT(G1531^2+H1531^2)))</x:f>
      </x:c>
      <x:c r="G1531" s="14">
        <x:f>IF(B1531="","", -$F$8*SIN(B1531) - $B$7*$F$6*SIN($F$6*B1531))</x:f>
      </x:c>
      <x:c r="H1531" s="14">
        <x:f>IF(B1531="","", $F$8*COS(B1531) - $B$7*$F$6*COS($F$6*B1531))</x:f>
      </x:c>
    </x:row>
    <x:row r="1532">
      <x:c r="A1532" s="13" t="n">
        <x:v>1513</x:v>
      </x:c>
      <x:c r="B1532" s="14">
        <x:f>IF($B$12&lt;1513,"",$B$13+(1513-1)*($B$14-$B$13)/($B$12-1))</x:f>
      </x:c>
      <x:c r="C1532" s="14">
        <x:f>IF(B1532="","",$F$8*COS(B1532) + $B$7*COS($F$6*B1532))</x:f>
      </x:c>
      <x:c r="D1532" s="14">
        <x:f>IF(B1532="","",$F$8*SIN(B1532) - $B$7*SIN($F$6*B1532))</x:f>
      </x:c>
      <x:c r="E1532" s="14">
        <x:f>IF(B1532="","", C1532 + $F$12*$F$9*(-H1532)/IF(SQRT(G1532^2+H1532^2)=0,1,SQRT(G1532^2+H1532^2)))</x:f>
      </x:c>
      <x:c r="F1532" s="14">
        <x:f>IF(B1532="","", D1532 + $F$12*$F$9*(G1532)/IF(SQRT(G1532^2+H1532^2)=0,1,SQRT(G1532^2+H1532^2)))</x:f>
      </x:c>
      <x:c r="G1532" s="14">
        <x:f>IF(B1532="","", -$F$8*SIN(B1532) - $B$7*$F$6*SIN($F$6*B1532))</x:f>
      </x:c>
      <x:c r="H1532" s="14">
        <x:f>IF(B1532="","", $F$8*COS(B1532) - $B$7*$F$6*COS($F$6*B1532))</x:f>
      </x:c>
    </x:row>
    <x:row r="1533">
      <x:c r="A1533" s="13" t="n">
        <x:v>1514</x:v>
      </x:c>
      <x:c r="B1533" s="14">
        <x:f>IF($B$12&lt;1514,"",$B$13+(1514-1)*($B$14-$B$13)/($B$12-1))</x:f>
      </x:c>
      <x:c r="C1533" s="14">
        <x:f>IF(B1533="","",$F$8*COS(B1533) + $B$7*COS($F$6*B1533))</x:f>
      </x:c>
      <x:c r="D1533" s="14">
        <x:f>IF(B1533="","",$F$8*SIN(B1533) - $B$7*SIN($F$6*B1533))</x:f>
      </x:c>
      <x:c r="E1533" s="14">
        <x:f>IF(B1533="","", C1533 + $F$12*$F$9*(-H1533)/IF(SQRT(G1533^2+H1533^2)=0,1,SQRT(G1533^2+H1533^2)))</x:f>
      </x:c>
      <x:c r="F1533" s="14">
        <x:f>IF(B1533="","", D1533 + $F$12*$F$9*(G1533)/IF(SQRT(G1533^2+H1533^2)=0,1,SQRT(G1533^2+H1533^2)))</x:f>
      </x:c>
      <x:c r="G1533" s="14">
        <x:f>IF(B1533="","", -$F$8*SIN(B1533) - $B$7*$F$6*SIN($F$6*B1533))</x:f>
      </x:c>
      <x:c r="H1533" s="14">
        <x:f>IF(B1533="","", $F$8*COS(B1533) - $B$7*$F$6*COS($F$6*B1533))</x:f>
      </x:c>
    </x:row>
    <x:row r="1534">
      <x:c r="A1534" s="13" t="n">
        <x:v>1515</x:v>
      </x:c>
      <x:c r="B1534" s="14">
        <x:f>IF($B$12&lt;1515,"",$B$13+(1515-1)*($B$14-$B$13)/($B$12-1))</x:f>
      </x:c>
      <x:c r="C1534" s="14">
        <x:f>IF(B1534="","",$F$8*COS(B1534) + $B$7*COS($F$6*B1534))</x:f>
      </x:c>
      <x:c r="D1534" s="14">
        <x:f>IF(B1534="","",$F$8*SIN(B1534) - $B$7*SIN($F$6*B1534))</x:f>
      </x:c>
      <x:c r="E1534" s="14">
        <x:f>IF(B1534="","", C1534 + $F$12*$F$9*(-H1534)/IF(SQRT(G1534^2+H1534^2)=0,1,SQRT(G1534^2+H1534^2)))</x:f>
      </x:c>
      <x:c r="F1534" s="14">
        <x:f>IF(B1534="","", D1534 + $F$12*$F$9*(G1534)/IF(SQRT(G1534^2+H1534^2)=0,1,SQRT(G1534^2+H1534^2)))</x:f>
      </x:c>
      <x:c r="G1534" s="14">
        <x:f>IF(B1534="","", -$F$8*SIN(B1534) - $B$7*$F$6*SIN($F$6*B1534))</x:f>
      </x:c>
      <x:c r="H1534" s="14">
        <x:f>IF(B1534="","", $F$8*COS(B1534) - $B$7*$F$6*COS($F$6*B1534))</x:f>
      </x:c>
    </x:row>
    <x:row r="1535">
      <x:c r="A1535" s="13" t="n">
        <x:v>1516</x:v>
      </x:c>
      <x:c r="B1535" s="14">
        <x:f>IF($B$12&lt;1516,"",$B$13+(1516-1)*($B$14-$B$13)/($B$12-1))</x:f>
      </x:c>
      <x:c r="C1535" s="14">
        <x:f>IF(B1535="","",$F$8*COS(B1535) + $B$7*COS($F$6*B1535))</x:f>
      </x:c>
      <x:c r="D1535" s="14">
        <x:f>IF(B1535="","",$F$8*SIN(B1535) - $B$7*SIN($F$6*B1535))</x:f>
      </x:c>
      <x:c r="E1535" s="14">
        <x:f>IF(B1535="","", C1535 + $F$12*$F$9*(-H1535)/IF(SQRT(G1535^2+H1535^2)=0,1,SQRT(G1535^2+H1535^2)))</x:f>
      </x:c>
      <x:c r="F1535" s="14">
        <x:f>IF(B1535="","", D1535 + $F$12*$F$9*(G1535)/IF(SQRT(G1535^2+H1535^2)=0,1,SQRT(G1535^2+H1535^2)))</x:f>
      </x:c>
      <x:c r="G1535" s="14">
        <x:f>IF(B1535="","", -$F$8*SIN(B1535) - $B$7*$F$6*SIN($F$6*B1535))</x:f>
      </x:c>
      <x:c r="H1535" s="14">
        <x:f>IF(B1535="","", $F$8*COS(B1535) - $B$7*$F$6*COS($F$6*B1535))</x:f>
      </x:c>
    </x:row>
    <x:row r="1536">
      <x:c r="A1536" s="13" t="n">
        <x:v>1517</x:v>
      </x:c>
      <x:c r="B1536" s="14">
        <x:f>IF($B$12&lt;1517,"",$B$13+(1517-1)*($B$14-$B$13)/($B$12-1))</x:f>
      </x:c>
      <x:c r="C1536" s="14">
        <x:f>IF(B1536="","",$F$8*COS(B1536) + $B$7*COS($F$6*B1536))</x:f>
      </x:c>
      <x:c r="D1536" s="14">
        <x:f>IF(B1536="","",$F$8*SIN(B1536) - $B$7*SIN($F$6*B1536))</x:f>
      </x:c>
      <x:c r="E1536" s="14">
        <x:f>IF(B1536="","", C1536 + $F$12*$F$9*(-H1536)/IF(SQRT(G1536^2+H1536^2)=0,1,SQRT(G1536^2+H1536^2)))</x:f>
      </x:c>
      <x:c r="F1536" s="14">
        <x:f>IF(B1536="","", D1536 + $F$12*$F$9*(G1536)/IF(SQRT(G1536^2+H1536^2)=0,1,SQRT(G1536^2+H1536^2)))</x:f>
      </x:c>
      <x:c r="G1536" s="14">
        <x:f>IF(B1536="","", -$F$8*SIN(B1536) - $B$7*$F$6*SIN($F$6*B1536))</x:f>
      </x:c>
      <x:c r="H1536" s="14">
        <x:f>IF(B1536="","", $F$8*COS(B1536) - $B$7*$F$6*COS($F$6*B1536))</x:f>
      </x:c>
    </x:row>
    <x:row r="1537">
      <x:c r="A1537" s="13" t="n">
        <x:v>1518</x:v>
      </x:c>
      <x:c r="B1537" s="14">
        <x:f>IF($B$12&lt;1518,"",$B$13+(1518-1)*($B$14-$B$13)/($B$12-1))</x:f>
      </x:c>
      <x:c r="C1537" s="14">
        <x:f>IF(B1537="","",$F$8*COS(B1537) + $B$7*COS($F$6*B1537))</x:f>
      </x:c>
      <x:c r="D1537" s="14">
        <x:f>IF(B1537="","",$F$8*SIN(B1537) - $B$7*SIN($F$6*B1537))</x:f>
      </x:c>
      <x:c r="E1537" s="14">
        <x:f>IF(B1537="","", C1537 + $F$12*$F$9*(-H1537)/IF(SQRT(G1537^2+H1537^2)=0,1,SQRT(G1537^2+H1537^2)))</x:f>
      </x:c>
      <x:c r="F1537" s="14">
        <x:f>IF(B1537="","", D1537 + $F$12*$F$9*(G1537)/IF(SQRT(G1537^2+H1537^2)=0,1,SQRT(G1537^2+H1537^2)))</x:f>
      </x:c>
      <x:c r="G1537" s="14">
        <x:f>IF(B1537="","", -$F$8*SIN(B1537) - $B$7*$F$6*SIN($F$6*B1537))</x:f>
      </x:c>
      <x:c r="H1537" s="14">
        <x:f>IF(B1537="","", $F$8*COS(B1537) - $B$7*$F$6*COS($F$6*B1537))</x:f>
      </x:c>
    </x:row>
    <x:row r="1538">
      <x:c r="A1538" s="13" t="n">
        <x:v>1519</x:v>
      </x:c>
      <x:c r="B1538" s="14">
        <x:f>IF($B$12&lt;1519,"",$B$13+(1519-1)*($B$14-$B$13)/($B$12-1))</x:f>
      </x:c>
      <x:c r="C1538" s="14">
        <x:f>IF(B1538="","",$F$8*COS(B1538) + $B$7*COS($F$6*B1538))</x:f>
      </x:c>
      <x:c r="D1538" s="14">
        <x:f>IF(B1538="","",$F$8*SIN(B1538) - $B$7*SIN($F$6*B1538))</x:f>
      </x:c>
      <x:c r="E1538" s="14">
        <x:f>IF(B1538="","", C1538 + $F$12*$F$9*(-H1538)/IF(SQRT(G1538^2+H1538^2)=0,1,SQRT(G1538^2+H1538^2)))</x:f>
      </x:c>
      <x:c r="F1538" s="14">
        <x:f>IF(B1538="","", D1538 + $F$12*$F$9*(G1538)/IF(SQRT(G1538^2+H1538^2)=0,1,SQRT(G1538^2+H1538^2)))</x:f>
      </x:c>
      <x:c r="G1538" s="14">
        <x:f>IF(B1538="","", -$F$8*SIN(B1538) - $B$7*$F$6*SIN($F$6*B1538))</x:f>
      </x:c>
      <x:c r="H1538" s="14">
        <x:f>IF(B1538="","", $F$8*COS(B1538) - $B$7*$F$6*COS($F$6*B1538))</x:f>
      </x:c>
    </x:row>
    <x:row r="1539">
      <x:c r="A1539" s="13" t="n">
        <x:v>1520</x:v>
      </x:c>
      <x:c r="B1539" s="14">
        <x:f>IF($B$12&lt;1520,"",$B$13+(1520-1)*($B$14-$B$13)/($B$12-1))</x:f>
      </x:c>
      <x:c r="C1539" s="14">
        <x:f>IF(B1539="","",$F$8*COS(B1539) + $B$7*COS($F$6*B1539))</x:f>
      </x:c>
      <x:c r="D1539" s="14">
        <x:f>IF(B1539="","",$F$8*SIN(B1539) - $B$7*SIN($F$6*B1539))</x:f>
      </x:c>
      <x:c r="E1539" s="14">
        <x:f>IF(B1539="","", C1539 + $F$12*$F$9*(-H1539)/IF(SQRT(G1539^2+H1539^2)=0,1,SQRT(G1539^2+H1539^2)))</x:f>
      </x:c>
      <x:c r="F1539" s="14">
        <x:f>IF(B1539="","", D1539 + $F$12*$F$9*(G1539)/IF(SQRT(G1539^2+H1539^2)=0,1,SQRT(G1539^2+H1539^2)))</x:f>
      </x:c>
      <x:c r="G1539" s="14">
        <x:f>IF(B1539="","", -$F$8*SIN(B1539) - $B$7*$F$6*SIN($F$6*B1539))</x:f>
      </x:c>
      <x:c r="H1539" s="14">
        <x:f>IF(B1539="","", $F$8*COS(B1539) - $B$7*$F$6*COS($F$6*B1539))</x:f>
      </x:c>
    </x:row>
    <x:row r="1540">
      <x:c r="A1540" s="13" t="n">
        <x:v>1521</x:v>
      </x:c>
      <x:c r="B1540" s="14">
        <x:f>IF($B$12&lt;1521,"",$B$13+(1521-1)*($B$14-$B$13)/($B$12-1))</x:f>
      </x:c>
      <x:c r="C1540" s="14">
        <x:f>IF(B1540="","",$F$8*COS(B1540) + $B$7*COS($F$6*B1540))</x:f>
      </x:c>
      <x:c r="D1540" s="14">
        <x:f>IF(B1540="","",$F$8*SIN(B1540) - $B$7*SIN($F$6*B1540))</x:f>
      </x:c>
      <x:c r="E1540" s="14">
        <x:f>IF(B1540="","", C1540 + $F$12*$F$9*(-H1540)/IF(SQRT(G1540^2+H1540^2)=0,1,SQRT(G1540^2+H1540^2)))</x:f>
      </x:c>
      <x:c r="F1540" s="14">
        <x:f>IF(B1540="","", D1540 + $F$12*$F$9*(G1540)/IF(SQRT(G1540^2+H1540^2)=0,1,SQRT(G1540^2+H1540^2)))</x:f>
      </x:c>
      <x:c r="G1540" s="14">
        <x:f>IF(B1540="","", -$F$8*SIN(B1540) - $B$7*$F$6*SIN($F$6*B1540))</x:f>
      </x:c>
      <x:c r="H1540" s="14">
        <x:f>IF(B1540="","", $F$8*COS(B1540) - $B$7*$F$6*COS($F$6*B1540))</x:f>
      </x:c>
    </x:row>
    <x:row r="1541">
      <x:c r="A1541" s="13" t="n">
        <x:v>1522</x:v>
      </x:c>
      <x:c r="B1541" s="14">
        <x:f>IF($B$12&lt;1522,"",$B$13+(1522-1)*($B$14-$B$13)/($B$12-1))</x:f>
      </x:c>
      <x:c r="C1541" s="14">
        <x:f>IF(B1541="","",$F$8*COS(B1541) + $B$7*COS($F$6*B1541))</x:f>
      </x:c>
      <x:c r="D1541" s="14">
        <x:f>IF(B1541="","",$F$8*SIN(B1541) - $B$7*SIN($F$6*B1541))</x:f>
      </x:c>
      <x:c r="E1541" s="14">
        <x:f>IF(B1541="","", C1541 + $F$12*$F$9*(-H1541)/IF(SQRT(G1541^2+H1541^2)=0,1,SQRT(G1541^2+H1541^2)))</x:f>
      </x:c>
      <x:c r="F1541" s="14">
        <x:f>IF(B1541="","", D1541 + $F$12*$F$9*(G1541)/IF(SQRT(G1541^2+H1541^2)=0,1,SQRT(G1541^2+H1541^2)))</x:f>
      </x:c>
      <x:c r="G1541" s="14">
        <x:f>IF(B1541="","", -$F$8*SIN(B1541) - $B$7*$F$6*SIN($F$6*B1541))</x:f>
      </x:c>
      <x:c r="H1541" s="14">
        <x:f>IF(B1541="","", $F$8*COS(B1541) - $B$7*$F$6*COS($F$6*B1541))</x:f>
      </x:c>
    </x:row>
    <x:row r="1542">
      <x:c r="A1542" s="13" t="n">
        <x:v>1523</x:v>
      </x:c>
      <x:c r="B1542" s="14">
        <x:f>IF($B$12&lt;1523,"",$B$13+(1523-1)*($B$14-$B$13)/($B$12-1))</x:f>
      </x:c>
      <x:c r="C1542" s="14">
        <x:f>IF(B1542="","",$F$8*COS(B1542) + $B$7*COS($F$6*B1542))</x:f>
      </x:c>
      <x:c r="D1542" s="14">
        <x:f>IF(B1542="","",$F$8*SIN(B1542) - $B$7*SIN($F$6*B1542))</x:f>
      </x:c>
      <x:c r="E1542" s="14">
        <x:f>IF(B1542="","", C1542 + $F$12*$F$9*(-H1542)/IF(SQRT(G1542^2+H1542^2)=0,1,SQRT(G1542^2+H1542^2)))</x:f>
      </x:c>
      <x:c r="F1542" s="14">
        <x:f>IF(B1542="","", D1542 + $F$12*$F$9*(G1542)/IF(SQRT(G1542^2+H1542^2)=0,1,SQRT(G1542^2+H1542^2)))</x:f>
      </x:c>
      <x:c r="G1542" s="14">
        <x:f>IF(B1542="","", -$F$8*SIN(B1542) - $B$7*$F$6*SIN($F$6*B1542))</x:f>
      </x:c>
      <x:c r="H1542" s="14">
        <x:f>IF(B1542="","", $F$8*COS(B1542) - $B$7*$F$6*COS($F$6*B1542))</x:f>
      </x:c>
    </x:row>
    <x:row r="1543">
      <x:c r="A1543" s="13" t="n">
        <x:v>1524</x:v>
      </x:c>
      <x:c r="B1543" s="14">
        <x:f>IF($B$12&lt;1524,"",$B$13+(1524-1)*($B$14-$B$13)/($B$12-1))</x:f>
      </x:c>
      <x:c r="C1543" s="14">
        <x:f>IF(B1543="","",$F$8*COS(B1543) + $B$7*COS($F$6*B1543))</x:f>
      </x:c>
      <x:c r="D1543" s="14">
        <x:f>IF(B1543="","",$F$8*SIN(B1543) - $B$7*SIN($F$6*B1543))</x:f>
      </x:c>
      <x:c r="E1543" s="14">
        <x:f>IF(B1543="","", C1543 + $F$12*$F$9*(-H1543)/IF(SQRT(G1543^2+H1543^2)=0,1,SQRT(G1543^2+H1543^2)))</x:f>
      </x:c>
      <x:c r="F1543" s="14">
        <x:f>IF(B1543="","", D1543 + $F$12*$F$9*(G1543)/IF(SQRT(G1543^2+H1543^2)=0,1,SQRT(G1543^2+H1543^2)))</x:f>
      </x:c>
      <x:c r="G1543" s="14">
        <x:f>IF(B1543="","", -$F$8*SIN(B1543) - $B$7*$F$6*SIN($F$6*B1543))</x:f>
      </x:c>
      <x:c r="H1543" s="14">
        <x:f>IF(B1543="","", $F$8*COS(B1543) - $B$7*$F$6*COS($F$6*B1543))</x:f>
      </x:c>
    </x:row>
    <x:row r="1544">
      <x:c r="A1544" s="13" t="n">
        <x:v>1525</x:v>
      </x:c>
      <x:c r="B1544" s="14">
        <x:f>IF($B$12&lt;1525,"",$B$13+(1525-1)*($B$14-$B$13)/($B$12-1))</x:f>
      </x:c>
      <x:c r="C1544" s="14">
        <x:f>IF(B1544="","",$F$8*COS(B1544) + $B$7*COS($F$6*B1544))</x:f>
      </x:c>
      <x:c r="D1544" s="14">
        <x:f>IF(B1544="","",$F$8*SIN(B1544) - $B$7*SIN($F$6*B1544))</x:f>
      </x:c>
      <x:c r="E1544" s="14">
        <x:f>IF(B1544="","", C1544 + $F$12*$F$9*(-H1544)/IF(SQRT(G1544^2+H1544^2)=0,1,SQRT(G1544^2+H1544^2)))</x:f>
      </x:c>
      <x:c r="F1544" s="14">
        <x:f>IF(B1544="","", D1544 + $F$12*$F$9*(G1544)/IF(SQRT(G1544^2+H1544^2)=0,1,SQRT(G1544^2+H1544^2)))</x:f>
      </x:c>
      <x:c r="G1544" s="14">
        <x:f>IF(B1544="","", -$F$8*SIN(B1544) - $B$7*$F$6*SIN($F$6*B1544))</x:f>
      </x:c>
      <x:c r="H1544" s="14">
        <x:f>IF(B1544="","", $F$8*COS(B1544) - $B$7*$F$6*COS($F$6*B1544))</x:f>
      </x:c>
    </x:row>
    <x:row r="1545">
      <x:c r="A1545" s="13" t="n">
        <x:v>1526</x:v>
      </x:c>
      <x:c r="B1545" s="14">
        <x:f>IF($B$12&lt;1526,"",$B$13+(1526-1)*($B$14-$B$13)/($B$12-1))</x:f>
      </x:c>
      <x:c r="C1545" s="14">
        <x:f>IF(B1545="","",$F$8*COS(B1545) + $B$7*COS($F$6*B1545))</x:f>
      </x:c>
      <x:c r="D1545" s="14">
        <x:f>IF(B1545="","",$F$8*SIN(B1545) - $B$7*SIN($F$6*B1545))</x:f>
      </x:c>
      <x:c r="E1545" s="14">
        <x:f>IF(B1545="","", C1545 + $F$12*$F$9*(-H1545)/IF(SQRT(G1545^2+H1545^2)=0,1,SQRT(G1545^2+H1545^2)))</x:f>
      </x:c>
      <x:c r="F1545" s="14">
        <x:f>IF(B1545="","", D1545 + $F$12*$F$9*(G1545)/IF(SQRT(G1545^2+H1545^2)=0,1,SQRT(G1545^2+H1545^2)))</x:f>
      </x:c>
      <x:c r="G1545" s="14">
        <x:f>IF(B1545="","", -$F$8*SIN(B1545) - $B$7*$F$6*SIN($F$6*B1545))</x:f>
      </x:c>
      <x:c r="H1545" s="14">
        <x:f>IF(B1545="","", $F$8*COS(B1545) - $B$7*$F$6*COS($F$6*B1545))</x:f>
      </x:c>
    </x:row>
    <x:row r="1546">
      <x:c r="A1546" s="13" t="n">
        <x:v>1527</x:v>
      </x:c>
      <x:c r="B1546" s="14">
        <x:f>IF($B$12&lt;1527,"",$B$13+(1527-1)*($B$14-$B$13)/($B$12-1))</x:f>
      </x:c>
      <x:c r="C1546" s="14">
        <x:f>IF(B1546="","",$F$8*COS(B1546) + $B$7*COS($F$6*B1546))</x:f>
      </x:c>
      <x:c r="D1546" s="14">
        <x:f>IF(B1546="","",$F$8*SIN(B1546) - $B$7*SIN($F$6*B1546))</x:f>
      </x:c>
      <x:c r="E1546" s="14">
        <x:f>IF(B1546="","", C1546 + $F$12*$F$9*(-H1546)/IF(SQRT(G1546^2+H1546^2)=0,1,SQRT(G1546^2+H1546^2)))</x:f>
      </x:c>
      <x:c r="F1546" s="14">
        <x:f>IF(B1546="","", D1546 + $F$12*$F$9*(G1546)/IF(SQRT(G1546^2+H1546^2)=0,1,SQRT(G1546^2+H1546^2)))</x:f>
      </x:c>
      <x:c r="G1546" s="14">
        <x:f>IF(B1546="","", -$F$8*SIN(B1546) - $B$7*$F$6*SIN($F$6*B1546))</x:f>
      </x:c>
      <x:c r="H1546" s="14">
        <x:f>IF(B1546="","", $F$8*COS(B1546) - $B$7*$F$6*COS($F$6*B1546))</x:f>
      </x:c>
    </x:row>
    <x:row r="1547">
      <x:c r="A1547" s="13" t="n">
        <x:v>1528</x:v>
      </x:c>
      <x:c r="B1547" s="14">
        <x:f>IF($B$12&lt;1528,"",$B$13+(1528-1)*($B$14-$B$13)/($B$12-1))</x:f>
      </x:c>
      <x:c r="C1547" s="14">
        <x:f>IF(B1547="","",$F$8*COS(B1547) + $B$7*COS($F$6*B1547))</x:f>
      </x:c>
      <x:c r="D1547" s="14">
        <x:f>IF(B1547="","",$F$8*SIN(B1547) - $B$7*SIN($F$6*B1547))</x:f>
      </x:c>
      <x:c r="E1547" s="14">
        <x:f>IF(B1547="","", C1547 + $F$12*$F$9*(-H1547)/IF(SQRT(G1547^2+H1547^2)=0,1,SQRT(G1547^2+H1547^2)))</x:f>
      </x:c>
      <x:c r="F1547" s="14">
        <x:f>IF(B1547="","", D1547 + $F$12*$F$9*(G1547)/IF(SQRT(G1547^2+H1547^2)=0,1,SQRT(G1547^2+H1547^2)))</x:f>
      </x:c>
      <x:c r="G1547" s="14">
        <x:f>IF(B1547="","", -$F$8*SIN(B1547) - $B$7*$F$6*SIN($F$6*B1547))</x:f>
      </x:c>
      <x:c r="H1547" s="14">
        <x:f>IF(B1547="","", $F$8*COS(B1547) - $B$7*$F$6*COS($F$6*B1547))</x:f>
      </x:c>
    </x:row>
    <x:row r="1548">
      <x:c r="A1548" s="13" t="n">
        <x:v>1529</x:v>
      </x:c>
      <x:c r="B1548" s="14">
        <x:f>IF($B$12&lt;1529,"",$B$13+(1529-1)*($B$14-$B$13)/($B$12-1))</x:f>
      </x:c>
      <x:c r="C1548" s="14">
        <x:f>IF(B1548="","",$F$8*COS(B1548) + $B$7*COS($F$6*B1548))</x:f>
      </x:c>
      <x:c r="D1548" s="14">
        <x:f>IF(B1548="","",$F$8*SIN(B1548) - $B$7*SIN($F$6*B1548))</x:f>
      </x:c>
      <x:c r="E1548" s="14">
        <x:f>IF(B1548="","", C1548 + $F$12*$F$9*(-H1548)/IF(SQRT(G1548^2+H1548^2)=0,1,SQRT(G1548^2+H1548^2)))</x:f>
      </x:c>
      <x:c r="F1548" s="14">
        <x:f>IF(B1548="","", D1548 + $F$12*$F$9*(G1548)/IF(SQRT(G1548^2+H1548^2)=0,1,SQRT(G1548^2+H1548^2)))</x:f>
      </x:c>
      <x:c r="G1548" s="14">
        <x:f>IF(B1548="","", -$F$8*SIN(B1548) - $B$7*$F$6*SIN($F$6*B1548))</x:f>
      </x:c>
      <x:c r="H1548" s="14">
        <x:f>IF(B1548="","", $F$8*COS(B1548) - $B$7*$F$6*COS($F$6*B1548))</x:f>
      </x:c>
    </x:row>
    <x:row r="1549">
      <x:c r="A1549" s="13" t="n">
        <x:v>1530</x:v>
      </x:c>
      <x:c r="B1549" s="14">
        <x:f>IF($B$12&lt;1530,"",$B$13+(1530-1)*($B$14-$B$13)/($B$12-1))</x:f>
      </x:c>
      <x:c r="C1549" s="14">
        <x:f>IF(B1549="","",$F$8*COS(B1549) + $B$7*COS($F$6*B1549))</x:f>
      </x:c>
      <x:c r="D1549" s="14">
        <x:f>IF(B1549="","",$F$8*SIN(B1549) - $B$7*SIN($F$6*B1549))</x:f>
      </x:c>
      <x:c r="E1549" s="14">
        <x:f>IF(B1549="","", C1549 + $F$12*$F$9*(-H1549)/IF(SQRT(G1549^2+H1549^2)=0,1,SQRT(G1549^2+H1549^2)))</x:f>
      </x:c>
      <x:c r="F1549" s="14">
        <x:f>IF(B1549="","", D1549 + $F$12*$F$9*(G1549)/IF(SQRT(G1549^2+H1549^2)=0,1,SQRT(G1549^2+H1549^2)))</x:f>
      </x:c>
      <x:c r="G1549" s="14">
        <x:f>IF(B1549="","", -$F$8*SIN(B1549) - $B$7*$F$6*SIN($F$6*B1549))</x:f>
      </x:c>
      <x:c r="H1549" s="14">
        <x:f>IF(B1549="","", $F$8*COS(B1549) - $B$7*$F$6*COS($F$6*B1549))</x:f>
      </x:c>
    </x:row>
    <x:row r="1550">
      <x:c r="A1550" s="13" t="n">
        <x:v>1531</x:v>
      </x:c>
      <x:c r="B1550" s="14">
        <x:f>IF($B$12&lt;1531,"",$B$13+(1531-1)*($B$14-$B$13)/($B$12-1))</x:f>
      </x:c>
      <x:c r="C1550" s="14">
        <x:f>IF(B1550="","",$F$8*COS(B1550) + $B$7*COS($F$6*B1550))</x:f>
      </x:c>
      <x:c r="D1550" s="14">
        <x:f>IF(B1550="","",$F$8*SIN(B1550) - $B$7*SIN($F$6*B1550))</x:f>
      </x:c>
      <x:c r="E1550" s="14">
        <x:f>IF(B1550="","", C1550 + $F$12*$F$9*(-H1550)/IF(SQRT(G1550^2+H1550^2)=0,1,SQRT(G1550^2+H1550^2)))</x:f>
      </x:c>
      <x:c r="F1550" s="14">
        <x:f>IF(B1550="","", D1550 + $F$12*$F$9*(G1550)/IF(SQRT(G1550^2+H1550^2)=0,1,SQRT(G1550^2+H1550^2)))</x:f>
      </x:c>
      <x:c r="G1550" s="14">
        <x:f>IF(B1550="","", -$F$8*SIN(B1550) - $B$7*$F$6*SIN($F$6*B1550))</x:f>
      </x:c>
      <x:c r="H1550" s="14">
        <x:f>IF(B1550="","", $F$8*COS(B1550) - $B$7*$F$6*COS($F$6*B1550))</x:f>
      </x:c>
    </x:row>
    <x:row r="1551">
      <x:c r="A1551" s="13" t="n">
        <x:v>1532</x:v>
      </x:c>
      <x:c r="B1551" s="14">
        <x:f>IF($B$12&lt;1532,"",$B$13+(1532-1)*($B$14-$B$13)/($B$12-1))</x:f>
      </x:c>
      <x:c r="C1551" s="14">
        <x:f>IF(B1551="","",$F$8*COS(B1551) + $B$7*COS($F$6*B1551))</x:f>
      </x:c>
      <x:c r="D1551" s="14">
        <x:f>IF(B1551="","",$F$8*SIN(B1551) - $B$7*SIN($F$6*B1551))</x:f>
      </x:c>
      <x:c r="E1551" s="14">
        <x:f>IF(B1551="","", C1551 + $F$12*$F$9*(-H1551)/IF(SQRT(G1551^2+H1551^2)=0,1,SQRT(G1551^2+H1551^2)))</x:f>
      </x:c>
      <x:c r="F1551" s="14">
        <x:f>IF(B1551="","", D1551 + $F$12*$F$9*(G1551)/IF(SQRT(G1551^2+H1551^2)=0,1,SQRT(G1551^2+H1551^2)))</x:f>
      </x:c>
      <x:c r="G1551" s="14">
        <x:f>IF(B1551="","", -$F$8*SIN(B1551) - $B$7*$F$6*SIN($F$6*B1551))</x:f>
      </x:c>
      <x:c r="H1551" s="14">
        <x:f>IF(B1551="","", $F$8*COS(B1551) - $B$7*$F$6*COS($F$6*B1551))</x:f>
      </x:c>
    </x:row>
    <x:row r="1552">
      <x:c r="A1552" s="13" t="n">
        <x:v>1533</x:v>
      </x:c>
      <x:c r="B1552" s="14">
        <x:f>IF($B$12&lt;1533,"",$B$13+(1533-1)*($B$14-$B$13)/($B$12-1))</x:f>
      </x:c>
      <x:c r="C1552" s="14">
        <x:f>IF(B1552="","",$F$8*COS(B1552) + $B$7*COS($F$6*B1552))</x:f>
      </x:c>
      <x:c r="D1552" s="14">
        <x:f>IF(B1552="","",$F$8*SIN(B1552) - $B$7*SIN($F$6*B1552))</x:f>
      </x:c>
      <x:c r="E1552" s="14">
        <x:f>IF(B1552="","", C1552 + $F$12*$F$9*(-H1552)/IF(SQRT(G1552^2+H1552^2)=0,1,SQRT(G1552^2+H1552^2)))</x:f>
      </x:c>
      <x:c r="F1552" s="14">
        <x:f>IF(B1552="","", D1552 + $F$12*$F$9*(G1552)/IF(SQRT(G1552^2+H1552^2)=0,1,SQRT(G1552^2+H1552^2)))</x:f>
      </x:c>
      <x:c r="G1552" s="14">
        <x:f>IF(B1552="","", -$F$8*SIN(B1552) - $B$7*$F$6*SIN($F$6*B1552))</x:f>
      </x:c>
      <x:c r="H1552" s="14">
        <x:f>IF(B1552="","", $F$8*COS(B1552) - $B$7*$F$6*COS($F$6*B1552))</x:f>
      </x:c>
    </x:row>
    <x:row r="1553">
      <x:c r="A1553" s="13" t="n">
        <x:v>1534</x:v>
      </x:c>
      <x:c r="B1553" s="14">
        <x:f>IF($B$12&lt;1534,"",$B$13+(1534-1)*($B$14-$B$13)/($B$12-1))</x:f>
      </x:c>
      <x:c r="C1553" s="14">
        <x:f>IF(B1553="","",$F$8*COS(B1553) + $B$7*COS($F$6*B1553))</x:f>
      </x:c>
      <x:c r="D1553" s="14">
        <x:f>IF(B1553="","",$F$8*SIN(B1553) - $B$7*SIN($F$6*B1553))</x:f>
      </x:c>
      <x:c r="E1553" s="14">
        <x:f>IF(B1553="","", C1553 + $F$12*$F$9*(-H1553)/IF(SQRT(G1553^2+H1553^2)=0,1,SQRT(G1553^2+H1553^2)))</x:f>
      </x:c>
      <x:c r="F1553" s="14">
        <x:f>IF(B1553="","", D1553 + $F$12*$F$9*(G1553)/IF(SQRT(G1553^2+H1553^2)=0,1,SQRT(G1553^2+H1553^2)))</x:f>
      </x:c>
      <x:c r="G1553" s="14">
        <x:f>IF(B1553="","", -$F$8*SIN(B1553) - $B$7*$F$6*SIN($F$6*B1553))</x:f>
      </x:c>
      <x:c r="H1553" s="14">
        <x:f>IF(B1553="","", $F$8*COS(B1553) - $B$7*$F$6*COS($F$6*B1553))</x:f>
      </x:c>
    </x:row>
    <x:row r="1554">
      <x:c r="A1554" s="13" t="n">
        <x:v>1535</x:v>
      </x:c>
      <x:c r="B1554" s="14">
        <x:f>IF($B$12&lt;1535,"",$B$13+(1535-1)*($B$14-$B$13)/($B$12-1))</x:f>
      </x:c>
      <x:c r="C1554" s="14">
        <x:f>IF(B1554="","",$F$8*COS(B1554) + $B$7*COS($F$6*B1554))</x:f>
      </x:c>
      <x:c r="D1554" s="14">
        <x:f>IF(B1554="","",$F$8*SIN(B1554) - $B$7*SIN($F$6*B1554))</x:f>
      </x:c>
      <x:c r="E1554" s="14">
        <x:f>IF(B1554="","", C1554 + $F$12*$F$9*(-H1554)/IF(SQRT(G1554^2+H1554^2)=0,1,SQRT(G1554^2+H1554^2)))</x:f>
      </x:c>
      <x:c r="F1554" s="14">
        <x:f>IF(B1554="","", D1554 + $F$12*$F$9*(G1554)/IF(SQRT(G1554^2+H1554^2)=0,1,SQRT(G1554^2+H1554^2)))</x:f>
      </x:c>
      <x:c r="G1554" s="14">
        <x:f>IF(B1554="","", -$F$8*SIN(B1554) - $B$7*$F$6*SIN($F$6*B1554))</x:f>
      </x:c>
      <x:c r="H1554" s="14">
        <x:f>IF(B1554="","", $F$8*COS(B1554) - $B$7*$F$6*COS($F$6*B1554))</x:f>
      </x:c>
    </x:row>
    <x:row r="1555">
      <x:c r="A1555" s="13" t="n">
        <x:v>1536</x:v>
      </x:c>
      <x:c r="B1555" s="14">
        <x:f>IF($B$12&lt;1536,"",$B$13+(1536-1)*($B$14-$B$13)/($B$12-1))</x:f>
      </x:c>
      <x:c r="C1555" s="14">
        <x:f>IF(B1555="","",$F$8*COS(B1555) + $B$7*COS($F$6*B1555))</x:f>
      </x:c>
      <x:c r="D1555" s="14">
        <x:f>IF(B1555="","",$F$8*SIN(B1555) - $B$7*SIN($F$6*B1555))</x:f>
      </x:c>
      <x:c r="E1555" s="14">
        <x:f>IF(B1555="","", C1555 + $F$12*$F$9*(-H1555)/IF(SQRT(G1555^2+H1555^2)=0,1,SQRT(G1555^2+H1555^2)))</x:f>
      </x:c>
      <x:c r="F1555" s="14">
        <x:f>IF(B1555="","", D1555 + $F$12*$F$9*(G1555)/IF(SQRT(G1555^2+H1555^2)=0,1,SQRT(G1555^2+H1555^2)))</x:f>
      </x:c>
      <x:c r="G1555" s="14">
        <x:f>IF(B1555="","", -$F$8*SIN(B1555) - $B$7*$F$6*SIN($F$6*B1555))</x:f>
      </x:c>
      <x:c r="H1555" s="14">
        <x:f>IF(B1555="","", $F$8*COS(B1555) - $B$7*$F$6*COS($F$6*B1555))</x:f>
      </x:c>
    </x:row>
    <x:row r="1556">
      <x:c r="A1556" s="13" t="n">
        <x:v>1537</x:v>
      </x:c>
      <x:c r="B1556" s="14">
        <x:f>IF($B$12&lt;1537,"",$B$13+(1537-1)*($B$14-$B$13)/($B$12-1))</x:f>
      </x:c>
      <x:c r="C1556" s="14">
        <x:f>IF(B1556="","",$F$8*COS(B1556) + $B$7*COS($F$6*B1556))</x:f>
      </x:c>
      <x:c r="D1556" s="14">
        <x:f>IF(B1556="","",$F$8*SIN(B1556) - $B$7*SIN($F$6*B1556))</x:f>
      </x:c>
      <x:c r="E1556" s="14">
        <x:f>IF(B1556="","", C1556 + $F$12*$F$9*(-H1556)/IF(SQRT(G1556^2+H1556^2)=0,1,SQRT(G1556^2+H1556^2)))</x:f>
      </x:c>
      <x:c r="F1556" s="14">
        <x:f>IF(B1556="","", D1556 + $F$12*$F$9*(G1556)/IF(SQRT(G1556^2+H1556^2)=0,1,SQRT(G1556^2+H1556^2)))</x:f>
      </x:c>
      <x:c r="G1556" s="14">
        <x:f>IF(B1556="","", -$F$8*SIN(B1556) - $B$7*$F$6*SIN($F$6*B1556))</x:f>
      </x:c>
      <x:c r="H1556" s="14">
        <x:f>IF(B1556="","", $F$8*COS(B1556) - $B$7*$F$6*COS($F$6*B1556))</x:f>
      </x:c>
    </x:row>
    <x:row r="1557">
      <x:c r="A1557" s="13" t="n">
        <x:v>1538</x:v>
      </x:c>
      <x:c r="B1557" s="14">
        <x:f>IF($B$12&lt;1538,"",$B$13+(1538-1)*($B$14-$B$13)/($B$12-1))</x:f>
      </x:c>
      <x:c r="C1557" s="14">
        <x:f>IF(B1557="","",$F$8*COS(B1557) + $B$7*COS($F$6*B1557))</x:f>
      </x:c>
      <x:c r="D1557" s="14">
        <x:f>IF(B1557="","",$F$8*SIN(B1557) - $B$7*SIN($F$6*B1557))</x:f>
      </x:c>
      <x:c r="E1557" s="14">
        <x:f>IF(B1557="","", C1557 + $F$12*$F$9*(-H1557)/IF(SQRT(G1557^2+H1557^2)=0,1,SQRT(G1557^2+H1557^2)))</x:f>
      </x:c>
      <x:c r="F1557" s="14">
        <x:f>IF(B1557="","", D1557 + $F$12*$F$9*(G1557)/IF(SQRT(G1557^2+H1557^2)=0,1,SQRT(G1557^2+H1557^2)))</x:f>
      </x:c>
      <x:c r="G1557" s="14">
        <x:f>IF(B1557="","", -$F$8*SIN(B1557) - $B$7*$F$6*SIN($F$6*B1557))</x:f>
      </x:c>
      <x:c r="H1557" s="14">
        <x:f>IF(B1557="","", $F$8*COS(B1557) - $B$7*$F$6*COS($F$6*B1557))</x:f>
      </x:c>
    </x:row>
    <x:row r="1558">
      <x:c r="A1558" s="13" t="n">
        <x:v>1539</x:v>
      </x:c>
      <x:c r="B1558" s="14">
        <x:f>IF($B$12&lt;1539,"",$B$13+(1539-1)*($B$14-$B$13)/($B$12-1))</x:f>
      </x:c>
      <x:c r="C1558" s="14">
        <x:f>IF(B1558="","",$F$8*COS(B1558) + $B$7*COS($F$6*B1558))</x:f>
      </x:c>
      <x:c r="D1558" s="14">
        <x:f>IF(B1558="","",$F$8*SIN(B1558) - $B$7*SIN($F$6*B1558))</x:f>
      </x:c>
      <x:c r="E1558" s="14">
        <x:f>IF(B1558="","", C1558 + $F$12*$F$9*(-H1558)/IF(SQRT(G1558^2+H1558^2)=0,1,SQRT(G1558^2+H1558^2)))</x:f>
      </x:c>
      <x:c r="F1558" s="14">
        <x:f>IF(B1558="","", D1558 + $F$12*$F$9*(G1558)/IF(SQRT(G1558^2+H1558^2)=0,1,SQRT(G1558^2+H1558^2)))</x:f>
      </x:c>
      <x:c r="G1558" s="14">
        <x:f>IF(B1558="","", -$F$8*SIN(B1558) - $B$7*$F$6*SIN($F$6*B1558))</x:f>
      </x:c>
      <x:c r="H1558" s="14">
        <x:f>IF(B1558="","", $F$8*COS(B1558) - $B$7*$F$6*COS($F$6*B1558))</x:f>
      </x:c>
    </x:row>
    <x:row r="1559">
      <x:c r="A1559" s="13" t="n">
        <x:v>1540</x:v>
      </x:c>
      <x:c r="B1559" s="14">
        <x:f>IF($B$12&lt;1540,"",$B$13+(1540-1)*($B$14-$B$13)/($B$12-1))</x:f>
      </x:c>
      <x:c r="C1559" s="14">
        <x:f>IF(B1559="","",$F$8*COS(B1559) + $B$7*COS($F$6*B1559))</x:f>
      </x:c>
      <x:c r="D1559" s="14">
        <x:f>IF(B1559="","",$F$8*SIN(B1559) - $B$7*SIN($F$6*B1559))</x:f>
      </x:c>
      <x:c r="E1559" s="14">
        <x:f>IF(B1559="","", C1559 + $F$12*$F$9*(-H1559)/IF(SQRT(G1559^2+H1559^2)=0,1,SQRT(G1559^2+H1559^2)))</x:f>
      </x:c>
      <x:c r="F1559" s="14">
        <x:f>IF(B1559="","", D1559 + $F$12*$F$9*(G1559)/IF(SQRT(G1559^2+H1559^2)=0,1,SQRT(G1559^2+H1559^2)))</x:f>
      </x:c>
      <x:c r="G1559" s="14">
        <x:f>IF(B1559="","", -$F$8*SIN(B1559) - $B$7*$F$6*SIN($F$6*B1559))</x:f>
      </x:c>
      <x:c r="H1559" s="14">
        <x:f>IF(B1559="","", $F$8*COS(B1559) - $B$7*$F$6*COS($F$6*B1559))</x:f>
      </x:c>
    </x:row>
    <x:row r="1560">
      <x:c r="A1560" s="13" t="n">
        <x:v>1541</x:v>
      </x:c>
      <x:c r="B1560" s="14">
        <x:f>IF($B$12&lt;1541,"",$B$13+(1541-1)*($B$14-$B$13)/($B$12-1))</x:f>
      </x:c>
      <x:c r="C1560" s="14">
        <x:f>IF(B1560="","",$F$8*COS(B1560) + $B$7*COS($F$6*B1560))</x:f>
      </x:c>
      <x:c r="D1560" s="14">
        <x:f>IF(B1560="","",$F$8*SIN(B1560) - $B$7*SIN($F$6*B1560))</x:f>
      </x:c>
      <x:c r="E1560" s="14">
        <x:f>IF(B1560="","", C1560 + $F$12*$F$9*(-H1560)/IF(SQRT(G1560^2+H1560^2)=0,1,SQRT(G1560^2+H1560^2)))</x:f>
      </x:c>
      <x:c r="F1560" s="14">
        <x:f>IF(B1560="","", D1560 + $F$12*$F$9*(G1560)/IF(SQRT(G1560^2+H1560^2)=0,1,SQRT(G1560^2+H1560^2)))</x:f>
      </x:c>
      <x:c r="G1560" s="14">
        <x:f>IF(B1560="","", -$F$8*SIN(B1560) - $B$7*$F$6*SIN($F$6*B1560))</x:f>
      </x:c>
      <x:c r="H1560" s="14">
        <x:f>IF(B1560="","", $F$8*COS(B1560) - $B$7*$F$6*COS($F$6*B1560))</x:f>
      </x:c>
    </x:row>
    <x:row r="1561">
      <x:c r="A1561" s="13" t="n">
        <x:v>1542</x:v>
      </x:c>
      <x:c r="B1561" s="14">
        <x:f>IF($B$12&lt;1542,"",$B$13+(1542-1)*($B$14-$B$13)/($B$12-1))</x:f>
      </x:c>
      <x:c r="C1561" s="14">
        <x:f>IF(B1561="","",$F$8*COS(B1561) + $B$7*COS($F$6*B1561))</x:f>
      </x:c>
      <x:c r="D1561" s="14">
        <x:f>IF(B1561="","",$F$8*SIN(B1561) - $B$7*SIN($F$6*B1561))</x:f>
      </x:c>
      <x:c r="E1561" s="14">
        <x:f>IF(B1561="","", C1561 + $F$12*$F$9*(-H1561)/IF(SQRT(G1561^2+H1561^2)=0,1,SQRT(G1561^2+H1561^2)))</x:f>
      </x:c>
      <x:c r="F1561" s="14">
        <x:f>IF(B1561="","", D1561 + $F$12*$F$9*(G1561)/IF(SQRT(G1561^2+H1561^2)=0,1,SQRT(G1561^2+H1561^2)))</x:f>
      </x:c>
      <x:c r="G1561" s="14">
        <x:f>IF(B1561="","", -$F$8*SIN(B1561) - $B$7*$F$6*SIN($F$6*B1561))</x:f>
      </x:c>
      <x:c r="H1561" s="14">
        <x:f>IF(B1561="","", $F$8*COS(B1561) - $B$7*$F$6*COS($F$6*B1561))</x:f>
      </x:c>
    </x:row>
    <x:row r="1562">
      <x:c r="A1562" s="13" t="n">
        <x:v>1543</x:v>
      </x:c>
      <x:c r="B1562" s="14">
        <x:f>IF($B$12&lt;1543,"",$B$13+(1543-1)*($B$14-$B$13)/($B$12-1))</x:f>
      </x:c>
      <x:c r="C1562" s="14">
        <x:f>IF(B1562="","",$F$8*COS(B1562) + $B$7*COS($F$6*B1562))</x:f>
      </x:c>
      <x:c r="D1562" s="14">
        <x:f>IF(B1562="","",$F$8*SIN(B1562) - $B$7*SIN($F$6*B1562))</x:f>
      </x:c>
      <x:c r="E1562" s="14">
        <x:f>IF(B1562="","", C1562 + $F$12*$F$9*(-H1562)/IF(SQRT(G1562^2+H1562^2)=0,1,SQRT(G1562^2+H1562^2)))</x:f>
      </x:c>
      <x:c r="F1562" s="14">
        <x:f>IF(B1562="","", D1562 + $F$12*$F$9*(G1562)/IF(SQRT(G1562^2+H1562^2)=0,1,SQRT(G1562^2+H1562^2)))</x:f>
      </x:c>
      <x:c r="G1562" s="14">
        <x:f>IF(B1562="","", -$F$8*SIN(B1562) - $B$7*$F$6*SIN($F$6*B1562))</x:f>
      </x:c>
      <x:c r="H1562" s="14">
        <x:f>IF(B1562="","", $F$8*COS(B1562) - $B$7*$F$6*COS($F$6*B1562))</x:f>
      </x:c>
    </x:row>
    <x:row r="1563">
      <x:c r="A1563" s="13" t="n">
        <x:v>1544</x:v>
      </x:c>
      <x:c r="B1563" s="14">
        <x:f>IF($B$12&lt;1544,"",$B$13+(1544-1)*($B$14-$B$13)/($B$12-1))</x:f>
      </x:c>
      <x:c r="C1563" s="14">
        <x:f>IF(B1563="","",$F$8*COS(B1563) + $B$7*COS($F$6*B1563))</x:f>
      </x:c>
      <x:c r="D1563" s="14">
        <x:f>IF(B1563="","",$F$8*SIN(B1563) - $B$7*SIN($F$6*B1563))</x:f>
      </x:c>
      <x:c r="E1563" s="14">
        <x:f>IF(B1563="","", C1563 + $F$12*$F$9*(-H1563)/IF(SQRT(G1563^2+H1563^2)=0,1,SQRT(G1563^2+H1563^2)))</x:f>
      </x:c>
      <x:c r="F1563" s="14">
        <x:f>IF(B1563="","", D1563 + $F$12*$F$9*(G1563)/IF(SQRT(G1563^2+H1563^2)=0,1,SQRT(G1563^2+H1563^2)))</x:f>
      </x:c>
      <x:c r="G1563" s="14">
        <x:f>IF(B1563="","", -$F$8*SIN(B1563) - $B$7*$F$6*SIN($F$6*B1563))</x:f>
      </x:c>
      <x:c r="H1563" s="14">
        <x:f>IF(B1563="","", $F$8*COS(B1563) - $B$7*$F$6*COS($F$6*B1563))</x:f>
      </x:c>
    </x:row>
    <x:row r="1564">
      <x:c r="A1564" s="13" t="n">
        <x:v>1545</x:v>
      </x:c>
      <x:c r="B1564" s="14">
        <x:f>IF($B$12&lt;1545,"",$B$13+(1545-1)*($B$14-$B$13)/($B$12-1))</x:f>
      </x:c>
      <x:c r="C1564" s="14">
        <x:f>IF(B1564="","",$F$8*COS(B1564) + $B$7*COS($F$6*B1564))</x:f>
      </x:c>
      <x:c r="D1564" s="14">
        <x:f>IF(B1564="","",$F$8*SIN(B1564) - $B$7*SIN($F$6*B1564))</x:f>
      </x:c>
      <x:c r="E1564" s="14">
        <x:f>IF(B1564="","", C1564 + $F$12*$F$9*(-H1564)/IF(SQRT(G1564^2+H1564^2)=0,1,SQRT(G1564^2+H1564^2)))</x:f>
      </x:c>
      <x:c r="F1564" s="14">
        <x:f>IF(B1564="","", D1564 + $F$12*$F$9*(G1564)/IF(SQRT(G1564^2+H1564^2)=0,1,SQRT(G1564^2+H1564^2)))</x:f>
      </x:c>
      <x:c r="G1564" s="14">
        <x:f>IF(B1564="","", -$F$8*SIN(B1564) - $B$7*$F$6*SIN($F$6*B1564))</x:f>
      </x:c>
      <x:c r="H1564" s="14">
        <x:f>IF(B1564="","", $F$8*COS(B1564) - $B$7*$F$6*COS($F$6*B1564))</x:f>
      </x:c>
    </x:row>
    <x:row r="1565">
      <x:c r="A1565" s="13" t="n">
        <x:v>1546</x:v>
      </x:c>
      <x:c r="B1565" s="14">
        <x:f>IF($B$12&lt;1546,"",$B$13+(1546-1)*($B$14-$B$13)/($B$12-1))</x:f>
      </x:c>
      <x:c r="C1565" s="14">
        <x:f>IF(B1565="","",$F$8*COS(B1565) + $B$7*COS($F$6*B1565))</x:f>
      </x:c>
      <x:c r="D1565" s="14">
        <x:f>IF(B1565="","",$F$8*SIN(B1565) - $B$7*SIN($F$6*B1565))</x:f>
      </x:c>
      <x:c r="E1565" s="14">
        <x:f>IF(B1565="","", C1565 + $F$12*$F$9*(-H1565)/IF(SQRT(G1565^2+H1565^2)=0,1,SQRT(G1565^2+H1565^2)))</x:f>
      </x:c>
      <x:c r="F1565" s="14">
        <x:f>IF(B1565="","", D1565 + $F$12*$F$9*(G1565)/IF(SQRT(G1565^2+H1565^2)=0,1,SQRT(G1565^2+H1565^2)))</x:f>
      </x:c>
      <x:c r="G1565" s="14">
        <x:f>IF(B1565="","", -$F$8*SIN(B1565) - $B$7*$F$6*SIN($F$6*B1565))</x:f>
      </x:c>
      <x:c r="H1565" s="14">
        <x:f>IF(B1565="","", $F$8*COS(B1565) - $B$7*$F$6*COS($F$6*B1565))</x:f>
      </x:c>
    </x:row>
    <x:row r="1566">
      <x:c r="A1566" s="13" t="n">
        <x:v>1547</x:v>
      </x:c>
      <x:c r="B1566" s="14">
        <x:f>IF($B$12&lt;1547,"",$B$13+(1547-1)*($B$14-$B$13)/($B$12-1))</x:f>
      </x:c>
      <x:c r="C1566" s="14">
        <x:f>IF(B1566="","",$F$8*COS(B1566) + $B$7*COS($F$6*B1566))</x:f>
      </x:c>
      <x:c r="D1566" s="14">
        <x:f>IF(B1566="","",$F$8*SIN(B1566) - $B$7*SIN($F$6*B1566))</x:f>
      </x:c>
      <x:c r="E1566" s="14">
        <x:f>IF(B1566="","", C1566 + $F$12*$F$9*(-H1566)/IF(SQRT(G1566^2+H1566^2)=0,1,SQRT(G1566^2+H1566^2)))</x:f>
      </x:c>
      <x:c r="F1566" s="14">
        <x:f>IF(B1566="","", D1566 + $F$12*$F$9*(G1566)/IF(SQRT(G1566^2+H1566^2)=0,1,SQRT(G1566^2+H1566^2)))</x:f>
      </x:c>
      <x:c r="G1566" s="14">
        <x:f>IF(B1566="","", -$F$8*SIN(B1566) - $B$7*$F$6*SIN($F$6*B1566))</x:f>
      </x:c>
      <x:c r="H1566" s="14">
        <x:f>IF(B1566="","", $F$8*COS(B1566) - $B$7*$F$6*COS($F$6*B1566))</x:f>
      </x:c>
    </x:row>
    <x:row r="1567">
      <x:c r="A1567" s="13" t="n">
        <x:v>1548</x:v>
      </x:c>
      <x:c r="B1567" s="14">
        <x:f>IF($B$12&lt;1548,"",$B$13+(1548-1)*($B$14-$B$13)/($B$12-1))</x:f>
      </x:c>
      <x:c r="C1567" s="14">
        <x:f>IF(B1567="","",$F$8*COS(B1567) + $B$7*COS($F$6*B1567))</x:f>
      </x:c>
      <x:c r="D1567" s="14">
        <x:f>IF(B1567="","",$F$8*SIN(B1567) - $B$7*SIN($F$6*B1567))</x:f>
      </x:c>
      <x:c r="E1567" s="14">
        <x:f>IF(B1567="","", C1567 + $F$12*$F$9*(-H1567)/IF(SQRT(G1567^2+H1567^2)=0,1,SQRT(G1567^2+H1567^2)))</x:f>
      </x:c>
      <x:c r="F1567" s="14">
        <x:f>IF(B1567="","", D1567 + $F$12*$F$9*(G1567)/IF(SQRT(G1567^2+H1567^2)=0,1,SQRT(G1567^2+H1567^2)))</x:f>
      </x:c>
      <x:c r="G1567" s="14">
        <x:f>IF(B1567="","", -$F$8*SIN(B1567) - $B$7*$F$6*SIN($F$6*B1567))</x:f>
      </x:c>
      <x:c r="H1567" s="14">
        <x:f>IF(B1567="","", $F$8*COS(B1567) - $B$7*$F$6*COS($F$6*B1567))</x:f>
      </x:c>
    </x:row>
    <x:row r="1568">
      <x:c r="A1568" s="13" t="n">
        <x:v>1549</x:v>
      </x:c>
      <x:c r="B1568" s="14">
        <x:f>IF($B$12&lt;1549,"",$B$13+(1549-1)*($B$14-$B$13)/($B$12-1))</x:f>
      </x:c>
      <x:c r="C1568" s="14">
        <x:f>IF(B1568="","",$F$8*COS(B1568) + $B$7*COS($F$6*B1568))</x:f>
      </x:c>
      <x:c r="D1568" s="14">
        <x:f>IF(B1568="","",$F$8*SIN(B1568) - $B$7*SIN($F$6*B1568))</x:f>
      </x:c>
      <x:c r="E1568" s="14">
        <x:f>IF(B1568="","", C1568 + $F$12*$F$9*(-H1568)/IF(SQRT(G1568^2+H1568^2)=0,1,SQRT(G1568^2+H1568^2)))</x:f>
      </x:c>
      <x:c r="F1568" s="14">
        <x:f>IF(B1568="","", D1568 + $F$12*$F$9*(G1568)/IF(SQRT(G1568^2+H1568^2)=0,1,SQRT(G1568^2+H1568^2)))</x:f>
      </x:c>
      <x:c r="G1568" s="14">
        <x:f>IF(B1568="","", -$F$8*SIN(B1568) - $B$7*$F$6*SIN($F$6*B1568))</x:f>
      </x:c>
      <x:c r="H1568" s="14">
        <x:f>IF(B1568="","", $F$8*COS(B1568) - $B$7*$F$6*COS($F$6*B1568))</x:f>
      </x:c>
    </x:row>
    <x:row r="1569">
      <x:c r="A1569" s="13" t="n">
        <x:v>1550</x:v>
      </x:c>
      <x:c r="B1569" s="14">
        <x:f>IF($B$12&lt;1550,"",$B$13+(1550-1)*($B$14-$B$13)/($B$12-1))</x:f>
      </x:c>
      <x:c r="C1569" s="14">
        <x:f>IF(B1569="","",$F$8*COS(B1569) + $B$7*COS($F$6*B1569))</x:f>
      </x:c>
      <x:c r="D1569" s="14">
        <x:f>IF(B1569="","",$F$8*SIN(B1569) - $B$7*SIN($F$6*B1569))</x:f>
      </x:c>
      <x:c r="E1569" s="14">
        <x:f>IF(B1569="","", C1569 + $F$12*$F$9*(-H1569)/IF(SQRT(G1569^2+H1569^2)=0,1,SQRT(G1569^2+H1569^2)))</x:f>
      </x:c>
      <x:c r="F1569" s="14">
        <x:f>IF(B1569="","", D1569 + $F$12*$F$9*(G1569)/IF(SQRT(G1569^2+H1569^2)=0,1,SQRT(G1569^2+H1569^2)))</x:f>
      </x:c>
      <x:c r="G1569" s="14">
        <x:f>IF(B1569="","", -$F$8*SIN(B1569) - $B$7*$F$6*SIN($F$6*B1569))</x:f>
      </x:c>
      <x:c r="H1569" s="14">
        <x:f>IF(B1569="","", $F$8*COS(B1569) - $B$7*$F$6*COS($F$6*B1569))</x:f>
      </x:c>
    </x:row>
    <x:row r="1570">
      <x:c r="A1570" s="13" t="n">
        <x:v>1551</x:v>
      </x:c>
      <x:c r="B1570" s="14">
        <x:f>IF($B$12&lt;1551,"",$B$13+(1551-1)*($B$14-$B$13)/($B$12-1))</x:f>
      </x:c>
      <x:c r="C1570" s="14">
        <x:f>IF(B1570="","",$F$8*COS(B1570) + $B$7*COS($F$6*B1570))</x:f>
      </x:c>
      <x:c r="D1570" s="14">
        <x:f>IF(B1570="","",$F$8*SIN(B1570) - $B$7*SIN($F$6*B1570))</x:f>
      </x:c>
      <x:c r="E1570" s="14">
        <x:f>IF(B1570="","", C1570 + $F$12*$F$9*(-H1570)/IF(SQRT(G1570^2+H1570^2)=0,1,SQRT(G1570^2+H1570^2)))</x:f>
      </x:c>
      <x:c r="F1570" s="14">
        <x:f>IF(B1570="","", D1570 + $F$12*$F$9*(G1570)/IF(SQRT(G1570^2+H1570^2)=0,1,SQRT(G1570^2+H1570^2)))</x:f>
      </x:c>
      <x:c r="G1570" s="14">
        <x:f>IF(B1570="","", -$F$8*SIN(B1570) - $B$7*$F$6*SIN($F$6*B1570))</x:f>
      </x:c>
      <x:c r="H1570" s="14">
        <x:f>IF(B1570="","", $F$8*COS(B1570) - $B$7*$F$6*COS($F$6*B1570))</x:f>
      </x:c>
    </x:row>
    <x:row r="1571">
      <x:c r="A1571" s="13" t="n">
        <x:v>1552</x:v>
      </x:c>
      <x:c r="B1571" s="14">
        <x:f>IF($B$12&lt;1552,"",$B$13+(1552-1)*($B$14-$B$13)/($B$12-1))</x:f>
      </x:c>
      <x:c r="C1571" s="14">
        <x:f>IF(B1571="","",$F$8*COS(B1571) + $B$7*COS($F$6*B1571))</x:f>
      </x:c>
      <x:c r="D1571" s="14">
        <x:f>IF(B1571="","",$F$8*SIN(B1571) - $B$7*SIN($F$6*B1571))</x:f>
      </x:c>
      <x:c r="E1571" s="14">
        <x:f>IF(B1571="","", C1571 + $F$12*$F$9*(-H1571)/IF(SQRT(G1571^2+H1571^2)=0,1,SQRT(G1571^2+H1571^2)))</x:f>
      </x:c>
      <x:c r="F1571" s="14">
        <x:f>IF(B1571="","", D1571 + $F$12*$F$9*(G1571)/IF(SQRT(G1571^2+H1571^2)=0,1,SQRT(G1571^2+H1571^2)))</x:f>
      </x:c>
      <x:c r="G1571" s="14">
        <x:f>IF(B1571="","", -$F$8*SIN(B1571) - $B$7*$F$6*SIN($F$6*B1571))</x:f>
      </x:c>
      <x:c r="H1571" s="14">
        <x:f>IF(B1571="","", $F$8*COS(B1571) - $B$7*$F$6*COS($F$6*B1571))</x:f>
      </x:c>
    </x:row>
    <x:row r="1572">
      <x:c r="A1572" s="13" t="n">
        <x:v>1553</x:v>
      </x:c>
      <x:c r="B1572" s="14">
        <x:f>IF($B$12&lt;1553,"",$B$13+(1553-1)*($B$14-$B$13)/($B$12-1))</x:f>
      </x:c>
      <x:c r="C1572" s="14">
        <x:f>IF(B1572="","",$F$8*COS(B1572) + $B$7*COS($F$6*B1572))</x:f>
      </x:c>
      <x:c r="D1572" s="14">
        <x:f>IF(B1572="","",$F$8*SIN(B1572) - $B$7*SIN($F$6*B1572))</x:f>
      </x:c>
      <x:c r="E1572" s="14">
        <x:f>IF(B1572="","", C1572 + $F$12*$F$9*(-H1572)/IF(SQRT(G1572^2+H1572^2)=0,1,SQRT(G1572^2+H1572^2)))</x:f>
      </x:c>
      <x:c r="F1572" s="14">
        <x:f>IF(B1572="","", D1572 + $F$12*$F$9*(G1572)/IF(SQRT(G1572^2+H1572^2)=0,1,SQRT(G1572^2+H1572^2)))</x:f>
      </x:c>
      <x:c r="G1572" s="14">
        <x:f>IF(B1572="","", -$F$8*SIN(B1572) - $B$7*$F$6*SIN($F$6*B1572))</x:f>
      </x:c>
      <x:c r="H1572" s="14">
        <x:f>IF(B1572="","", $F$8*COS(B1572) - $B$7*$F$6*COS($F$6*B1572))</x:f>
      </x:c>
    </x:row>
    <x:row r="1573">
      <x:c r="A1573" s="13" t="n">
        <x:v>1554</x:v>
      </x:c>
      <x:c r="B1573" s="14">
        <x:f>IF($B$12&lt;1554,"",$B$13+(1554-1)*($B$14-$B$13)/($B$12-1))</x:f>
      </x:c>
      <x:c r="C1573" s="14">
        <x:f>IF(B1573="","",$F$8*COS(B1573) + $B$7*COS($F$6*B1573))</x:f>
      </x:c>
      <x:c r="D1573" s="14">
        <x:f>IF(B1573="","",$F$8*SIN(B1573) - $B$7*SIN($F$6*B1573))</x:f>
      </x:c>
      <x:c r="E1573" s="14">
        <x:f>IF(B1573="","", C1573 + $F$12*$F$9*(-H1573)/IF(SQRT(G1573^2+H1573^2)=0,1,SQRT(G1573^2+H1573^2)))</x:f>
      </x:c>
      <x:c r="F1573" s="14">
        <x:f>IF(B1573="","", D1573 + $F$12*$F$9*(G1573)/IF(SQRT(G1573^2+H1573^2)=0,1,SQRT(G1573^2+H1573^2)))</x:f>
      </x:c>
      <x:c r="G1573" s="14">
        <x:f>IF(B1573="","", -$F$8*SIN(B1573) - $B$7*$F$6*SIN($F$6*B1573))</x:f>
      </x:c>
      <x:c r="H1573" s="14">
        <x:f>IF(B1573="","", $F$8*COS(B1573) - $B$7*$F$6*COS($F$6*B1573))</x:f>
      </x:c>
    </x:row>
    <x:row r="1574">
      <x:c r="A1574" s="13" t="n">
        <x:v>1555</x:v>
      </x:c>
      <x:c r="B1574" s="14">
        <x:f>IF($B$12&lt;1555,"",$B$13+(1555-1)*($B$14-$B$13)/($B$12-1))</x:f>
      </x:c>
      <x:c r="C1574" s="14">
        <x:f>IF(B1574="","",$F$8*COS(B1574) + $B$7*COS($F$6*B1574))</x:f>
      </x:c>
      <x:c r="D1574" s="14">
        <x:f>IF(B1574="","",$F$8*SIN(B1574) - $B$7*SIN($F$6*B1574))</x:f>
      </x:c>
      <x:c r="E1574" s="14">
        <x:f>IF(B1574="","", C1574 + $F$12*$F$9*(-H1574)/IF(SQRT(G1574^2+H1574^2)=0,1,SQRT(G1574^2+H1574^2)))</x:f>
      </x:c>
      <x:c r="F1574" s="14">
        <x:f>IF(B1574="","", D1574 + $F$12*$F$9*(G1574)/IF(SQRT(G1574^2+H1574^2)=0,1,SQRT(G1574^2+H1574^2)))</x:f>
      </x:c>
      <x:c r="G1574" s="14">
        <x:f>IF(B1574="","", -$F$8*SIN(B1574) - $B$7*$F$6*SIN($F$6*B1574))</x:f>
      </x:c>
      <x:c r="H1574" s="14">
        <x:f>IF(B1574="","", $F$8*COS(B1574) - $B$7*$F$6*COS($F$6*B1574))</x:f>
      </x:c>
    </x:row>
    <x:row r="1575">
      <x:c r="A1575" s="13" t="n">
        <x:v>1556</x:v>
      </x:c>
      <x:c r="B1575" s="14">
        <x:f>IF($B$12&lt;1556,"",$B$13+(1556-1)*($B$14-$B$13)/($B$12-1))</x:f>
      </x:c>
      <x:c r="C1575" s="14">
        <x:f>IF(B1575="","",$F$8*COS(B1575) + $B$7*COS($F$6*B1575))</x:f>
      </x:c>
      <x:c r="D1575" s="14">
        <x:f>IF(B1575="","",$F$8*SIN(B1575) - $B$7*SIN($F$6*B1575))</x:f>
      </x:c>
      <x:c r="E1575" s="14">
        <x:f>IF(B1575="","", C1575 + $F$12*$F$9*(-H1575)/IF(SQRT(G1575^2+H1575^2)=0,1,SQRT(G1575^2+H1575^2)))</x:f>
      </x:c>
      <x:c r="F1575" s="14">
        <x:f>IF(B1575="","", D1575 + $F$12*$F$9*(G1575)/IF(SQRT(G1575^2+H1575^2)=0,1,SQRT(G1575^2+H1575^2)))</x:f>
      </x:c>
      <x:c r="G1575" s="14">
        <x:f>IF(B1575="","", -$F$8*SIN(B1575) - $B$7*$F$6*SIN($F$6*B1575))</x:f>
      </x:c>
      <x:c r="H1575" s="14">
        <x:f>IF(B1575="","", $F$8*COS(B1575) - $B$7*$F$6*COS($F$6*B1575))</x:f>
      </x:c>
    </x:row>
    <x:row r="1576">
      <x:c r="A1576" s="13" t="n">
        <x:v>1557</x:v>
      </x:c>
      <x:c r="B1576" s="14">
        <x:f>IF($B$12&lt;1557,"",$B$13+(1557-1)*($B$14-$B$13)/($B$12-1))</x:f>
      </x:c>
      <x:c r="C1576" s="14">
        <x:f>IF(B1576="","",$F$8*COS(B1576) + $B$7*COS($F$6*B1576))</x:f>
      </x:c>
      <x:c r="D1576" s="14">
        <x:f>IF(B1576="","",$F$8*SIN(B1576) - $B$7*SIN($F$6*B1576))</x:f>
      </x:c>
      <x:c r="E1576" s="14">
        <x:f>IF(B1576="","", C1576 + $F$12*$F$9*(-H1576)/IF(SQRT(G1576^2+H1576^2)=0,1,SQRT(G1576^2+H1576^2)))</x:f>
      </x:c>
      <x:c r="F1576" s="14">
        <x:f>IF(B1576="","", D1576 + $F$12*$F$9*(G1576)/IF(SQRT(G1576^2+H1576^2)=0,1,SQRT(G1576^2+H1576^2)))</x:f>
      </x:c>
      <x:c r="G1576" s="14">
        <x:f>IF(B1576="","", -$F$8*SIN(B1576) - $B$7*$F$6*SIN($F$6*B1576))</x:f>
      </x:c>
      <x:c r="H1576" s="14">
        <x:f>IF(B1576="","", $F$8*COS(B1576) - $B$7*$F$6*COS($F$6*B1576))</x:f>
      </x:c>
    </x:row>
    <x:row r="1577">
      <x:c r="A1577" s="13" t="n">
        <x:v>1558</x:v>
      </x:c>
      <x:c r="B1577" s="14">
        <x:f>IF($B$12&lt;1558,"",$B$13+(1558-1)*($B$14-$B$13)/($B$12-1))</x:f>
      </x:c>
      <x:c r="C1577" s="14">
        <x:f>IF(B1577="","",$F$8*COS(B1577) + $B$7*COS($F$6*B1577))</x:f>
      </x:c>
      <x:c r="D1577" s="14">
        <x:f>IF(B1577="","",$F$8*SIN(B1577) - $B$7*SIN($F$6*B1577))</x:f>
      </x:c>
      <x:c r="E1577" s="14">
        <x:f>IF(B1577="","", C1577 + $F$12*$F$9*(-H1577)/IF(SQRT(G1577^2+H1577^2)=0,1,SQRT(G1577^2+H1577^2)))</x:f>
      </x:c>
      <x:c r="F1577" s="14">
        <x:f>IF(B1577="","", D1577 + $F$12*$F$9*(G1577)/IF(SQRT(G1577^2+H1577^2)=0,1,SQRT(G1577^2+H1577^2)))</x:f>
      </x:c>
      <x:c r="G1577" s="14">
        <x:f>IF(B1577="","", -$F$8*SIN(B1577) - $B$7*$F$6*SIN($F$6*B1577))</x:f>
      </x:c>
      <x:c r="H1577" s="14">
        <x:f>IF(B1577="","", $F$8*COS(B1577) - $B$7*$F$6*COS($F$6*B1577))</x:f>
      </x:c>
    </x:row>
    <x:row r="1578">
      <x:c r="A1578" s="13" t="n">
        <x:v>1559</x:v>
      </x:c>
      <x:c r="B1578" s="14">
        <x:f>IF($B$12&lt;1559,"",$B$13+(1559-1)*($B$14-$B$13)/($B$12-1))</x:f>
      </x:c>
      <x:c r="C1578" s="14">
        <x:f>IF(B1578="","",$F$8*COS(B1578) + $B$7*COS($F$6*B1578))</x:f>
      </x:c>
      <x:c r="D1578" s="14">
        <x:f>IF(B1578="","",$F$8*SIN(B1578) - $B$7*SIN($F$6*B1578))</x:f>
      </x:c>
      <x:c r="E1578" s="14">
        <x:f>IF(B1578="","", C1578 + $F$12*$F$9*(-H1578)/IF(SQRT(G1578^2+H1578^2)=0,1,SQRT(G1578^2+H1578^2)))</x:f>
      </x:c>
      <x:c r="F1578" s="14">
        <x:f>IF(B1578="","", D1578 + $F$12*$F$9*(G1578)/IF(SQRT(G1578^2+H1578^2)=0,1,SQRT(G1578^2+H1578^2)))</x:f>
      </x:c>
      <x:c r="G1578" s="14">
        <x:f>IF(B1578="","", -$F$8*SIN(B1578) - $B$7*$F$6*SIN($F$6*B1578))</x:f>
      </x:c>
      <x:c r="H1578" s="14">
        <x:f>IF(B1578="","", $F$8*COS(B1578) - $B$7*$F$6*COS($F$6*B1578))</x:f>
      </x:c>
    </x:row>
    <x:row r="1579">
      <x:c r="A1579" s="13" t="n">
        <x:v>1560</x:v>
      </x:c>
      <x:c r="B1579" s="14">
        <x:f>IF($B$12&lt;1560,"",$B$13+(1560-1)*($B$14-$B$13)/($B$12-1))</x:f>
      </x:c>
      <x:c r="C1579" s="14">
        <x:f>IF(B1579="","",$F$8*COS(B1579) + $B$7*COS($F$6*B1579))</x:f>
      </x:c>
      <x:c r="D1579" s="14">
        <x:f>IF(B1579="","",$F$8*SIN(B1579) - $B$7*SIN($F$6*B1579))</x:f>
      </x:c>
      <x:c r="E1579" s="14">
        <x:f>IF(B1579="","", C1579 + $F$12*$F$9*(-H1579)/IF(SQRT(G1579^2+H1579^2)=0,1,SQRT(G1579^2+H1579^2)))</x:f>
      </x:c>
      <x:c r="F1579" s="14">
        <x:f>IF(B1579="","", D1579 + $F$12*$F$9*(G1579)/IF(SQRT(G1579^2+H1579^2)=0,1,SQRT(G1579^2+H1579^2)))</x:f>
      </x:c>
      <x:c r="G1579" s="14">
        <x:f>IF(B1579="","", -$F$8*SIN(B1579) - $B$7*$F$6*SIN($F$6*B1579))</x:f>
      </x:c>
      <x:c r="H1579" s="14">
        <x:f>IF(B1579="","", $F$8*COS(B1579) - $B$7*$F$6*COS($F$6*B1579))</x:f>
      </x:c>
    </x:row>
    <x:row r="1580">
      <x:c r="A1580" s="13" t="n">
        <x:v>1561</x:v>
      </x:c>
      <x:c r="B1580" s="14">
        <x:f>IF($B$12&lt;1561,"",$B$13+(1561-1)*($B$14-$B$13)/($B$12-1))</x:f>
      </x:c>
      <x:c r="C1580" s="14">
        <x:f>IF(B1580="","",$F$8*COS(B1580) + $B$7*COS($F$6*B1580))</x:f>
      </x:c>
      <x:c r="D1580" s="14">
        <x:f>IF(B1580="","",$F$8*SIN(B1580) - $B$7*SIN($F$6*B1580))</x:f>
      </x:c>
      <x:c r="E1580" s="14">
        <x:f>IF(B1580="","", C1580 + $F$12*$F$9*(-H1580)/IF(SQRT(G1580^2+H1580^2)=0,1,SQRT(G1580^2+H1580^2)))</x:f>
      </x:c>
      <x:c r="F1580" s="14">
        <x:f>IF(B1580="","", D1580 + $F$12*$F$9*(G1580)/IF(SQRT(G1580^2+H1580^2)=0,1,SQRT(G1580^2+H1580^2)))</x:f>
      </x:c>
      <x:c r="G1580" s="14">
        <x:f>IF(B1580="","", -$F$8*SIN(B1580) - $B$7*$F$6*SIN($F$6*B1580))</x:f>
      </x:c>
      <x:c r="H1580" s="14">
        <x:f>IF(B1580="","", $F$8*COS(B1580) - $B$7*$F$6*COS($F$6*B1580))</x:f>
      </x:c>
    </x:row>
    <x:row r="1581">
      <x:c r="A1581" s="13" t="n">
        <x:v>1562</x:v>
      </x:c>
      <x:c r="B1581" s="14">
        <x:f>IF($B$12&lt;1562,"",$B$13+(1562-1)*($B$14-$B$13)/($B$12-1))</x:f>
      </x:c>
      <x:c r="C1581" s="14">
        <x:f>IF(B1581="","",$F$8*COS(B1581) + $B$7*COS($F$6*B1581))</x:f>
      </x:c>
      <x:c r="D1581" s="14">
        <x:f>IF(B1581="","",$F$8*SIN(B1581) - $B$7*SIN($F$6*B1581))</x:f>
      </x:c>
      <x:c r="E1581" s="14">
        <x:f>IF(B1581="","", C1581 + $F$12*$F$9*(-H1581)/IF(SQRT(G1581^2+H1581^2)=0,1,SQRT(G1581^2+H1581^2)))</x:f>
      </x:c>
      <x:c r="F1581" s="14">
        <x:f>IF(B1581="","", D1581 + $F$12*$F$9*(G1581)/IF(SQRT(G1581^2+H1581^2)=0,1,SQRT(G1581^2+H1581^2)))</x:f>
      </x:c>
      <x:c r="G1581" s="14">
        <x:f>IF(B1581="","", -$F$8*SIN(B1581) - $B$7*$F$6*SIN($F$6*B1581))</x:f>
      </x:c>
      <x:c r="H1581" s="14">
        <x:f>IF(B1581="","", $F$8*COS(B1581) - $B$7*$F$6*COS($F$6*B1581))</x:f>
      </x:c>
    </x:row>
    <x:row r="1582">
      <x:c r="A1582" s="13" t="n">
        <x:v>1563</x:v>
      </x:c>
      <x:c r="B1582" s="14">
        <x:f>IF($B$12&lt;1563,"",$B$13+(1563-1)*($B$14-$B$13)/($B$12-1))</x:f>
      </x:c>
      <x:c r="C1582" s="14">
        <x:f>IF(B1582="","",$F$8*COS(B1582) + $B$7*COS($F$6*B1582))</x:f>
      </x:c>
      <x:c r="D1582" s="14">
        <x:f>IF(B1582="","",$F$8*SIN(B1582) - $B$7*SIN($F$6*B1582))</x:f>
      </x:c>
      <x:c r="E1582" s="14">
        <x:f>IF(B1582="","", C1582 + $F$12*$F$9*(-H1582)/IF(SQRT(G1582^2+H1582^2)=0,1,SQRT(G1582^2+H1582^2)))</x:f>
      </x:c>
      <x:c r="F1582" s="14">
        <x:f>IF(B1582="","", D1582 + $F$12*$F$9*(G1582)/IF(SQRT(G1582^2+H1582^2)=0,1,SQRT(G1582^2+H1582^2)))</x:f>
      </x:c>
      <x:c r="G1582" s="14">
        <x:f>IF(B1582="","", -$F$8*SIN(B1582) - $B$7*$F$6*SIN($F$6*B1582))</x:f>
      </x:c>
      <x:c r="H1582" s="14">
        <x:f>IF(B1582="","", $F$8*COS(B1582) - $B$7*$F$6*COS($F$6*B1582))</x:f>
      </x:c>
    </x:row>
    <x:row r="1583">
      <x:c r="A1583" s="13" t="n">
        <x:v>1564</x:v>
      </x:c>
      <x:c r="B1583" s="14">
        <x:f>IF($B$12&lt;1564,"",$B$13+(1564-1)*($B$14-$B$13)/($B$12-1))</x:f>
      </x:c>
      <x:c r="C1583" s="14">
        <x:f>IF(B1583="","",$F$8*COS(B1583) + $B$7*COS($F$6*B1583))</x:f>
      </x:c>
      <x:c r="D1583" s="14">
        <x:f>IF(B1583="","",$F$8*SIN(B1583) - $B$7*SIN($F$6*B1583))</x:f>
      </x:c>
      <x:c r="E1583" s="14">
        <x:f>IF(B1583="","", C1583 + $F$12*$F$9*(-H1583)/IF(SQRT(G1583^2+H1583^2)=0,1,SQRT(G1583^2+H1583^2)))</x:f>
      </x:c>
      <x:c r="F1583" s="14">
        <x:f>IF(B1583="","", D1583 + $F$12*$F$9*(G1583)/IF(SQRT(G1583^2+H1583^2)=0,1,SQRT(G1583^2+H1583^2)))</x:f>
      </x:c>
      <x:c r="G1583" s="14">
        <x:f>IF(B1583="","", -$F$8*SIN(B1583) - $B$7*$F$6*SIN($F$6*B1583))</x:f>
      </x:c>
      <x:c r="H1583" s="14">
        <x:f>IF(B1583="","", $F$8*COS(B1583) - $B$7*$F$6*COS($F$6*B1583))</x:f>
      </x:c>
    </x:row>
    <x:row r="1584">
      <x:c r="A1584" s="13" t="n">
        <x:v>1565</x:v>
      </x:c>
      <x:c r="B1584" s="14">
        <x:f>IF($B$12&lt;1565,"",$B$13+(1565-1)*($B$14-$B$13)/($B$12-1))</x:f>
      </x:c>
      <x:c r="C1584" s="14">
        <x:f>IF(B1584="","",$F$8*COS(B1584) + $B$7*COS($F$6*B1584))</x:f>
      </x:c>
      <x:c r="D1584" s="14">
        <x:f>IF(B1584="","",$F$8*SIN(B1584) - $B$7*SIN($F$6*B1584))</x:f>
      </x:c>
      <x:c r="E1584" s="14">
        <x:f>IF(B1584="","", C1584 + $F$12*$F$9*(-H1584)/IF(SQRT(G1584^2+H1584^2)=0,1,SQRT(G1584^2+H1584^2)))</x:f>
      </x:c>
      <x:c r="F1584" s="14">
        <x:f>IF(B1584="","", D1584 + $F$12*$F$9*(G1584)/IF(SQRT(G1584^2+H1584^2)=0,1,SQRT(G1584^2+H1584^2)))</x:f>
      </x:c>
      <x:c r="G1584" s="14">
        <x:f>IF(B1584="","", -$F$8*SIN(B1584) - $B$7*$F$6*SIN($F$6*B1584))</x:f>
      </x:c>
      <x:c r="H1584" s="14">
        <x:f>IF(B1584="","", $F$8*COS(B1584) - $B$7*$F$6*COS($F$6*B1584))</x:f>
      </x:c>
    </x:row>
    <x:row r="1585">
      <x:c r="A1585" s="13" t="n">
        <x:v>1566</x:v>
      </x:c>
      <x:c r="B1585" s="14">
        <x:f>IF($B$12&lt;1566,"",$B$13+(1566-1)*($B$14-$B$13)/($B$12-1))</x:f>
      </x:c>
      <x:c r="C1585" s="14">
        <x:f>IF(B1585="","",$F$8*COS(B1585) + $B$7*COS($F$6*B1585))</x:f>
      </x:c>
      <x:c r="D1585" s="14">
        <x:f>IF(B1585="","",$F$8*SIN(B1585) - $B$7*SIN($F$6*B1585))</x:f>
      </x:c>
      <x:c r="E1585" s="14">
        <x:f>IF(B1585="","", C1585 + $F$12*$F$9*(-H1585)/IF(SQRT(G1585^2+H1585^2)=0,1,SQRT(G1585^2+H1585^2)))</x:f>
      </x:c>
      <x:c r="F1585" s="14">
        <x:f>IF(B1585="","", D1585 + $F$12*$F$9*(G1585)/IF(SQRT(G1585^2+H1585^2)=0,1,SQRT(G1585^2+H1585^2)))</x:f>
      </x:c>
      <x:c r="G1585" s="14">
        <x:f>IF(B1585="","", -$F$8*SIN(B1585) - $B$7*$F$6*SIN($F$6*B1585))</x:f>
      </x:c>
      <x:c r="H1585" s="14">
        <x:f>IF(B1585="","", $F$8*COS(B1585) - $B$7*$F$6*COS($F$6*B1585))</x:f>
      </x:c>
    </x:row>
    <x:row r="1586">
      <x:c r="A1586" s="13" t="n">
        <x:v>1567</x:v>
      </x:c>
      <x:c r="B1586" s="14">
        <x:f>IF($B$12&lt;1567,"",$B$13+(1567-1)*($B$14-$B$13)/($B$12-1))</x:f>
      </x:c>
      <x:c r="C1586" s="14">
        <x:f>IF(B1586="","",$F$8*COS(B1586) + $B$7*COS($F$6*B1586))</x:f>
      </x:c>
      <x:c r="D1586" s="14">
        <x:f>IF(B1586="","",$F$8*SIN(B1586) - $B$7*SIN($F$6*B1586))</x:f>
      </x:c>
      <x:c r="E1586" s="14">
        <x:f>IF(B1586="","", C1586 + $F$12*$F$9*(-H1586)/IF(SQRT(G1586^2+H1586^2)=0,1,SQRT(G1586^2+H1586^2)))</x:f>
      </x:c>
      <x:c r="F1586" s="14">
        <x:f>IF(B1586="","", D1586 + $F$12*$F$9*(G1586)/IF(SQRT(G1586^2+H1586^2)=0,1,SQRT(G1586^2+H1586^2)))</x:f>
      </x:c>
      <x:c r="G1586" s="14">
        <x:f>IF(B1586="","", -$F$8*SIN(B1586) - $B$7*$F$6*SIN($F$6*B1586))</x:f>
      </x:c>
      <x:c r="H1586" s="14">
        <x:f>IF(B1586="","", $F$8*COS(B1586) - $B$7*$F$6*COS($F$6*B1586))</x:f>
      </x:c>
    </x:row>
    <x:row r="1587">
      <x:c r="A1587" s="13" t="n">
        <x:v>1568</x:v>
      </x:c>
      <x:c r="B1587" s="14">
        <x:f>IF($B$12&lt;1568,"",$B$13+(1568-1)*($B$14-$B$13)/($B$12-1))</x:f>
      </x:c>
      <x:c r="C1587" s="14">
        <x:f>IF(B1587="","",$F$8*COS(B1587) + $B$7*COS($F$6*B1587))</x:f>
      </x:c>
      <x:c r="D1587" s="14">
        <x:f>IF(B1587="","",$F$8*SIN(B1587) - $B$7*SIN($F$6*B1587))</x:f>
      </x:c>
      <x:c r="E1587" s="14">
        <x:f>IF(B1587="","", C1587 + $F$12*$F$9*(-H1587)/IF(SQRT(G1587^2+H1587^2)=0,1,SQRT(G1587^2+H1587^2)))</x:f>
      </x:c>
      <x:c r="F1587" s="14">
        <x:f>IF(B1587="","", D1587 + $F$12*$F$9*(G1587)/IF(SQRT(G1587^2+H1587^2)=0,1,SQRT(G1587^2+H1587^2)))</x:f>
      </x:c>
      <x:c r="G1587" s="14">
        <x:f>IF(B1587="","", -$F$8*SIN(B1587) - $B$7*$F$6*SIN($F$6*B1587))</x:f>
      </x:c>
      <x:c r="H1587" s="14">
        <x:f>IF(B1587="","", $F$8*COS(B1587) - $B$7*$F$6*COS($F$6*B1587))</x:f>
      </x:c>
    </x:row>
    <x:row r="1588">
      <x:c r="A1588" s="13" t="n">
        <x:v>1569</x:v>
      </x:c>
      <x:c r="B1588" s="14">
        <x:f>IF($B$12&lt;1569,"",$B$13+(1569-1)*($B$14-$B$13)/($B$12-1))</x:f>
      </x:c>
      <x:c r="C1588" s="14">
        <x:f>IF(B1588="","",$F$8*COS(B1588) + $B$7*COS($F$6*B1588))</x:f>
      </x:c>
      <x:c r="D1588" s="14">
        <x:f>IF(B1588="","",$F$8*SIN(B1588) - $B$7*SIN($F$6*B1588))</x:f>
      </x:c>
      <x:c r="E1588" s="14">
        <x:f>IF(B1588="","", C1588 + $F$12*$F$9*(-H1588)/IF(SQRT(G1588^2+H1588^2)=0,1,SQRT(G1588^2+H1588^2)))</x:f>
      </x:c>
      <x:c r="F1588" s="14">
        <x:f>IF(B1588="","", D1588 + $F$12*$F$9*(G1588)/IF(SQRT(G1588^2+H1588^2)=0,1,SQRT(G1588^2+H1588^2)))</x:f>
      </x:c>
      <x:c r="G1588" s="14">
        <x:f>IF(B1588="","", -$F$8*SIN(B1588) - $B$7*$F$6*SIN($F$6*B1588))</x:f>
      </x:c>
      <x:c r="H1588" s="14">
        <x:f>IF(B1588="","", $F$8*COS(B1588) - $B$7*$F$6*COS($F$6*B1588))</x:f>
      </x:c>
    </x:row>
    <x:row r="1589">
      <x:c r="A1589" s="13" t="n">
        <x:v>1570</x:v>
      </x:c>
      <x:c r="B1589" s="14">
        <x:f>IF($B$12&lt;1570,"",$B$13+(1570-1)*($B$14-$B$13)/($B$12-1))</x:f>
      </x:c>
      <x:c r="C1589" s="14">
        <x:f>IF(B1589="","",$F$8*COS(B1589) + $B$7*COS($F$6*B1589))</x:f>
      </x:c>
      <x:c r="D1589" s="14">
        <x:f>IF(B1589="","",$F$8*SIN(B1589) - $B$7*SIN($F$6*B1589))</x:f>
      </x:c>
      <x:c r="E1589" s="14">
        <x:f>IF(B1589="","", C1589 + $F$12*$F$9*(-H1589)/IF(SQRT(G1589^2+H1589^2)=0,1,SQRT(G1589^2+H1589^2)))</x:f>
      </x:c>
      <x:c r="F1589" s="14">
        <x:f>IF(B1589="","", D1589 + $F$12*$F$9*(G1589)/IF(SQRT(G1589^2+H1589^2)=0,1,SQRT(G1589^2+H1589^2)))</x:f>
      </x:c>
      <x:c r="G1589" s="14">
        <x:f>IF(B1589="","", -$F$8*SIN(B1589) - $B$7*$F$6*SIN($F$6*B1589))</x:f>
      </x:c>
      <x:c r="H1589" s="14">
        <x:f>IF(B1589="","", $F$8*COS(B1589) - $B$7*$F$6*COS($F$6*B1589))</x:f>
      </x:c>
    </x:row>
    <x:row r="1590">
      <x:c r="A1590" s="13" t="n">
        <x:v>1571</x:v>
      </x:c>
      <x:c r="B1590" s="14">
        <x:f>IF($B$12&lt;1571,"",$B$13+(1571-1)*($B$14-$B$13)/($B$12-1))</x:f>
      </x:c>
      <x:c r="C1590" s="14">
        <x:f>IF(B1590="","",$F$8*COS(B1590) + $B$7*COS($F$6*B1590))</x:f>
      </x:c>
      <x:c r="D1590" s="14">
        <x:f>IF(B1590="","",$F$8*SIN(B1590) - $B$7*SIN($F$6*B1590))</x:f>
      </x:c>
      <x:c r="E1590" s="14">
        <x:f>IF(B1590="","", C1590 + $F$12*$F$9*(-H1590)/IF(SQRT(G1590^2+H1590^2)=0,1,SQRT(G1590^2+H1590^2)))</x:f>
      </x:c>
      <x:c r="F1590" s="14">
        <x:f>IF(B1590="","", D1590 + $F$12*$F$9*(G1590)/IF(SQRT(G1590^2+H1590^2)=0,1,SQRT(G1590^2+H1590^2)))</x:f>
      </x:c>
      <x:c r="G1590" s="14">
        <x:f>IF(B1590="","", -$F$8*SIN(B1590) - $B$7*$F$6*SIN($F$6*B1590))</x:f>
      </x:c>
      <x:c r="H1590" s="14">
        <x:f>IF(B1590="","", $F$8*COS(B1590) - $B$7*$F$6*COS($F$6*B1590))</x:f>
      </x:c>
    </x:row>
    <x:row r="1591">
      <x:c r="A1591" s="13" t="n">
        <x:v>1572</x:v>
      </x:c>
      <x:c r="B1591" s="14">
        <x:f>IF($B$12&lt;1572,"",$B$13+(1572-1)*($B$14-$B$13)/($B$12-1))</x:f>
      </x:c>
      <x:c r="C1591" s="14">
        <x:f>IF(B1591="","",$F$8*COS(B1591) + $B$7*COS($F$6*B1591))</x:f>
      </x:c>
      <x:c r="D1591" s="14">
        <x:f>IF(B1591="","",$F$8*SIN(B1591) - $B$7*SIN($F$6*B1591))</x:f>
      </x:c>
      <x:c r="E1591" s="14">
        <x:f>IF(B1591="","", C1591 + $F$12*$F$9*(-H1591)/IF(SQRT(G1591^2+H1591^2)=0,1,SQRT(G1591^2+H1591^2)))</x:f>
      </x:c>
      <x:c r="F1591" s="14">
        <x:f>IF(B1591="","", D1591 + $F$12*$F$9*(G1591)/IF(SQRT(G1591^2+H1591^2)=0,1,SQRT(G1591^2+H1591^2)))</x:f>
      </x:c>
      <x:c r="G1591" s="14">
        <x:f>IF(B1591="","", -$F$8*SIN(B1591) - $B$7*$F$6*SIN($F$6*B1591))</x:f>
      </x:c>
      <x:c r="H1591" s="14">
        <x:f>IF(B1591="","", $F$8*COS(B1591) - $B$7*$F$6*COS($F$6*B1591))</x:f>
      </x:c>
    </x:row>
    <x:row r="1592">
      <x:c r="A1592" s="13" t="n">
        <x:v>1573</x:v>
      </x:c>
      <x:c r="B1592" s="14">
        <x:f>IF($B$12&lt;1573,"",$B$13+(1573-1)*($B$14-$B$13)/($B$12-1))</x:f>
      </x:c>
      <x:c r="C1592" s="14">
        <x:f>IF(B1592="","",$F$8*COS(B1592) + $B$7*COS($F$6*B1592))</x:f>
      </x:c>
      <x:c r="D1592" s="14">
        <x:f>IF(B1592="","",$F$8*SIN(B1592) - $B$7*SIN($F$6*B1592))</x:f>
      </x:c>
      <x:c r="E1592" s="14">
        <x:f>IF(B1592="","", C1592 + $F$12*$F$9*(-H1592)/IF(SQRT(G1592^2+H1592^2)=0,1,SQRT(G1592^2+H1592^2)))</x:f>
      </x:c>
      <x:c r="F1592" s="14">
        <x:f>IF(B1592="","", D1592 + $F$12*$F$9*(G1592)/IF(SQRT(G1592^2+H1592^2)=0,1,SQRT(G1592^2+H1592^2)))</x:f>
      </x:c>
      <x:c r="G1592" s="14">
        <x:f>IF(B1592="","", -$F$8*SIN(B1592) - $B$7*$F$6*SIN($F$6*B1592))</x:f>
      </x:c>
      <x:c r="H1592" s="14">
        <x:f>IF(B1592="","", $F$8*COS(B1592) - $B$7*$F$6*COS($F$6*B1592))</x:f>
      </x:c>
    </x:row>
    <x:row r="1593">
      <x:c r="A1593" s="13" t="n">
        <x:v>1574</x:v>
      </x:c>
      <x:c r="B1593" s="14">
        <x:f>IF($B$12&lt;1574,"",$B$13+(1574-1)*($B$14-$B$13)/($B$12-1))</x:f>
      </x:c>
      <x:c r="C1593" s="14">
        <x:f>IF(B1593="","",$F$8*COS(B1593) + $B$7*COS($F$6*B1593))</x:f>
      </x:c>
      <x:c r="D1593" s="14">
        <x:f>IF(B1593="","",$F$8*SIN(B1593) - $B$7*SIN($F$6*B1593))</x:f>
      </x:c>
      <x:c r="E1593" s="14">
        <x:f>IF(B1593="","", C1593 + $F$12*$F$9*(-H1593)/IF(SQRT(G1593^2+H1593^2)=0,1,SQRT(G1593^2+H1593^2)))</x:f>
      </x:c>
      <x:c r="F1593" s="14">
        <x:f>IF(B1593="","", D1593 + $F$12*$F$9*(G1593)/IF(SQRT(G1593^2+H1593^2)=0,1,SQRT(G1593^2+H1593^2)))</x:f>
      </x:c>
      <x:c r="G1593" s="14">
        <x:f>IF(B1593="","", -$F$8*SIN(B1593) - $B$7*$F$6*SIN($F$6*B1593))</x:f>
      </x:c>
      <x:c r="H1593" s="14">
        <x:f>IF(B1593="","", $F$8*COS(B1593) - $B$7*$F$6*COS($F$6*B1593))</x:f>
      </x:c>
    </x:row>
    <x:row r="1594">
      <x:c r="A1594" s="13" t="n">
        <x:v>1575</x:v>
      </x:c>
      <x:c r="B1594" s="14">
        <x:f>IF($B$12&lt;1575,"",$B$13+(1575-1)*($B$14-$B$13)/($B$12-1))</x:f>
      </x:c>
      <x:c r="C1594" s="14">
        <x:f>IF(B1594="","",$F$8*COS(B1594) + $B$7*COS($F$6*B1594))</x:f>
      </x:c>
      <x:c r="D1594" s="14">
        <x:f>IF(B1594="","",$F$8*SIN(B1594) - $B$7*SIN($F$6*B1594))</x:f>
      </x:c>
      <x:c r="E1594" s="14">
        <x:f>IF(B1594="","", C1594 + $F$12*$F$9*(-H1594)/IF(SQRT(G1594^2+H1594^2)=0,1,SQRT(G1594^2+H1594^2)))</x:f>
      </x:c>
      <x:c r="F1594" s="14">
        <x:f>IF(B1594="","", D1594 + $F$12*$F$9*(G1594)/IF(SQRT(G1594^2+H1594^2)=0,1,SQRT(G1594^2+H1594^2)))</x:f>
      </x:c>
      <x:c r="G1594" s="14">
        <x:f>IF(B1594="","", -$F$8*SIN(B1594) - $B$7*$F$6*SIN($F$6*B1594))</x:f>
      </x:c>
      <x:c r="H1594" s="14">
        <x:f>IF(B1594="","", $F$8*COS(B1594) - $B$7*$F$6*COS($F$6*B1594))</x:f>
      </x:c>
    </x:row>
    <x:row r="1595">
      <x:c r="A1595" s="13" t="n">
        <x:v>1576</x:v>
      </x:c>
      <x:c r="B1595" s="14">
        <x:f>IF($B$12&lt;1576,"",$B$13+(1576-1)*($B$14-$B$13)/($B$12-1))</x:f>
      </x:c>
      <x:c r="C1595" s="14">
        <x:f>IF(B1595="","",$F$8*COS(B1595) + $B$7*COS($F$6*B1595))</x:f>
      </x:c>
      <x:c r="D1595" s="14">
        <x:f>IF(B1595="","",$F$8*SIN(B1595) - $B$7*SIN($F$6*B1595))</x:f>
      </x:c>
      <x:c r="E1595" s="14">
        <x:f>IF(B1595="","", C1595 + $F$12*$F$9*(-H1595)/IF(SQRT(G1595^2+H1595^2)=0,1,SQRT(G1595^2+H1595^2)))</x:f>
      </x:c>
      <x:c r="F1595" s="14">
        <x:f>IF(B1595="","", D1595 + $F$12*$F$9*(G1595)/IF(SQRT(G1595^2+H1595^2)=0,1,SQRT(G1595^2+H1595^2)))</x:f>
      </x:c>
      <x:c r="G1595" s="14">
        <x:f>IF(B1595="","", -$F$8*SIN(B1595) - $B$7*$F$6*SIN($F$6*B1595))</x:f>
      </x:c>
      <x:c r="H1595" s="14">
        <x:f>IF(B1595="","", $F$8*COS(B1595) - $B$7*$F$6*COS($F$6*B1595))</x:f>
      </x:c>
    </x:row>
    <x:row r="1596">
      <x:c r="A1596" s="13" t="n">
        <x:v>1577</x:v>
      </x:c>
      <x:c r="B1596" s="14">
        <x:f>IF($B$12&lt;1577,"",$B$13+(1577-1)*($B$14-$B$13)/($B$12-1))</x:f>
      </x:c>
      <x:c r="C1596" s="14">
        <x:f>IF(B1596="","",$F$8*COS(B1596) + $B$7*COS($F$6*B1596))</x:f>
      </x:c>
      <x:c r="D1596" s="14">
        <x:f>IF(B1596="","",$F$8*SIN(B1596) - $B$7*SIN($F$6*B1596))</x:f>
      </x:c>
      <x:c r="E1596" s="14">
        <x:f>IF(B1596="","", C1596 + $F$12*$F$9*(-H1596)/IF(SQRT(G1596^2+H1596^2)=0,1,SQRT(G1596^2+H1596^2)))</x:f>
      </x:c>
      <x:c r="F1596" s="14">
        <x:f>IF(B1596="","", D1596 + $F$12*$F$9*(G1596)/IF(SQRT(G1596^2+H1596^2)=0,1,SQRT(G1596^2+H1596^2)))</x:f>
      </x:c>
      <x:c r="G1596" s="14">
        <x:f>IF(B1596="","", -$F$8*SIN(B1596) - $B$7*$F$6*SIN($F$6*B1596))</x:f>
      </x:c>
      <x:c r="H1596" s="14">
        <x:f>IF(B1596="","", $F$8*COS(B1596) - $B$7*$F$6*COS($F$6*B1596))</x:f>
      </x:c>
    </x:row>
    <x:row r="1597">
      <x:c r="A1597" s="13" t="n">
        <x:v>1578</x:v>
      </x:c>
      <x:c r="B1597" s="14">
        <x:f>IF($B$12&lt;1578,"",$B$13+(1578-1)*($B$14-$B$13)/($B$12-1))</x:f>
      </x:c>
      <x:c r="C1597" s="14">
        <x:f>IF(B1597="","",$F$8*COS(B1597) + $B$7*COS($F$6*B1597))</x:f>
      </x:c>
      <x:c r="D1597" s="14">
        <x:f>IF(B1597="","",$F$8*SIN(B1597) - $B$7*SIN($F$6*B1597))</x:f>
      </x:c>
      <x:c r="E1597" s="14">
        <x:f>IF(B1597="","", C1597 + $F$12*$F$9*(-H1597)/IF(SQRT(G1597^2+H1597^2)=0,1,SQRT(G1597^2+H1597^2)))</x:f>
      </x:c>
      <x:c r="F1597" s="14">
        <x:f>IF(B1597="","", D1597 + $F$12*$F$9*(G1597)/IF(SQRT(G1597^2+H1597^2)=0,1,SQRT(G1597^2+H1597^2)))</x:f>
      </x:c>
      <x:c r="G1597" s="14">
        <x:f>IF(B1597="","", -$F$8*SIN(B1597) - $B$7*$F$6*SIN($F$6*B1597))</x:f>
      </x:c>
      <x:c r="H1597" s="14">
        <x:f>IF(B1597="","", $F$8*COS(B1597) - $B$7*$F$6*COS($F$6*B1597))</x:f>
      </x:c>
    </x:row>
    <x:row r="1598">
      <x:c r="A1598" s="13" t="n">
        <x:v>1579</x:v>
      </x:c>
      <x:c r="B1598" s="14">
        <x:f>IF($B$12&lt;1579,"",$B$13+(1579-1)*($B$14-$B$13)/($B$12-1))</x:f>
      </x:c>
      <x:c r="C1598" s="14">
        <x:f>IF(B1598="","",$F$8*COS(B1598) + $B$7*COS($F$6*B1598))</x:f>
      </x:c>
      <x:c r="D1598" s="14">
        <x:f>IF(B1598="","",$F$8*SIN(B1598) - $B$7*SIN($F$6*B1598))</x:f>
      </x:c>
      <x:c r="E1598" s="14">
        <x:f>IF(B1598="","", C1598 + $F$12*$F$9*(-H1598)/IF(SQRT(G1598^2+H1598^2)=0,1,SQRT(G1598^2+H1598^2)))</x:f>
      </x:c>
      <x:c r="F1598" s="14">
        <x:f>IF(B1598="","", D1598 + $F$12*$F$9*(G1598)/IF(SQRT(G1598^2+H1598^2)=0,1,SQRT(G1598^2+H1598^2)))</x:f>
      </x:c>
      <x:c r="G1598" s="14">
        <x:f>IF(B1598="","", -$F$8*SIN(B1598) - $B$7*$F$6*SIN($F$6*B1598))</x:f>
      </x:c>
      <x:c r="H1598" s="14">
        <x:f>IF(B1598="","", $F$8*COS(B1598) - $B$7*$F$6*COS($F$6*B1598))</x:f>
      </x:c>
    </x:row>
    <x:row r="1599">
      <x:c r="A1599" s="13" t="n">
        <x:v>1580</x:v>
      </x:c>
      <x:c r="B1599" s="14">
        <x:f>IF($B$12&lt;1580,"",$B$13+(1580-1)*($B$14-$B$13)/($B$12-1))</x:f>
      </x:c>
      <x:c r="C1599" s="14">
        <x:f>IF(B1599="","",$F$8*COS(B1599) + $B$7*COS($F$6*B1599))</x:f>
      </x:c>
      <x:c r="D1599" s="14">
        <x:f>IF(B1599="","",$F$8*SIN(B1599) - $B$7*SIN($F$6*B1599))</x:f>
      </x:c>
      <x:c r="E1599" s="14">
        <x:f>IF(B1599="","", C1599 + $F$12*$F$9*(-H1599)/IF(SQRT(G1599^2+H1599^2)=0,1,SQRT(G1599^2+H1599^2)))</x:f>
      </x:c>
      <x:c r="F1599" s="14">
        <x:f>IF(B1599="","", D1599 + $F$12*$F$9*(G1599)/IF(SQRT(G1599^2+H1599^2)=0,1,SQRT(G1599^2+H1599^2)))</x:f>
      </x:c>
      <x:c r="G1599" s="14">
        <x:f>IF(B1599="","", -$F$8*SIN(B1599) - $B$7*$F$6*SIN($F$6*B1599))</x:f>
      </x:c>
      <x:c r="H1599" s="14">
        <x:f>IF(B1599="","", $F$8*COS(B1599) - $B$7*$F$6*COS($F$6*B1599))</x:f>
      </x:c>
    </x:row>
    <x:row r="1600">
      <x:c r="A1600" s="13" t="n">
        <x:v>1581</x:v>
      </x:c>
      <x:c r="B1600" s="14">
        <x:f>IF($B$12&lt;1581,"",$B$13+(1581-1)*($B$14-$B$13)/($B$12-1))</x:f>
      </x:c>
      <x:c r="C1600" s="14">
        <x:f>IF(B1600="","",$F$8*COS(B1600) + $B$7*COS($F$6*B1600))</x:f>
      </x:c>
      <x:c r="D1600" s="14">
        <x:f>IF(B1600="","",$F$8*SIN(B1600) - $B$7*SIN($F$6*B1600))</x:f>
      </x:c>
      <x:c r="E1600" s="14">
        <x:f>IF(B1600="","", C1600 + $F$12*$F$9*(-H1600)/IF(SQRT(G1600^2+H1600^2)=0,1,SQRT(G1600^2+H1600^2)))</x:f>
      </x:c>
      <x:c r="F1600" s="14">
        <x:f>IF(B1600="","", D1600 + $F$12*$F$9*(G1600)/IF(SQRT(G1600^2+H1600^2)=0,1,SQRT(G1600^2+H1600^2)))</x:f>
      </x:c>
      <x:c r="G1600" s="14">
        <x:f>IF(B1600="","", -$F$8*SIN(B1600) - $B$7*$F$6*SIN($F$6*B1600))</x:f>
      </x:c>
      <x:c r="H1600" s="14">
        <x:f>IF(B1600="","", $F$8*COS(B1600) - $B$7*$F$6*COS($F$6*B1600))</x:f>
      </x:c>
    </x:row>
    <x:row r="1601">
      <x:c r="A1601" s="13" t="n">
        <x:v>1582</x:v>
      </x:c>
      <x:c r="B1601" s="14">
        <x:f>IF($B$12&lt;1582,"",$B$13+(1582-1)*($B$14-$B$13)/($B$12-1))</x:f>
      </x:c>
      <x:c r="C1601" s="14">
        <x:f>IF(B1601="","",$F$8*COS(B1601) + $B$7*COS($F$6*B1601))</x:f>
      </x:c>
      <x:c r="D1601" s="14">
        <x:f>IF(B1601="","",$F$8*SIN(B1601) - $B$7*SIN($F$6*B1601))</x:f>
      </x:c>
      <x:c r="E1601" s="14">
        <x:f>IF(B1601="","", C1601 + $F$12*$F$9*(-H1601)/IF(SQRT(G1601^2+H1601^2)=0,1,SQRT(G1601^2+H1601^2)))</x:f>
      </x:c>
      <x:c r="F1601" s="14">
        <x:f>IF(B1601="","", D1601 + $F$12*$F$9*(G1601)/IF(SQRT(G1601^2+H1601^2)=0,1,SQRT(G1601^2+H1601^2)))</x:f>
      </x:c>
      <x:c r="G1601" s="14">
        <x:f>IF(B1601="","", -$F$8*SIN(B1601) - $B$7*$F$6*SIN($F$6*B1601))</x:f>
      </x:c>
      <x:c r="H1601" s="14">
        <x:f>IF(B1601="","", $F$8*COS(B1601) - $B$7*$F$6*COS($F$6*B1601))</x:f>
      </x:c>
    </x:row>
    <x:row r="1602">
      <x:c r="A1602" s="13" t="n">
        <x:v>1583</x:v>
      </x:c>
      <x:c r="B1602" s="14">
        <x:f>IF($B$12&lt;1583,"",$B$13+(1583-1)*($B$14-$B$13)/($B$12-1))</x:f>
      </x:c>
      <x:c r="C1602" s="14">
        <x:f>IF(B1602="","",$F$8*COS(B1602) + $B$7*COS($F$6*B1602))</x:f>
      </x:c>
      <x:c r="D1602" s="14">
        <x:f>IF(B1602="","",$F$8*SIN(B1602) - $B$7*SIN($F$6*B1602))</x:f>
      </x:c>
      <x:c r="E1602" s="14">
        <x:f>IF(B1602="","", C1602 + $F$12*$F$9*(-H1602)/IF(SQRT(G1602^2+H1602^2)=0,1,SQRT(G1602^2+H1602^2)))</x:f>
      </x:c>
      <x:c r="F1602" s="14">
        <x:f>IF(B1602="","", D1602 + $F$12*$F$9*(G1602)/IF(SQRT(G1602^2+H1602^2)=0,1,SQRT(G1602^2+H1602^2)))</x:f>
      </x:c>
      <x:c r="G1602" s="14">
        <x:f>IF(B1602="","", -$F$8*SIN(B1602) - $B$7*$F$6*SIN($F$6*B1602))</x:f>
      </x:c>
      <x:c r="H1602" s="14">
        <x:f>IF(B1602="","", $F$8*COS(B1602) - $B$7*$F$6*COS($F$6*B1602))</x:f>
      </x:c>
    </x:row>
    <x:row r="1603">
      <x:c r="A1603" s="13" t="n">
        <x:v>1584</x:v>
      </x:c>
      <x:c r="B1603" s="14">
        <x:f>IF($B$12&lt;1584,"",$B$13+(1584-1)*($B$14-$B$13)/($B$12-1))</x:f>
      </x:c>
      <x:c r="C1603" s="14">
        <x:f>IF(B1603="","",$F$8*COS(B1603) + $B$7*COS($F$6*B1603))</x:f>
      </x:c>
      <x:c r="D1603" s="14">
        <x:f>IF(B1603="","",$F$8*SIN(B1603) - $B$7*SIN($F$6*B1603))</x:f>
      </x:c>
      <x:c r="E1603" s="14">
        <x:f>IF(B1603="","", C1603 + $F$12*$F$9*(-H1603)/IF(SQRT(G1603^2+H1603^2)=0,1,SQRT(G1603^2+H1603^2)))</x:f>
      </x:c>
      <x:c r="F1603" s="14">
        <x:f>IF(B1603="","", D1603 + $F$12*$F$9*(G1603)/IF(SQRT(G1603^2+H1603^2)=0,1,SQRT(G1603^2+H1603^2)))</x:f>
      </x:c>
      <x:c r="G1603" s="14">
        <x:f>IF(B1603="","", -$F$8*SIN(B1603) - $B$7*$F$6*SIN($F$6*B1603))</x:f>
      </x:c>
      <x:c r="H1603" s="14">
        <x:f>IF(B1603="","", $F$8*COS(B1603) - $B$7*$F$6*COS($F$6*B1603))</x:f>
      </x:c>
    </x:row>
    <x:row r="1604">
      <x:c r="A1604" s="13" t="n">
        <x:v>1585</x:v>
      </x:c>
      <x:c r="B1604" s="14">
        <x:f>IF($B$12&lt;1585,"",$B$13+(1585-1)*($B$14-$B$13)/($B$12-1))</x:f>
      </x:c>
      <x:c r="C1604" s="14">
        <x:f>IF(B1604="","",$F$8*COS(B1604) + $B$7*COS($F$6*B1604))</x:f>
      </x:c>
      <x:c r="D1604" s="14">
        <x:f>IF(B1604="","",$F$8*SIN(B1604) - $B$7*SIN($F$6*B1604))</x:f>
      </x:c>
      <x:c r="E1604" s="14">
        <x:f>IF(B1604="","", C1604 + $F$12*$F$9*(-H1604)/IF(SQRT(G1604^2+H1604^2)=0,1,SQRT(G1604^2+H1604^2)))</x:f>
      </x:c>
      <x:c r="F1604" s="14">
        <x:f>IF(B1604="","", D1604 + $F$12*$F$9*(G1604)/IF(SQRT(G1604^2+H1604^2)=0,1,SQRT(G1604^2+H1604^2)))</x:f>
      </x:c>
      <x:c r="G1604" s="14">
        <x:f>IF(B1604="","", -$F$8*SIN(B1604) - $B$7*$F$6*SIN($F$6*B1604))</x:f>
      </x:c>
      <x:c r="H1604" s="14">
        <x:f>IF(B1604="","", $F$8*COS(B1604) - $B$7*$F$6*COS($F$6*B1604))</x:f>
      </x:c>
    </x:row>
    <x:row r="1605">
      <x:c r="A1605" s="13" t="n">
        <x:v>1586</x:v>
      </x:c>
      <x:c r="B1605" s="14">
        <x:f>IF($B$12&lt;1586,"",$B$13+(1586-1)*($B$14-$B$13)/($B$12-1))</x:f>
      </x:c>
      <x:c r="C1605" s="14">
        <x:f>IF(B1605="","",$F$8*COS(B1605) + $B$7*COS($F$6*B1605))</x:f>
      </x:c>
      <x:c r="D1605" s="14">
        <x:f>IF(B1605="","",$F$8*SIN(B1605) - $B$7*SIN($F$6*B1605))</x:f>
      </x:c>
      <x:c r="E1605" s="14">
        <x:f>IF(B1605="","", C1605 + $F$12*$F$9*(-H1605)/IF(SQRT(G1605^2+H1605^2)=0,1,SQRT(G1605^2+H1605^2)))</x:f>
      </x:c>
      <x:c r="F1605" s="14">
        <x:f>IF(B1605="","", D1605 + $F$12*$F$9*(G1605)/IF(SQRT(G1605^2+H1605^2)=0,1,SQRT(G1605^2+H1605^2)))</x:f>
      </x:c>
      <x:c r="G1605" s="14">
        <x:f>IF(B1605="","", -$F$8*SIN(B1605) - $B$7*$F$6*SIN($F$6*B1605))</x:f>
      </x:c>
      <x:c r="H1605" s="14">
        <x:f>IF(B1605="","", $F$8*COS(B1605) - $B$7*$F$6*COS($F$6*B1605))</x:f>
      </x:c>
    </x:row>
    <x:row r="1606">
      <x:c r="A1606" s="13" t="n">
        <x:v>1587</x:v>
      </x:c>
      <x:c r="B1606" s="14">
        <x:f>IF($B$12&lt;1587,"",$B$13+(1587-1)*($B$14-$B$13)/($B$12-1))</x:f>
      </x:c>
      <x:c r="C1606" s="14">
        <x:f>IF(B1606="","",$F$8*COS(B1606) + $B$7*COS($F$6*B1606))</x:f>
      </x:c>
      <x:c r="D1606" s="14">
        <x:f>IF(B1606="","",$F$8*SIN(B1606) - $B$7*SIN($F$6*B1606))</x:f>
      </x:c>
      <x:c r="E1606" s="14">
        <x:f>IF(B1606="","", C1606 + $F$12*$F$9*(-H1606)/IF(SQRT(G1606^2+H1606^2)=0,1,SQRT(G1606^2+H1606^2)))</x:f>
      </x:c>
      <x:c r="F1606" s="14">
        <x:f>IF(B1606="","", D1606 + $F$12*$F$9*(G1606)/IF(SQRT(G1606^2+H1606^2)=0,1,SQRT(G1606^2+H1606^2)))</x:f>
      </x:c>
      <x:c r="G1606" s="14">
        <x:f>IF(B1606="","", -$F$8*SIN(B1606) - $B$7*$F$6*SIN($F$6*B1606))</x:f>
      </x:c>
      <x:c r="H1606" s="14">
        <x:f>IF(B1606="","", $F$8*COS(B1606) - $B$7*$F$6*COS($F$6*B1606))</x:f>
      </x:c>
    </x:row>
    <x:row r="1607">
      <x:c r="A1607" s="13" t="n">
        <x:v>1588</x:v>
      </x:c>
      <x:c r="B1607" s="14">
        <x:f>IF($B$12&lt;1588,"",$B$13+(1588-1)*($B$14-$B$13)/($B$12-1))</x:f>
      </x:c>
      <x:c r="C1607" s="14">
        <x:f>IF(B1607="","",$F$8*COS(B1607) + $B$7*COS($F$6*B1607))</x:f>
      </x:c>
      <x:c r="D1607" s="14">
        <x:f>IF(B1607="","",$F$8*SIN(B1607) - $B$7*SIN($F$6*B1607))</x:f>
      </x:c>
      <x:c r="E1607" s="14">
        <x:f>IF(B1607="","", C1607 + $F$12*$F$9*(-H1607)/IF(SQRT(G1607^2+H1607^2)=0,1,SQRT(G1607^2+H1607^2)))</x:f>
      </x:c>
      <x:c r="F1607" s="14">
        <x:f>IF(B1607="","", D1607 + $F$12*$F$9*(G1607)/IF(SQRT(G1607^2+H1607^2)=0,1,SQRT(G1607^2+H1607^2)))</x:f>
      </x:c>
      <x:c r="G1607" s="14">
        <x:f>IF(B1607="","", -$F$8*SIN(B1607) - $B$7*$F$6*SIN($F$6*B1607))</x:f>
      </x:c>
      <x:c r="H1607" s="14">
        <x:f>IF(B1607="","", $F$8*COS(B1607) - $B$7*$F$6*COS($F$6*B1607))</x:f>
      </x:c>
    </x:row>
    <x:row r="1608">
      <x:c r="A1608" s="13" t="n">
        <x:v>1589</x:v>
      </x:c>
      <x:c r="B1608" s="14">
        <x:f>IF($B$12&lt;1589,"",$B$13+(1589-1)*($B$14-$B$13)/($B$12-1))</x:f>
      </x:c>
      <x:c r="C1608" s="14">
        <x:f>IF(B1608="","",$F$8*COS(B1608) + $B$7*COS($F$6*B1608))</x:f>
      </x:c>
      <x:c r="D1608" s="14">
        <x:f>IF(B1608="","",$F$8*SIN(B1608) - $B$7*SIN($F$6*B1608))</x:f>
      </x:c>
      <x:c r="E1608" s="14">
        <x:f>IF(B1608="","", C1608 + $F$12*$F$9*(-H1608)/IF(SQRT(G1608^2+H1608^2)=0,1,SQRT(G1608^2+H1608^2)))</x:f>
      </x:c>
      <x:c r="F1608" s="14">
        <x:f>IF(B1608="","", D1608 + $F$12*$F$9*(G1608)/IF(SQRT(G1608^2+H1608^2)=0,1,SQRT(G1608^2+H1608^2)))</x:f>
      </x:c>
      <x:c r="G1608" s="14">
        <x:f>IF(B1608="","", -$F$8*SIN(B1608) - $B$7*$F$6*SIN($F$6*B1608))</x:f>
      </x:c>
      <x:c r="H1608" s="14">
        <x:f>IF(B1608="","", $F$8*COS(B1608) - $B$7*$F$6*COS($F$6*B1608))</x:f>
      </x:c>
    </x:row>
    <x:row r="1609">
      <x:c r="A1609" s="13" t="n">
        <x:v>1590</x:v>
      </x:c>
      <x:c r="B1609" s="14">
        <x:f>IF($B$12&lt;1590,"",$B$13+(1590-1)*($B$14-$B$13)/($B$12-1))</x:f>
      </x:c>
      <x:c r="C1609" s="14">
        <x:f>IF(B1609="","",$F$8*COS(B1609) + $B$7*COS($F$6*B1609))</x:f>
      </x:c>
      <x:c r="D1609" s="14">
        <x:f>IF(B1609="","",$F$8*SIN(B1609) - $B$7*SIN($F$6*B1609))</x:f>
      </x:c>
      <x:c r="E1609" s="14">
        <x:f>IF(B1609="","", C1609 + $F$12*$F$9*(-H1609)/IF(SQRT(G1609^2+H1609^2)=0,1,SQRT(G1609^2+H1609^2)))</x:f>
      </x:c>
      <x:c r="F1609" s="14">
        <x:f>IF(B1609="","", D1609 + $F$12*$F$9*(G1609)/IF(SQRT(G1609^2+H1609^2)=0,1,SQRT(G1609^2+H1609^2)))</x:f>
      </x:c>
      <x:c r="G1609" s="14">
        <x:f>IF(B1609="","", -$F$8*SIN(B1609) - $B$7*$F$6*SIN($F$6*B1609))</x:f>
      </x:c>
      <x:c r="H1609" s="14">
        <x:f>IF(B1609="","", $F$8*COS(B1609) - $B$7*$F$6*COS($F$6*B1609))</x:f>
      </x:c>
    </x:row>
    <x:row r="1610">
      <x:c r="A1610" s="13" t="n">
        <x:v>1591</x:v>
      </x:c>
      <x:c r="B1610" s="14">
        <x:f>IF($B$12&lt;1591,"",$B$13+(1591-1)*($B$14-$B$13)/($B$12-1))</x:f>
      </x:c>
      <x:c r="C1610" s="14">
        <x:f>IF(B1610="","",$F$8*COS(B1610) + $B$7*COS($F$6*B1610))</x:f>
      </x:c>
      <x:c r="D1610" s="14">
        <x:f>IF(B1610="","",$F$8*SIN(B1610) - $B$7*SIN($F$6*B1610))</x:f>
      </x:c>
      <x:c r="E1610" s="14">
        <x:f>IF(B1610="","", C1610 + $F$12*$F$9*(-H1610)/IF(SQRT(G1610^2+H1610^2)=0,1,SQRT(G1610^2+H1610^2)))</x:f>
      </x:c>
      <x:c r="F1610" s="14">
        <x:f>IF(B1610="","", D1610 + $F$12*$F$9*(G1610)/IF(SQRT(G1610^2+H1610^2)=0,1,SQRT(G1610^2+H1610^2)))</x:f>
      </x:c>
      <x:c r="G1610" s="14">
        <x:f>IF(B1610="","", -$F$8*SIN(B1610) - $B$7*$F$6*SIN($F$6*B1610))</x:f>
      </x:c>
      <x:c r="H1610" s="14">
        <x:f>IF(B1610="","", $F$8*COS(B1610) - $B$7*$F$6*COS($F$6*B1610))</x:f>
      </x:c>
    </x:row>
    <x:row r="1611">
      <x:c r="A1611" s="13" t="n">
        <x:v>1592</x:v>
      </x:c>
      <x:c r="B1611" s="14">
        <x:f>IF($B$12&lt;1592,"",$B$13+(1592-1)*($B$14-$B$13)/($B$12-1))</x:f>
      </x:c>
      <x:c r="C1611" s="14">
        <x:f>IF(B1611="","",$F$8*COS(B1611) + $B$7*COS($F$6*B1611))</x:f>
      </x:c>
      <x:c r="D1611" s="14">
        <x:f>IF(B1611="","",$F$8*SIN(B1611) - $B$7*SIN($F$6*B1611))</x:f>
      </x:c>
      <x:c r="E1611" s="14">
        <x:f>IF(B1611="","", C1611 + $F$12*$F$9*(-H1611)/IF(SQRT(G1611^2+H1611^2)=0,1,SQRT(G1611^2+H1611^2)))</x:f>
      </x:c>
      <x:c r="F1611" s="14">
        <x:f>IF(B1611="","", D1611 + $F$12*$F$9*(G1611)/IF(SQRT(G1611^2+H1611^2)=0,1,SQRT(G1611^2+H1611^2)))</x:f>
      </x:c>
      <x:c r="G1611" s="14">
        <x:f>IF(B1611="","", -$F$8*SIN(B1611) - $B$7*$F$6*SIN($F$6*B1611))</x:f>
      </x:c>
      <x:c r="H1611" s="14">
        <x:f>IF(B1611="","", $F$8*COS(B1611) - $B$7*$F$6*COS($F$6*B1611))</x:f>
      </x:c>
    </x:row>
    <x:row r="1612">
      <x:c r="A1612" s="13" t="n">
        <x:v>1593</x:v>
      </x:c>
      <x:c r="B1612" s="14">
        <x:f>IF($B$12&lt;1593,"",$B$13+(1593-1)*($B$14-$B$13)/($B$12-1))</x:f>
      </x:c>
      <x:c r="C1612" s="14">
        <x:f>IF(B1612="","",$F$8*COS(B1612) + $B$7*COS($F$6*B1612))</x:f>
      </x:c>
      <x:c r="D1612" s="14">
        <x:f>IF(B1612="","",$F$8*SIN(B1612) - $B$7*SIN($F$6*B1612))</x:f>
      </x:c>
      <x:c r="E1612" s="14">
        <x:f>IF(B1612="","", C1612 + $F$12*$F$9*(-H1612)/IF(SQRT(G1612^2+H1612^2)=0,1,SQRT(G1612^2+H1612^2)))</x:f>
      </x:c>
      <x:c r="F1612" s="14">
        <x:f>IF(B1612="","", D1612 + $F$12*$F$9*(G1612)/IF(SQRT(G1612^2+H1612^2)=0,1,SQRT(G1612^2+H1612^2)))</x:f>
      </x:c>
      <x:c r="G1612" s="14">
        <x:f>IF(B1612="","", -$F$8*SIN(B1612) - $B$7*$F$6*SIN($F$6*B1612))</x:f>
      </x:c>
      <x:c r="H1612" s="14">
        <x:f>IF(B1612="","", $F$8*COS(B1612) - $B$7*$F$6*COS($F$6*B1612))</x:f>
      </x:c>
    </x:row>
    <x:row r="1613">
      <x:c r="A1613" s="13" t="n">
        <x:v>1594</x:v>
      </x:c>
      <x:c r="B1613" s="14">
        <x:f>IF($B$12&lt;1594,"",$B$13+(1594-1)*($B$14-$B$13)/($B$12-1))</x:f>
      </x:c>
      <x:c r="C1613" s="14">
        <x:f>IF(B1613="","",$F$8*COS(B1613) + $B$7*COS($F$6*B1613))</x:f>
      </x:c>
      <x:c r="D1613" s="14">
        <x:f>IF(B1613="","",$F$8*SIN(B1613) - $B$7*SIN($F$6*B1613))</x:f>
      </x:c>
      <x:c r="E1613" s="14">
        <x:f>IF(B1613="","", C1613 + $F$12*$F$9*(-H1613)/IF(SQRT(G1613^2+H1613^2)=0,1,SQRT(G1613^2+H1613^2)))</x:f>
      </x:c>
      <x:c r="F1613" s="14">
        <x:f>IF(B1613="","", D1613 + $F$12*$F$9*(G1613)/IF(SQRT(G1613^2+H1613^2)=0,1,SQRT(G1613^2+H1613^2)))</x:f>
      </x:c>
      <x:c r="G1613" s="14">
        <x:f>IF(B1613="","", -$F$8*SIN(B1613) - $B$7*$F$6*SIN($F$6*B1613))</x:f>
      </x:c>
      <x:c r="H1613" s="14">
        <x:f>IF(B1613="","", $F$8*COS(B1613) - $B$7*$F$6*COS($F$6*B1613))</x:f>
      </x:c>
    </x:row>
    <x:row r="1614">
      <x:c r="A1614" s="13" t="n">
        <x:v>1595</x:v>
      </x:c>
      <x:c r="B1614" s="14">
        <x:f>IF($B$12&lt;1595,"",$B$13+(1595-1)*($B$14-$B$13)/($B$12-1))</x:f>
      </x:c>
      <x:c r="C1614" s="14">
        <x:f>IF(B1614="","",$F$8*COS(B1614) + $B$7*COS($F$6*B1614))</x:f>
      </x:c>
      <x:c r="D1614" s="14">
        <x:f>IF(B1614="","",$F$8*SIN(B1614) - $B$7*SIN($F$6*B1614))</x:f>
      </x:c>
      <x:c r="E1614" s="14">
        <x:f>IF(B1614="","", C1614 + $F$12*$F$9*(-H1614)/IF(SQRT(G1614^2+H1614^2)=0,1,SQRT(G1614^2+H1614^2)))</x:f>
      </x:c>
      <x:c r="F1614" s="14">
        <x:f>IF(B1614="","", D1614 + $F$12*$F$9*(G1614)/IF(SQRT(G1614^2+H1614^2)=0,1,SQRT(G1614^2+H1614^2)))</x:f>
      </x:c>
      <x:c r="G1614" s="14">
        <x:f>IF(B1614="","", -$F$8*SIN(B1614) - $B$7*$F$6*SIN($F$6*B1614))</x:f>
      </x:c>
      <x:c r="H1614" s="14">
        <x:f>IF(B1614="","", $F$8*COS(B1614) - $B$7*$F$6*COS($F$6*B1614))</x:f>
      </x:c>
    </x:row>
    <x:row r="1615">
      <x:c r="A1615" s="13" t="n">
        <x:v>1596</x:v>
      </x:c>
      <x:c r="B1615" s="14">
        <x:f>IF($B$12&lt;1596,"",$B$13+(1596-1)*($B$14-$B$13)/($B$12-1))</x:f>
      </x:c>
      <x:c r="C1615" s="14">
        <x:f>IF(B1615="","",$F$8*COS(B1615) + $B$7*COS($F$6*B1615))</x:f>
      </x:c>
      <x:c r="D1615" s="14">
        <x:f>IF(B1615="","",$F$8*SIN(B1615) - $B$7*SIN($F$6*B1615))</x:f>
      </x:c>
      <x:c r="E1615" s="14">
        <x:f>IF(B1615="","", C1615 + $F$12*$F$9*(-H1615)/IF(SQRT(G1615^2+H1615^2)=0,1,SQRT(G1615^2+H1615^2)))</x:f>
      </x:c>
      <x:c r="F1615" s="14">
        <x:f>IF(B1615="","", D1615 + $F$12*$F$9*(G1615)/IF(SQRT(G1615^2+H1615^2)=0,1,SQRT(G1615^2+H1615^2)))</x:f>
      </x:c>
      <x:c r="G1615" s="14">
        <x:f>IF(B1615="","", -$F$8*SIN(B1615) - $B$7*$F$6*SIN($F$6*B1615))</x:f>
      </x:c>
      <x:c r="H1615" s="14">
        <x:f>IF(B1615="","", $F$8*COS(B1615) - $B$7*$F$6*COS($F$6*B1615))</x:f>
      </x:c>
    </x:row>
    <x:row r="1616">
      <x:c r="A1616" s="13" t="n">
        <x:v>1597</x:v>
      </x:c>
      <x:c r="B1616" s="14">
        <x:f>IF($B$12&lt;1597,"",$B$13+(1597-1)*($B$14-$B$13)/($B$12-1))</x:f>
      </x:c>
      <x:c r="C1616" s="14">
        <x:f>IF(B1616="","",$F$8*COS(B1616) + $B$7*COS($F$6*B1616))</x:f>
      </x:c>
      <x:c r="D1616" s="14">
        <x:f>IF(B1616="","",$F$8*SIN(B1616) - $B$7*SIN($F$6*B1616))</x:f>
      </x:c>
      <x:c r="E1616" s="14">
        <x:f>IF(B1616="","", C1616 + $F$12*$F$9*(-H1616)/IF(SQRT(G1616^2+H1616^2)=0,1,SQRT(G1616^2+H1616^2)))</x:f>
      </x:c>
      <x:c r="F1616" s="14">
        <x:f>IF(B1616="","", D1616 + $F$12*$F$9*(G1616)/IF(SQRT(G1616^2+H1616^2)=0,1,SQRT(G1616^2+H1616^2)))</x:f>
      </x:c>
      <x:c r="G1616" s="14">
        <x:f>IF(B1616="","", -$F$8*SIN(B1616) - $B$7*$F$6*SIN($F$6*B1616))</x:f>
      </x:c>
      <x:c r="H1616" s="14">
        <x:f>IF(B1616="","", $F$8*COS(B1616) - $B$7*$F$6*COS($F$6*B1616))</x:f>
      </x:c>
    </x:row>
    <x:row r="1617">
      <x:c r="A1617" s="13" t="n">
        <x:v>1598</x:v>
      </x:c>
      <x:c r="B1617" s="14">
        <x:f>IF($B$12&lt;1598,"",$B$13+(1598-1)*($B$14-$B$13)/($B$12-1))</x:f>
      </x:c>
      <x:c r="C1617" s="14">
        <x:f>IF(B1617="","",$F$8*COS(B1617) + $B$7*COS($F$6*B1617))</x:f>
      </x:c>
      <x:c r="D1617" s="14">
        <x:f>IF(B1617="","",$F$8*SIN(B1617) - $B$7*SIN($F$6*B1617))</x:f>
      </x:c>
      <x:c r="E1617" s="14">
        <x:f>IF(B1617="","", C1617 + $F$12*$F$9*(-H1617)/IF(SQRT(G1617^2+H1617^2)=0,1,SQRT(G1617^2+H1617^2)))</x:f>
      </x:c>
      <x:c r="F1617" s="14">
        <x:f>IF(B1617="","", D1617 + $F$12*$F$9*(G1617)/IF(SQRT(G1617^2+H1617^2)=0,1,SQRT(G1617^2+H1617^2)))</x:f>
      </x:c>
      <x:c r="G1617" s="14">
        <x:f>IF(B1617="","", -$F$8*SIN(B1617) - $B$7*$F$6*SIN($F$6*B1617))</x:f>
      </x:c>
      <x:c r="H1617" s="14">
        <x:f>IF(B1617="","", $F$8*COS(B1617) - $B$7*$F$6*COS($F$6*B1617))</x:f>
      </x:c>
    </x:row>
    <x:row r="1618">
      <x:c r="A1618" s="13" t="n">
        <x:v>1599</x:v>
      </x:c>
      <x:c r="B1618" s="14">
        <x:f>IF($B$12&lt;1599,"",$B$13+(1599-1)*($B$14-$B$13)/($B$12-1))</x:f>
      </x:c>
      <x:c r="C1618" s="14">
        <x:f>IF(B1618="","",$F$8*COS(B1618) + $B$7*COS($F$6*B1618))</x:f>
      </x:c>
      <x:c r="D1618" s="14">
        <x:f>IF(B1618="","",$F$8*SIN(B1618) - $B$7*SIN($F$6*B1618))</x:f>
      </x:c>
      <x:c r="E1618" s="14">
        <x:f>IF(B1618="","", C1618 + $F$12*$F$9*(-H1618)/IF(SQRT(G1618^2+H1618^2)=0,1,SQRT(G1618^2+H1618^2)))</x:f>
      </x:c>
      <x:c r="F1618" s="14">
        <x:f>IF(B1618="","", D1618 + $F$12*$F$9*(G1618)/IF(SQRT(G1618^2+H1618^2)=0,1,SQRT(G1618^2+H1618^2)))</x:f>
      </x:c>
      <x:c r="G1618" s="14">
        <x:f>IF(B1618="","", -$F$8*SIN(B1618) - $B$7*$F$6*SIN($F$6*B1618))</x:f>
      </x:c>
      <x:c r="H1618" s="14">
        <x:f>IF(B1618="","", $F$8*COS(B1618) - $B$7*$F$6*COS($F$6*B1618))</x:f>
      </x:c>
    </x:row>
    <x:row r="1619">
      <x:c r="A1619" s="13" t="n">
        <x:v>1600</x:v>
      </x:c>
      <x:c r="B1619" s="14">
        <x:f>IF($B$12&lt;1600,"",$B$13+(1600-1)*($B$14-$B$13)/($B$12-1))</x:f>
      </x:c>
      <x:c r="C1619" s="14">
        <x:f>IF(B1619="","",$F$8*COS(B1619) + $B$7*COS($F$6*B1619))</x:f>
      </x:c>
      <x:c r="D1619" s="14">
        <x:f>IF(B1619="","",$F$8*SIN(B1619) - $B$7*SIN($F$6*B1619))</x:f>
      </x:c>
      <x:c r="E1619" s="14">
        <x:f>IF(B1619="","", C1619 + $F$12*$F$9*(-H1619)/IF(SQRT(G1619^2+H1619^2)=0,1,SQRT(G1619^2+H1619^2)))</x:f>
      </x:c>
      <x:c r="F1619" s="14">
        <x:f>IF(B1619="","", D1619 + $F$12*$F$9*(G1619)/IF(SQRT(G1619^2+H1619^2)=0,1,SQRT(G1619^2+H1619^2)))</x:f>
      </x:c>
      <x:c r="G1619" s="14">
        <x:f>IF(B1619="","", -$F$8*SIN(B1619) - $B$7*$F$6*SIN($F$6*B1619))</x:f>
      </x:c>
      <x:c r="H1619" s="14">
        <x:f>IF(B1619="","", $F$8*COS(B1619) - $B$7*$F$6*COS($F$6*B1619))</x:f>
      </x:c>
    </x:row>
    <x:row r="1620">
      <x:c r="A1620" s="13" t="n">
        <x:v>1601</x:v>
      </x:c>
      <x:c r="B1620" s="14">
        <x:f>IF($B$12&lt;1601,"",$B$13+(1601-1)*($B$14-$B$13)/($B$12-1))</x:f>
      </x:c>
      <x:c r="C1620" s="14">
        <x:f>IF(B1620="","",$F$8*COS(B1620) + $B$7*COS($F$6*B1620))</x:f>
      </x:c>
      <x:c r="D1620" s="14">
        <x:f>IF(B1620="","",$F$8*SIN(B1620) - $B$7*SIN($F$6*B1620))</x:f>
      </x:c>
      <x:c r="E1620" s="14">
        <x:f>IF(B1620="","", C1620 + $F$12*$F$9*(-H1620)/IF(SQRT(G1620^2+H1620^2)=0,1,SQRT(G1620^2+H1620^2)))</x:f>
      </x:c>
      <x:c r="F1620" s="14">
        <x:f>IF(B1620="","", D1620 + $F$12*$F$9*(G1620)/IF(SQRT(G1620^2+H1620^2)=0,1,SQRT(G1620^2+H1620^2)))</x:f>
      </x:c>
      <x:c r="G1620" s="14">
        <x:f>IF(B1620="","", -$F$8*SIN(B1620) - $B$7*$F$6*SIN($F$6*B1620))</x:f>
      </x:c>
      <x:c r="H1620" s="14">
        <x:f>IF(B1620="","", $F$8*COS(B1620) - $B$7*$F$6*COS($F$6*B1620))</x:f>
      </x:c>
    </x:row>
    <x:row r="1621">
      <x:c r="A1621" s="13" t="n">
        <x:v>1602</x:v>
      </x:c>
      <x:c r="B1621" s="14">
        <x:f>IF($B$12&lt;1602,"",$B$13+(1602-1)*($B$14-$B$13)/($B$12-1))</x:f>
      </x:c>
      <x:c r="C1621" s="14">
        <x:f>IF(B1621="","",$F$8*COS(B1621) + $B$7*COS($F$6*B1621))</x:f>
      </x:c>
      <x:c r="D1621" s="14">
        <x:f>IF(B1621="","",$F$8*SIN(B1621) - $B$7*SIN($F$6*B1621))</x:f>
      </x:c>
      <x:c r="E1621" s="14">
        <x:f>IF(B1621="","", C1621 + $F$12*$F$9*(-H1621)/IF(SQRT(G1621^2+H1621^2)=0,1,SQRT(G1621^2+H1621^2)))</x:f>
      </x:c>
      <x:c r="F1621" s="14">
        <x:f>IF(B1621="","", D1621 + $F$12*$F$9*(G1621)/IF(SQRT(G1621^2+H1621^2)=0,1,SQRT(G1621^2+H1621^2)))</x:f>
      </x:c>
      <x:c r="G1621" s="14">
        <x:f>IF(B1621="","", -$F$8*SIN(B1621) - $B$7*$F$6*SIN($F$6*B1621))</x:f>
      </x:c>
      <x:c r="H1621" s="14">
        <x:f>IF(B1621="","", $F$8*COS(B1621) - $B$7*$F$6*COS($F$6*B1621))</x:f>
      </x:c>
    </x:row>
    <x:row r="1622">
      <x:c r="A1622" s="13" t="n">
        <x:v>1603</x:v>
      </x:c>
      <x:c r="B1622" s="14">
        <x:f>IF($B$12&lt;1603,"",$B$13+(1603-1)*($B$14-$B$13)/($B$12-1))</x:f>
      </x:c>
      <x:c r="C1622" s="14">
        <x:f>IF(B1622="","",$F$8*COS(B1622) + $B$7*COS($F$6*B1622))</x:f>
      </x:c>
      <x:c r="D1622" s="14">
        <x:f>IF(B1622="","",$F$8*SIN(B1622) - $B$7*SIN($F$6*B1622))</x:f>
      </x:c>
      <x:c r="E1622" s="14">
        <x:f>IF(B1622="","", C1622 + $F$12*$F$9*(-H1622)/IF(SQRT(G1622^2+H1622^2)=0,1,SQRT(G1622^2+H1622^2)))</x:f>
      </x:c>
      <x:c r="F1622" s="14">
        <x:f>IF(B1622="","", D1622 + $F$12*$F$9*(G1622)/IF(SQRT(G1622^2+H1622^2)=0,1,SQRT(G1622^2+H1622^2)))</x:f>
      </x:c>
      <x:c r="G1622" s="14">
        <x:f>IF(B1622="","", -$F$8*SIN(B1622) - $B$7*$F$6*SIN($F$6*B1622))</x:f>
      </x:c>
      <x:c r="H1622" s="14">
        <x:f>IF(B1622="","", $F$8*COS(B1622) - $B$7*$F$6*COS($F$6*B1622))</x:f>
      </x:c>
    </x:row>
    <x:row r="1623">
      <x:c r="A1623" s="13" t="n">
        <x:v>1604</x:v>
      </x:c>
      <x:c r="B1623" s="14">
        <x:f>IF($B$12&lt;1604,"",$B$13+(1604-1)*($B$14-$B$13)/($B$12-1))</x:f>
      </x:c>
      <x:c r="C1623" s="14">
        <x:f>IF(B1623="","",$F$8*COS(B1623) + $B$7*COS($F$6*B1623))</x:f>
      </x:c>
      <x:c r="D1623" s="14">
        <x:f>IF(B1623="","",$F$8*SIN(B1623) - $B$7*SIN($F$6*B1623))</x:f>
      </x:c>
      <x:c r="E1623" s="14">
        <x:f>IF(B1623="","", C1623 + $F$12*$F$9*(-H1623)/IF(SQRT(G1623^2+H1623^2)=0,1,SQRT(G1623^2+H1623^2)))</x:f>
      </x:c>
      <x:c r="F1623" s="14">
        <x:f>IF(B1623="","", D1623 + $F$12*$F$9*(G1623)/IF(SQRT(G1623^2+H1623^2)=0,1,SQRT(G1623^2+H1623^2)))</x:f>
      </x:c>
      <x:c r="G1623" s="14">
        <x:f>IF(B1623="","", -$F$8*SIN(B1623) - $B$7*$F$6*SIN($F$6*B1623))</x:f>
      </x:c>
      <x:c r="H1623" s="14">
        <x:f>IF(B1623="","", $F$8*COS(B1623) - $B$7*$F$6*COS($F$6*B1623))</x:f>
      </x:c>
    </x:row>
    <x:row r="1624">
      <x:c r="A1624" s="13" t="n">
        <x:v>1605</x:v>
      </x:c>
      <x:c r="B1624" s="14">
        <x:f>IF($B$12&lt;1605,"",$B$13+(1605-1)*($B$14-$B$13)/($B$12-1))</x:f>
      </x:c>
      <x:c r="C1624" s="14">
        <x:f>IF(B1624="","",$F$8*COS(B1624) + $B$7*COS($F$6*B1624))</x:f>
      </x:c>
      <x:c r="D1624" s="14">
        <x:f>IF(B1624="","",$F$8*SIN(B1624) - $B$7*SIN($F$6*B1624))</x:f>
      </x:c>
      <x:c r="E1624" s="14">
        <x:f>IF(B1624="","", C1624 + $F$12*$F$9*(-H1624)/IF(SQRT(G1624^2+H1624^2)=0,1,SQRT(G1624^2+H1624^2)))</x:f>
      </x:c>
      <x:c r="F1624" s="14">
        <x:f>IF(B1624="","", D1624 + $F$12*$F$9*(G1624)/IF(SQRT(G1624^2+H1624^2)=0,1,SQRT(G1624^2+H1624^2)))</x:f>
      </x:c>
      <x:c r="G1624" s="14">
        <x:f>IF(B1624="","", -$F$8*SIN(B1624) - $B$7*$F$6*SIN($F$6*B1624))</x:f>
      </x:c>
      <x:c r="H1624" s="14">
        <x:f>IF(B1624="","", $F$8*COS(B1624) - $B$7*$F$6*COS($F$6*B1624))</x:f>
      </x:c>
    </x:row>
    <x:row r="1625">
      <x:c r="A1625" s="13" t="n">
        <x:v>1606</x:v>
      </x:c>
      <x:c r="B1625" s="14">
        <x:f>IF($B$12&lt;1606,"",$B$13+(1606-1)*($B$14-$B$13)/($B$12-1))</x:f>
      </x:c>
      <x:c r="C1625" s="14">
        <x:f>IF(B1625="","",$F$8*COS(B1625) + $B$7*COS($F$6*B1625))</x:f>
      </x:c>
      <x:c r="D1625" s="14">
        <x:f>IF(B1625="","",$F$8*SIN(B1625) - $B$7*SIN($F$6*B1625))</x:f>
      </x:c>
      <x:c r="E1625" s="14">
        <x:f>IF(B1625="","", C1625 + $F$12*$F$9*(-H1625)/IF(SQRT(G1625^2+H1625^2)=0,1,SQRT(G1625^2+H1625^2)))</x:f>
      </x:c>
      <x:c r="F1625" s="14">
        <x:f>IF(B1625="","", D1625 + $F$12*$F$9*(G1625)/IF(SQRT(G1625^2+H1625^2)=0,1,SQRT(G1625^2+H1625^2)))</x:f>
      </x:c>
      <x:c r="G1625" s="14">
        <x:f>IF(B1625="","", -$F$8*SIN(B1625) - $B$7*$F$6*SIN($F$6*B1625))</x:f>
      </x:c>
      <x:c r="H1625" s="14">
        <x:f>IF(B1625="","", $F$8*COS(B1625) - $B$7*$F$6*COS($F$6*B1625))</x:f>
      </x:c>
    </x:row>
    <x:row r="1626">
      <x:c r="A1626" s="13" t="n">
        <x:v>1607</x:v>
      </x:c>
      <x:c r="B1626" s="14">
        <x:f>IF($B$12&lt;1607,"",$B$13+(1607-1)*($B$14-$B$13)/($B$12-1))</x:f>
      </x:c>
      <x:c r="C1626" s="14">
        <x:f>IF(B1626="","",$F$8*COS(B1626) + $B$7*COS($F$6*B1626))</x:f>
      </x:c>
      <x:c r="D1626" s="14">
        <x:f>IF(B1626="","",$F$8*SIN(B1626) - $B$7*SIN($F$6*B1626))</x:f>
      </x:c>
      <x:c r="E1626" s="14">
        <x:f>IF(B1626="","", C1626 + $F$12*$F$9*(-H1626)/IF(SQRT(G1626^2+H1626^2)=0,1,SQRT(G1626^2+H1626^2)))</x:f>
      </x:c>
      <x:c r="F1626" s="14">
        <x:f>IF(B1626="","", D1626 + $F$12*$F$9*(G1626)/IF(SQRT(G1626^2+H1626^2)=0,1,SQRT(G1626^2+H1626^2)))</x:f>
      </x:c>
      <x:c r="G1626" s="14">
        <x:f>IF(B1626="","", -$F$8*SIN(B1626) - $B$7*$F$6*SIN($F$6*B1626))</x:f>
      </x:c>
      <x:c r="H1626" s="14">
        <x:f>IF(B1626="","", $F$8*COS(B1626) - $B$7*$F$6*COS($F$6*B1626))</x:f>
      </x:c>
    </x:row>
    <x:row r="1627">
      <x:c r="A1627" s="13" t="n">
        <x:v>1608</x:v>
      </x:c>
      <x:c r="B1627" s="14">
        <x:f>IF($B$12&lt;1608,"",$B$13+(1608-1)*($B$14-$B$13)/($B$12-1))</x:f>
      </x:c>
      <x:c r="C1627" s="14">
        <x:f>IF(B1627="","",$F$8*COS(B1627) + $B$7*COS($F$6*B1627))</x:f>
      </x:c>
      <x:c r="D1627" s="14">
        <x:f>IF(B1627="","",$F$8*SIN(B1627) - $B$7*SIN($F$6*B1627))</x:f>
      </x:c>
      <x:c r="E1627" s="14">
        <x:f>IF(B1627="","", C1627 + $F$12*$F$9*(-H1627)/IF(SQRT(G1627^2+H1627^2)=0,1,SQRT(G1627^2+H1627^2)))</x:f>
      </x:c>
      <x:c r="F1627" s="14">
        <x:f>IF(B1627="","", D1627 + $F$12*$F$9*(G1627)/IF(SQRT(G1627^2+H1627^2)=0,1,SQRT(G1627^2+H1627^2)))</x:f>
      </x:c>
      <x:c r="G1627" s="14">
        <x:f>IF(B1627="","", -$F$8*SIN(B1627) - $B$7*$F$6*SIN($F$6*B1627))</x:f>
      </x:c>
      <x:c r="H1627" s="14">
        <x:f>IF(B1627="","", $F$8*COS(B1627) - $B$7*$F$6*COS($F$6*B1627))</x:f>
      </x:c>
    </x:row>
    <x:row r="1628">
      <x:c r="A1628" s="13" t="n">
        <x:v>1609</x:v>
      </x:c>
      <x:c r="B1628" s="14">
        <x:f>IF($B$12&lt;1609,"",$B$13+(1609-1)*($B$14-$B$13)/($B$12-1))</x:f>
      </x:c>
      <x:c r="C1628" s="14">
        <x:f>IF(B1628="","",$F$8*COS(B1628) + $B$7*COS($F$6*B1628))</x:f>
      </x:c>
      <x:c r="D1628" s="14">
        <x:f>IF(B1628="","",$F$8*SIN(B1628) - $B$7*SIN($F$6*B1628))</x:f>
      </x:c>
      <x:c r="E1628" s="14">
        <x:f>IF(B1628="","", C1628 + $F$12*$F$9*(-H1628)/IF(SQRT(G1628^2+H1628^2)=0,1,SQRT(G1628^2+H1628^2)))</x:f>
      </x:c>
      <x:c r="F1628" s="14">
        <x:f>IF(B1628="","", D1628 + $F$12*$F$9*(G1628)/IF(SQRT(G1628^2+H1628^2)=0,1,SQRT(G1628^2+H1628^2)))</x:f>
      </x:c>
      <x:c r="G1628" s="14">
        <x:f>IF(B1628="","", -$F$8*SIN(B1628) - $B$7*$F$6*SIN($F$6*B1628))</x:f>
      </x:c>
      <x:c r="H1628" s="14">
        <x:f>IF(B1628="","", $F$8*COS(B1628) - $B$7*$F$6*COS($F$6*B1628))</x:f>
      </x:c>
    </x:row>
    <x:row r="1629">
      <x:c r="A1629" s="13" t="n">
        <x:v>1610</x:v>
      </x:c>
      <x:c r="B1629" s="14">
        <x:f>IF($B$12&lt;1610,"",$B$13+(1610-1)*($B$14-$B$13)/($B$12-1))</x:f>
      </x:c>
      <x:c r="C1629" s="14">
        <x:f>IF(B1629="","",$F$8*COS(B1629) + $B$7*COS($F$6*B1629))</x:f>
      </x:c>
      <x:c r="D1629" s="14">
        <x:f>IF(B1629="","",$F$8*SIN(B1629) - $B$7*SIN($F$6*B1629))</x:f>
      </x:c>
      <x:c r="E1629" s="14">
        <x:f>IF(B1629="","", C1629 + $F$12*$F$9*(-H1629)/IF(SQRT(G1629^2+H1629^2)=0,1,SQRT(G1629^2+H1629^2)))</x:f>
      </x:c>
      <x:c r="F1629" s="14">
        <x:f>IF(B1629="","", D1629 + $F$12*$F$9*(G1629)/IF(SQRT(G1629^2+H1629^2)=0,1,SQRT(G1629^2+H1629^2)))</x:f>
      </x:c>
      <x:c r="G1629" s="14">
        <x:f>IF(B1629="","", -$F$8*SIN(B1629) - $B$7*$F$6*SIN($F$6*B1629))</x:f>
      </x:c>
      <x:c r="H1629" s="14">
        <x:f>IF(B1629="","", $F$8*COS(B1629) - $B$7*$F$6*COS($F$6*B1629))</x:f>
      </x:c>
    </x:row>
    <x:row r="1630">
      <x:c r="A1630" s="13" t="n">
        <x:v>1611</x:v>
      </x:c>
      <x:c r="B1630" s="14">
        <x:f>IF($B$12&lt;1611,"",$B$13+(1611-1)*($B$14-$B$13)/($B$12-1))</x:f>
      </x:c>
      <x:c r="C1630" s="14">
        <x:f>IF(B1630="","",$F$8*COS(B1630) + $B$7*COS($F$6*B1630))</x:f>
      </x:c>
      <x:c r="D1630" s="14">
        <x:f>IF(B1630="","",$F$8*SIN(B1630) - $B$7*SIN($F$6*B1630))</x:f>
      </x:c>
      <x:c r="E1630" s="14">
        <x:f>IF(B1630="","", C1630 + $F$12*$F$9*(-H1630)/IF(SQRT(G1630^2+H1630^2)=0,1,SQRT(G1630^2+H1630^2)))</x:f>
      </x:c>
      <x:c r="F1630" s="14">
        <x:f>IF(B1630="","", D1630 + $F$12*$F$9*(G1630)/IF(SQRT(G1630^2+H1630^2)=0,1,SQRT(G1630^2+H1630^2)))</x:f>
      </x:c>
      <x:c r="G1630" s="14">
        <x:f>IF(B1630="","", -$F$8*SIN(B1630) - $B$7*$F$6*SIN($F$6*B1630))</x:f>
      </x:c>
      <x:c r="H1630" s="14">
        <x:f>IF(B1630="","", $F$8*COS(B1630) - $B$7*$F$6*COS($F$6*B1630))</x:f>
      </x:c>
    </x:row>
    <x:row r="1631">
      <x:c r="A1631" s="13" t="n">
        <x:v>1612</x:v>
      </x:c>
      <x:c r="B1631" s="14">
        <x:f>IF($B$12&lt;1612,"",$B$13+(1612-1)*($B$14-$B$13)/($B$12-1))</x:f>
      </x:c>
      <x:c r="C1631" s="14">
        <x:f>IF(B1631="","",$F$8*COS(B1631) + $B$7*COS($F$6*B1631))</x:f>
      </x:c>
      <x:c r="D1631" s="14">
        <x:f>IF(B1631="","",$F$8*SIN(B1631) - $B$7*SIN($F$6*B1631))</x:f>
      </x:c>
      <x:c r="E1631" s="14">
        <x:f>IF(B1631="","", C1631 + $F$12*$F$9*(-H1631)/IF(SQRT(G1631^2+H1631^2)=0,1,SQRT(G1631^2+H1631^2)))</x:f>
      </x:c>
      <x:c r="F1631" s="14">
        <x:f>IF(B1631="","", D1631 + $F$12*$F$9*(G1631)/IF(SQRT(G1631^2+H1631^2)=0,1,SQRT(G1631^2+H1631^2)))</x:f>
      </x:c>
      <x:c r="G1631" s="14">
        <x:f>IF(B1631="","", -$F$8*SIN(B1631) - $B$7*$F$6*SIN($F$6*B1631))</x:f>
      </x:c>
      <x:c r="H1631" s="14">
        <x:f>IF(B1631="","", $F$8*COS(B1631) - $B$7*$F$6*COS($F$6*B1631))</x:f>
      </x:c>
    </x:row>
    <x:row r="1632">
      <x:c r="A1632" s="13" t="n">
        <x:v>1613</x:v>
      </x:c>
      <x:c r="B1632" s="14">
        <x:f>IF($B$12&lt;1613,"",$B$13+(1613-1)*($B$14-$B$13)/($B$12-1))</x:f>
      </x:c>
      <x:c r="C1632" s="14">
        <x:f>IF(B1632="","",$F$8*COS(B1632) + $B$7*COS($F$6*B1632))</x:f>
      </x:c>
      <x:c r="D1632" s="14">
        <x:f>IF(B1632="","",$F$8*SIN(B1632) - $B$7*SIN($F$6*B1632))</x:f>
      </x:c>
      <x:c r="E1632" s="14">
        <x:f>IF(B1632="","", C1632 + $F$12*$F$9*(-H1632)/IF(SQRT(G1632^2+H1632^2)=0,1,SQRT(G1632^2+H1632^2)))</x:f>
      </x:c>
      <x:c r="F1632" s="14">
        <x:f>IF(B1632="","", D1632 + $F$12*$F$9*(G1632)/IF(SQRT(G1632^2+H1632^2)=0,1,SQRT(G1632^2+H1632^2)))</x:f>
      </x:c>
      <x:c r="G1632" s="14">
        <x:f>IF(B1632="","", -$F$8*SIN(B1632) - $B$7*$F$6*SIN($F$6*B1632))</x:f>
      </x:c>
      <x:c r="H1632" s="14">
        <x:f>IF(B1632="","", $F$8*COS(B1632) - $B$7*$F$6*COS($F$6*B1632))</x:f>
      </x:c>
    </x:row>
    <x:row r="1633">
      <x:c r="A1633" s="13" t="n">
        <x:v>1614</x:v>
      </x:c>
      <x:c r="B1633" s="14">
        <x:f>IF($B$12&lt;1614,"",$B$13+(1614-1)*($B$14-$B$13)/($B$12-1))</x:f>
      </x:c>
      <x:c r="C1633" s="14">
        <x:f>IF(B1633="","",$F$8*COS(B1633) + $B$7*COS($F$6*B1633))</x:f>
      </x:c>
      <x:c r="D1633" s="14">
        <x:f>IF(B1633="","",$F$8*SIN(B1633) - $B$7*SIN($F$6*B1633))</x:f>
      </x:c>
      <x:c r="E1633" s="14">
        <x:f>IF(B1633="","", C1633 + $F$12*$F$9*(-H1633)/IF(SQRT(G1633^2+H1633^2)=0,1,SQRT(G1633^2+H1633^2)))</x:f>
      </x:c>
      <x:c r="F1633" s="14">
        <x:f>IF(B1633="","", D1633 + $F$12*$F$9*(G1633)/IF(SQRT(G1633^2+H1633^2)=0,1,SQRT(G1633^2+H1633^2)))</x:f>
      </x:c>
      <x:c r="G1633" s="14">
        <x:f>IF(B1633="","", -$F$8*SIN(B1633) - $B$7*$F$6*SIN($F$6*B1633))</x:f>
      </x:c>
      <x:c r="H1633" s="14">
        <x:f>IF(B1633="","", $F$8*COS(B1633) - $B$7*$F$6*COS($F$6*B1633))</x:f>
      </x:c>
    </x:row>
    <x:row r="1634">
      <x:c r="A1634" s="13" t="n">
        <x:v>1615</x:v>
      </x:c>
      <x:c r="B1634" s="14">
        <x:f>IF($B$12&lt;1615,"",$B$13+(1615-1)*($B$14-$B$13)/($B$12-1))</x:f>
      </x:c>
      <x:c r="C1634" s="14">
        <x:f>IF(B1634="","",$F$8*COS(B1634) + $B$7*COS($F$6*B1634))</x:f>
      </x:c>
      <x:c r="D1634" s="14">
        <x:f>IF(B1634="","",$F$8*SIN(B1634) - $B$7*SIN($F$6*B1634))</x:f>
      </x:c>
      <x:c r="E1634" s="14">
        <x:f>IF(B1634="","", C1634 + $F$12*$F$9*(-H1634)/IF(SQRT(G1634^2+H1634^2)=0,1,SQRT(G1634^2+H1634^2)))</x:f>
      </x:c>
      <x:c r="F1634" s="14">
        <x:f>IF(B1634="","", D1634 + $F$12*$F$9*(G1634)/IF(SQRT(G1634^2+H1634^2)=0,1,SQRT(G1634^2+H1634^2)))</x:f>
      </x:c>
      <x:c r="G1634" s="14">
        <x:f>IF(B1634="","", -$F$8*SIN(B1634) - $B$7*$F$6*SIN($F$6*B1634))</x:f>
      </x:c>
      <x:c r="H1634" s="14">
        <x:f>IF(B1634="","", $F$8*COS(B1634) - $B$7*$F$6*COS($F$6*B1634))</x:f>
      </x:c>
    </x:row>
    <x:row r="1635">
      <x:c r="A1635" s="13" t="n">
        <x:v>1616</x:v>
      </x:c>
      <x:c r="B1635" s="14">
        <x:f>IF($B$12&lt;1616,"",$B$13+(1616-1)*($B$14-$B$13)/($B$12-1))</x:f>
      </x:c>
      <x:c r="C1635" s="14">
        <x:f>IF(B1635="","",$F$8*COS(B1635) + $B$7*COS($F$6*B1635))</x:f>
      </x:c>
      <x:c r="D1635" s="14">
        <x:f>IF(B1635="","",$F$8*SIN(B1635) - $B$7*SIN($F$6*B1635))</x:f>
      </x:c>
      <x:c r="E1635" s="14">
        <x:f>IF(B1635="","", C1635 + $F$12*$F$9*(-H1635)/IF(SQRT(G1635^2+H1635^2)=0,1,SQRT(G1635^2+H1635^2)))</x:f>
      </x:c>
      <x:c r="F1635" s="14">
        <x:f>IF(B1635="","", D1635 + $F$12*$F$9*(G1635)/IF(SQRT(G1635^2+H1635^2)=0,1,SQRT(G1635^2+H1635^2)))</x:f>
      </x:c>
      <x:c r="G1635" s="14">
        <x:f>IF(B1635="","", -$F$8*SIN(B1635) - $B$7*$F$6*SIN($F$6*B1635))</x:f>
      </x:c>
      <x:c r="H1635" s="14">
        <x:f>IF(B1635="","", $F$8*COS(B1635) - $B$7*$F$6*COS($F$6*B1635))</x:f>
      </x:c>
    </x:row>
    <x:row r="1636">
      <x:c r="A1636" s="13" t="n">
        <x:v>1617</x:v>
      </x:c>
      <x:c r="B1636" s="14">
        <x:f>IF($B$12&lt;1617,"",$B$13+(1617-1)*($B$14-$B$13)/($B$12-1))</x:f>
      </x:c>
      <x:c r="C1636" s="14">
        <x:f>IF(B1636="","",$F$8*COS(B1636) + $B$7*COS($F$6*B1636))</x:f>
      </x:c>
      <x:c r="D1636" s="14">
        <x:f>IF(B1636="","",$F$8*SIN(B1636) - $B$7*SIN($F$6*B1636))</x:f>
      </x:c>
      <x:c r="E1636" s="14">
        <x:f>IF(B1636="","", C1636 + $F$12*$F$9*(-H1636)/IF(SQRT(G1636^2+H1636^2)=0,1,SQRT(G1636^2+H1636^2)))</x:f>
      </x:c>
      <x:c r="F1636" s="14">
        <x:f>IF(B1636="","", D1636 + $F$12*$F$9*(G1636)/IF(SQRT(G1636^2+H1636^2)=0,1,SQRT(G1636^2+H1636^2)))</x:f>
      </x:c>
      <x:c r="G1636" s="14">
        <x:f>IF(B1636="","", -$F$8*SIN(B1636) - $B$7*$F$6*SIN($F$6*B1636))</x:f>
      </x:c>
      <x:c r="H1636" s="14">
        <x:f>IF(B1636="","", $F$8*COS(B1636) - $B$7*$F$6*COS($F$6*B1636))</x:f>
      </x:c>
    </x:row>
    <x:row r="1637">
      <x:c r="A1637" s="13" t="n">
        <x:v>1618</x:v>
      </x:c>
      <x:c r="B1637" s="14">
        <x:f>IF($B$12&lt;1618,"",$B$13+(1618-1)*($B$14-$B$13)/($B$12-1))</x:f>
      </x:c>
      <x:c r="C1637" s="14">
        <x:f>IF(B1637="","",$F$8*COS(B1637) + $B$7*COS($F$6*B1637))</x:f>
      </x:c>
      <x:c r="D1637" s="14">
        <x:f>IF(B1637="","",$F$8*SIN(B1637) - $B$7*SIN($F$6*B1637))</x:f>
      </x:c>
      <x:c r="E1637" s="14">
        <x:f>IF(B1637="","", C1637 + $F$12*$F$9*(-H1637)/IF(SQRT(G1637^2+H1637^2)=0,1,SQRT(G1637^2+H1637^2)))</x:f>
      </x:c>
      <x:c r="F1637" s="14">
        <x:f>IF(B1637="","", D1637 + $F$12*$F$9*(G1637)/IF(SQRT(G1637^2+H1637^2)=0,1,SQRT(G1637^2+H1637^2)))</x:f>
      </x:c>
      <x:c r="G1637" s="14">
        <x:f>IF(B1637="","", -$F$8*SIN(B1637) - $B$7*$F$6*SIN($F$6*B1637))</x:f>
      </x:c>
      <x:c r="H1637" s="14">
        <x:f>IF(B1637="","", $F$8*COS(B1637) - $B$7*$F$6*COS($F$6*B1637))</x:f>
      </x:c>
    </x:row>
    <x:row r="1638">
      <x:c r="A1638" s="13" t="n">
        <x:v>1619</x:v>
      </x:c>
      <x:c r="B1638" s="14">
        <x:f>IF($B$12&lt;1619,"",$B$13+(1619-1)*($B$14-$B$13)/($B$12-1))</x:f>
      </x:c>
      <x:c r="C1638" s="14">
        <x:f>IF(B1638="","",$F$8*COS(B1638) + $B$7*COS($F$6*B1638))</x:f>
      </x:c>
      <x:c r="D1638" s="14">
        <x:f>IF(B1638="","",$F$8*SIN(B1638) - $B$7*SIN($F$6*B1638))</x:f>
      </x:c>
      <x:c r="E1638" s="14">
        <x:f>IF(B1638="","", C1638 + $F$12*$F$9*(-H1638)/IF(SQRT(G1638^2+H1638^2)=0,1,SQRT(G1638^2+H1638^2)))</x:f>
      </x:c>
      <x:c r="F1638" s="14">
        <x:f>IF(B1638="","", D1638 + $F$12*$F$9*(G1638)/IF(SQRT(G1638^2+H1638^2)=0,1,SQRT(G1638^2+H1638^2)))</x:f>
      </x:c>
      <x:c r="G1638" s="14">
        <x:f>IF(B1638="","", -$F$8*SIN(B1638) - $B$7*$F$6*SIN($F$6*B1638))</x:f>
      </x:c>
      <x:c r="H1638" s="14">
        <x:f>IF(B1638="","", $F$8*COS(B1638) - $B$7*$F$6*COS($F$6*B1638))</x:f>
      </x:c>
    </x:row>
    <x:row r="1639">
      <x:c r="A1639" s="13" t="n">
        <x:v>1620</x:v>
      </x:c>
      <x:c r="B1639" s="14">
        <x:f>IF($B$12&lt;1620,"",$B$13+(1620-1)*($B$14-$B$13)/($B$12-1))</x:f>
      </x:c>
      <x:c r="C1639" s="14">
        <x:f>IF(B1639="","",$F$8*COS(B1639) + $B$7*COS($F$6*B1639))</x:f>
      </x:c>
      <x:c r="D1639" s="14">
        <x:f>IF(B1639="","",$F$8*SIN(B1639) - $B$7*SIN($F$6*B1639))</x:f>
      </x:c>
      <x:c r="E1639" s="14">
        <x:f>IF(B1639="","", C1639 + $F$12*$F$9*(-H1639)/IF(SQRT(G1639^2+H1639^2)=0,1,SQRT(G1639^2+H1639^2)))</x:f>
      </x:c>
      <x:c r="F1639" s="14">
        <x:f>IF(B1639="","", D1639 + $F$12*$F$9*(G1639)/IF(SQRT(G1639^2+H1639^2)=0,1,SQRT(G1639^2+H1639^2)))</x:f>
      </x:c>
      <x:c r="G1639" s="14">
        <x:f>IF(B1639="","", -$F$8*SIN(B1639) - $B$7*$F$6*SIN($F$6*B1639))</x:f>
      </x:c>
      <x:c r="H1639" s="14">
        <x:f>IF(B1639="","", $F$8*COS(B1639) - $B$7*$F$6*COS($F$6*B1639))</x:f>
      </x:c>
    </x:row>
    <x:row r="1640">
      <x:c r="A1640" s="13" t="n">
        <x:v>1621</x:v>
      </x:c>
      <x:c r="B1640" s="14">
        <x:f>IF($B$12&lt;1621,"",$B$13+(1621-1)*($B$14-$B$13)/($B$12-1))</x:f>
      </x:c>
      <x:c r="C1640" s="14">
        <x:f>IF(B1640="","",$F$8*COS(B1640) + $B$7*COS($F$6*B1640))</x:f>
      </x:c>
      <x:c r="D1640" s="14">
        <x:f>IF(B1640="","",$F$8*SIN(B1640) - $B$7*SIN($F$6*B1640))</x:f>
      </x:c>
      <x:c r="E1640" s="14">
        <x:f>IF(B1640="","", C1640 + $F$12*$F$9*(-H1640)/IF(SQRT(G1640^2+H1640^2)=0,1,SQRT(G1640^2+H1640^2)))</x:f>
      </x:c>
      <x:c r="F1640" s="14">
        <x:f>IF(B1640="","", D1640 + $F$12*$F$9*(G1640)/IF(SQRT(G1640^2+H1640^2)=0,1,SQRT(G1640^2+H1640^2)))</x:f>
      </x:c>
      <x:c r="G1640" s="14">
        <x:f>IF(B1640="","", -$F$8*SIN(B1640) - $B$7*$F$6*SIN($F$6*B1640))</x:f>
      </x:c>
      <x:c r="H1640" s="14">
        <x:f>IF(B1640="","", $F$8*COS(B1640) - $B$7*$F$6*COS($F$6*B1640))</x:f>
      </x:c>
    </x:row>
    <x:row r="1641">
      <x:c r="A1641" s="13" t="n">
        <x:v>1622</x:v>
      </x:c>
      <x:c r="B1641" s="14">
        <x:f>IF($B$12&lt;1622,"",$B$13+(1622-1)*($B$14-$B$13)/($B$12-1))</x:f>
      </x:c>
      <x:c r="C1641" s="14">
        <x:f>IF(B1641="","",$F$8*COS(B1641) + $B$7*COS($F$6*B1641))</x:f>
      </x:c>
      <x:c r="D1641" s="14">
        <x:f>IF(B1641="","",$F$8*SIN(B1641) - $B$7*SIN($F$6*B1641))</x:f>
      </x:c>
      <x:c r="E1641" s="14">
        <x:f>IF(B1641="","", C1641 + $F$12*$F$9*(-H1641)/IF(SQRT(G1641^2+H1641^2)=0,1,SQRT(G1641^2+H1641^2)))</x:f>
      </x:c>
      <x:c r="F1641" s="14">
        <x:f>IF(B1641="","", D1641 + $F$12*$F$9*(G1641)/IF(SQRT(G1641^2+H1641^2)=0,1,SQRT(G1641^2+H1641^2)))</x:f>
      </x:c>
      <x:c r="G1641" s="14">
        <x:f>IF(B1641="","", -$F$8*SIN(B1641) - $B$7*$F$6*SIN($F$6*B1641))</x:f>
      </x:c>
      <x:c r="H1641" s="14">
        <x:f>IF(B1641="","", $F$8*COS(B1641) - $B$7*$F$6*COS($F$6*B1641))</x:f>
      </x:c>
    </x:row>
    <x:row r="1642">
      <x:c r="A1642" s="13" t="n">
        <x:v>1623</x:v>
      </x:c>
      <x:c r="B1642" s="14">
        <x:f>IF($B$12&lt;1623,"",$B$13+(1623-1)*($B$14-$B$13)/($B$12-1))</x:f>
      </x:c>
      <x:c r="C1642" s="14">
        <x:f>IF(B1642="","",$F$8*COS(B1642) + $B$7*COS($F$6*B1642))</x:f>
      </x:c>
      <x:c r="D1642" s="14">
        <x:f>IF(B1642="","",$F$8*SIN(B1642) - $B$7*SIN($F$6*B1642))</x:f>
      </x:c>
      <x:c r="E1642" s="14">
        <x:f>IF(B1642="","", C1642 + $F$12*$F$9*(-H1642)/IF(SQRT(G1642^2+H1642^2)=0,1,SQRT(G1642^2+H1642^2)))</x:f>
      </x:c>
      <x:c r="F1642" s="14">
        <x:f>IF(B1642="","", D1642 + $F$12*$F$9*(G1642)/IF(SQRT(G1642^2+H1642^2)=0,1,SQRT(G1642^2+H1642^2)))</x:f>
      </x:c>
      <x:c r="G1642" s="14">
        <x:f>IF(B1642="","", -$F$8*SIN(B1642) - $B$7*$F$6*SIN($F$6*B1642))</x:f>
      </x:c>
      <x:c r="H1642" s="14">
        <x:f>IF(B1642="","", $F$8*COS(B1642) - $B$7*$F$6*COS($F$6*B1642))</x:f>
      </x:c>
    </x:row>
    <x:row r="1643">
      <x:c r="A1643" s="13" t="n">
        <x:v>1624</x:v>
      </x:c>
      <x:c r="B1643" s="14">
        <x:f>IF($B$12&lt;1624,"",$B$13+(1624-1)*($B$14-$B$13)/($B$12-1))</x:f>
      </x:c>
      <x:c r="C1643" s="14">
        <x:f>IF(B1643="","",$F$8*COS(B1643) + $B$7*COS($F$6*B1643))</x:f>
      </x:c>
      <x:c r="D1643" s="14">
        <x:f>IF(B1643="","",$F$8*SIN(B1643) - $B$7*SIN($F$6*B1643))</x:f>
      </x:c>
      <x:c r="E1643" s="14">
        <x:f>IF(B1643="","", C1643 + $F$12*$F$9*(-H1643)/IF(SQRT(G1643^2+H1643^2)=0,1,SQRT(G1643^2+H1643^2)))</x:f>
      </x:c>
      <x:c r="F1643" s="14">
        <x:f>IF(B1643="","", D1643 + $F$12*$F$9*(G1643)/IF(SQRT(G1643^2+H1643^2)=0,1,SQRT(G1643^2+H1643^2)))</x:f>
      </x:c>
      <x:c r="G1643" s="14">
        <x:f>IF(B1643="","", -$F$8*SIN(B1643) - $B$7*$F$6*SIN($F$6*B1643))</x:f>
      </x:c>
      <x:c r="H1643" s="14">
        <x:f>IF(B1643="","", $F$8*COS(B1643) - $B$7*$F$6*COS($F$6*B1643))</x:f>
      </x:c>
    </x:row>
    <x:row r="1644">
      <x:c r="A1644" s="13" t="n">
        <x:v>1625</x:v>
      </x:c>
      <x:c r="B1644" s="14">
        <x:f>IF($B$12&lt;1625,"",$B$13+(1625-1)*($B$14-$B$13)/($B$12-1))</x:f>
      </x:c>
      <x:c r="C1644" s="14">
        <x:f>IF(B1644="","",$F$8*COS(B1644) + $B$7*COS($F$6*B1644))</x:f>
      </x:c>
      <x:c r="D1644" s="14">
        <x:f>IF(B1644="","",$F$8*SIN(B1644) - $B$7*SIN($F$6*B1644))</x:f>
      </x:c>
      <x:c r="E1644" s="14">
        <x:f>IF(B1644="","", C1644 + $F$12*$F$9*(-H1644)/IF(SQRT(G1644^2+H1644^2)=0,1,SQRT(G1644^2+H1644^2)))</x:f>
      </x:c>
      <x:c r="F1644" s="14">
        <x:f>IF(B1644="","", D1644 + $F$12*$F$9*(G1644)/IF(SQRT(G1644^2+H1644^2)=0,1,SQRT(G1644^2+H1644^2)))</x:f>
      </x:c>
      <x:c r="G1644" s="14">
        <x:f>IF(B1644="","", -$F$8*SIN(B1644) - $B$7*$F$6*SIN($F$6*B1644))</x:f>
      </x:c>
      <x:c r="H1644" s="14">
        <x:f>IF(B1644="","", $F$8*COS(B1644) - $B$7*$F$6*COS($F$6*B1644))</x:f>
      </x:c>
    </x:row>
    <x:row r="1645">
      <x:c r="A1645" s="13" t="n">
        <x:v>1626</x:v>
      </x:c>
      <x:c r="B1645" s="14">
        <x:f>IF($B$12&lt;1626,"",$B$13+(1626-1)*($B$14-$B$13)/($B$12-1))</x:f>
      </x:c>
      <x:c r="C1645" s="14">
        <x:f>IF(B1645="","",$F$8*COS(B1645) + $B$7*COS($F$6*B1645))</x:f>
      </x:c>
      <x:c r="D1645" s="14">
        <x:f>IF(B1645="","",$F$8*SIN(B1645) - $B$7*SIN($F$6*B1645))</x:f>
      </x:c>
      <x:c r="E1645" s="14">
        <x:f>IF(B1645="","", C1645 + $F$12*$F$9*(-H1645)/IF(SQRT(G1645^2+H1645^2)=0,1,SQRT(G1645^2+H1645^2)))</x:f>
      </x:c>
      <x:c r="F1645" s="14">
        <x:f>IF(B1645="","", D1645 + $F$12*$F$9*(G1645)/IF(SQRT(G1645^2+H1645^2)=0,1,SQRT(G1645^2+H1645^2)))</x:f>
      </x:c>
      <x:c r="G1645" s="14">
        <x:f>IF(B1645="","", -$F$8*SIN(B1645) - $B$7*$F$6*SIN($F$6*B1645))</x:f>
      </x:c>
      <x:c r="H1645" s="14">
        <x:f>IF(B1645="","", $F$8*COS(B1645) - $B$7*$F$6*COS($F$6*B1645))</x:f>
      </x:c>
    </x:row>
    <x:row r="1646">
      <x:c r="A1646" s="13" t="n">
        <x:v>1627</x:v>
      </x:c>
      <x:c r="B1646" s="14">
        <x:f>IF($B$12&lt;1627,"",$B$13+(1627-1)*($B$14-$B$13)/($B$12-1))</x:f>
      </x:c>
      <x:c r="C1646" s="14">
        <x:f>IF(B1646="","",$F$8*COS(B1646) + $B$7*COS($F$6*B1646))</x:f>
      </x:c>
      <x:c r="D1646" s="14">
        <x:f>IF(B1646="","",$F$8*SIN(B1646) - $B$7*SIN($F$6*B1646))</x:f>
      </x:c>
      <x:c r="E1646" s="14">
        <x:f>IF(B1646="","", C1646 + $F$12*$F$9*(-H1646)/IF(SQRT(G1646^2+H1646^2)=0,1,SQRT(G1646^2+H1646^2)))</x:f>
      </x:c>
      <x:c r="F1646" s="14">
        <x:f>IF(B1646="","", D1646 + $F$12*$F$9*(G1646)/IF(SQRT(G1646^2+H1646^2)=0,1,SQRT(G1646^2+H1646^2)))</x:f>
      </x:c>
      <x:c r="G1646" s="14">
        <x:f>IF(B1646="","", -$F$8*SIN(B1646) - $B$7*$F$6*SIN($F$6*B1646))</x:f>
      </x:c>
      <x:c r="H1646" s="14">
        <x:f>IF(B1646="","", $F$8*COS(B1646) - $B$7*$F$6*COS($F$6*B1646))</x:f>
      </x:c>
    </x:row>
    <x:row r="1647">
      <x:c r="A1647" s="13" t="n">
        <x:v>1628</x:v>
      </x:c>
      <x:c r="B1647" s="14">
        <x:f>IF($B$12&lt;1628,"",$B$13+(1628-1)*($B$14-$B$13)/($B$12-1))</x:f>
      </x:c>
      <x:c r="C1647" s="14">
        <x:f>IF(B1647="","",$F$8*COS(B1647) + $B$7*COS($F$6*B1647))</x:f>
      </x:c>
      <x:c r="D1647" s="14">
        <x:f>IF(B1647="","",$F$8*SIN(B1647) - $B$7*SIN($F$6*B1647))</x:f>
      </x:c>
      <x:c r="E1647" s="14">
        <x:f>IF(B1647="","", C1647 + $F$12*$F$9*(-H1647)/IF(SQRT(G1647^2+H1647^2)=0,1,SQRT(G1647^2+H1647^2)))</x:f>
      </x:c>
      <x:c r="F1647" s="14">
        <x:f>IF(B1647="","", D1647 + $F$12*$F$9*(G1647)/IF(SQRT(G1647^2+H1647^2)=0,1,SQRT(G1647^2+H1647^2)))</x:f>
      </x:c>
      <x:c r="G1647" s="14">
        <x:f>IF(B1647="","", -$F$8*SIN(B1647) - $B$7*$F$6*SIN($F$6*B1647))</x:f>
      </x:c>
      <x:c r="H1647" s="14">
        <x:f>IF(B1647="","", $F$8*COS(B1647) - $B$7*$F$6*COS($F$6*B1647))</x:f>
      </x:c>
    </x:row>
    <x:row r="1648">
      <x:c r="A1648" s="13" t="n">
        <x:v>1629</x:v>
      </x:c>
      <x:c r="B1648" s="14">
        <x:f>IF($B$12&lt;1629,"",$B$13+(1629-1)*($B$14-$B$13)/($B$12-1))</x:f>
      </x:c>
      <x:c r="C1648" s="14">
        <x:f>IF(B1648="","",$F$8*COS(B1648) + $B$7*COS($F$6*B1648))</x:f>
      </x:c>
      <x:c r="D1648" s="14">
        <x:f>IF(B1648="","",$F$8*SIN(B1648) - $B$7*SIN($F$6*B1648))</x:f>
      </x:c>
      <x:c r="E1648" s="14">
        <x:f>IF(B1648="","", C1648 + $F$12*$F$9*(-H1648)/IF(SQRT(G1648^2+H1648^2)=0,1,SQRT(G1648^2+H1648^2)))</x:f>
      </x:c>
      <x:c r="F1648" s="14">
        <x:f>IF(B1648="","", D1648 + $F$12*$F$9*(G1648)/IF(SQRT(G1648^2+H1648^2)=0,1,SQRT(G1648^2+H1648^2)))</x:f>
      </x:c>
      <x:c r="G1648" s="14">
        <x:f>IF(B1648="","", -$F$8*SIN(B1648) - $B$7*$F$6*SIN($F$6*B1648))</x:f>
      </x:c>
      <x:c r="H1648" s="14">
        <x:f>IF(B1648="","", $F$8*COS(B1648) - $B$7*$F$6*COS($F$6*B1648))</x:f>
      </x:c>
    </x:row>
    <x:row r="1649">
      <x:c r="A1649" s="13" t="n">
        <x:v>1630</x:v>
      </x:c>
      <x:c r="B1649" s="14">
        <x:f>IF($B$12&lt;1630,"",$B$13+(1630-1)*($B$14-$B$13)/($B$12-1))</x:f>
      </x:c>
      <x:c r="C1649" s="14">
        <x:f>IF(B1649="","",$F$8*COS(B1649) + $B$7*COS($F$6*B1649))</x:f>
      </x:c>
      <x:c r="D1649" s="14">
        <x:f>IF(B1649="","",$F$8*SIN(B1649) - $B$7*SIN($F$6*B1649))</x:f>
      </x:c>
      <x:c r="E1649" s="14">
        <x:f>IF(B1649="","", C1649 + $F$12*$F$9*(-H1649)/IF(SQRT(G1649^2+H1649^2)=0,1,SQRT(G1649^2+H1649^2)))</x:f>
      </x:c>
      <x:c r="F1649" s="14">
        <x:f>IF(B1649="","", D1649 + $F$12*$F$9*(G1649)/IF(SQRT(G1649^2+H1649^2)=0,1,SQRT(G1649^2+H1649^2)))</x:f>
      </x:c>
      <x:c r="G1649" s="14">
        <x:f>IF(B1649="","", -$F$8*SIN(B1649) - $B$7*$F$6*SIN($F$6*B1649))</x:f>
      </x:c>
      <x:c r="H1649" s="14">
        <x:f>IF(B1649="","", $F$8*COS(B1649) - $B$7*$F$6*COS($F$6*B1649))</x:f>
      </x:c>
    </x:row>
    <x:row r="1650">
      <x:c r="A1650" s="13" t="n">
        <x:v>1631</x:v>
      </x:c>
      <x:c r="B1650" s="14">
        <x:f>IF($B$12&lt;1631,"",$B$13+(1631-1)*($B$14-$B$13)/($B$12-1))</x:f>
      </x:c>
      <x:c r="C1650" s="14">
        <x:f>IF(B1650="","",$F$8*COS(B1650) + $B$7*COS($F$6*B1650))</x:f>
      </x:c>
      <x:c r="D1650" s="14">
        <x:f>IF(B1650="","",$F$8*SIN(B1650) - $B$7*SIN($F$6*B1650))</x:f>
      </x:c>
      <x:c r="E1650" s="14">
        <x:f>IF(B1650="","", C1650 + $F$12*$F$9*(-H1650)/IF(SQRT(G1650^2+H1650^2)=0,1,SQRT(G1650^2+H1650^2)))</x:f>
      </x:c>
      <x:c r="F1650" s="14">
        <x:f>IF(B1650="","", D1650 + $F$12*$F$9*(G1650)/IF(SQRT(G1650^2+H1650^2)=0,1,SQRT(G1650^2+H1650^2)))</x:f>
      </x:c>
      <x:c r="G1650" s="14">
        <x:f>IF(B1650="","", -$F$8*SIN(B1650) - $B$7*$F$6*SIN($F$6*B1650))</x:f>
      </x:c>
      <x:c r="H1650" s="14">
        <x:f>IF(B1650="","", $F$8*COS(B1650) - $B$7*$F$6*COS($F$6*B1650))</x:f>
      </x:c>
    </x:row>
    <x:row r="1651">
      <x:c r="A1651" s="13" t="n">
        <x:v>1632</x:v>
      </x:c>
      <x:c r="B1651" s="14">
        <x:f>IF($B$12&lt;1632,"",$B$13+(1632-1)*($B$14-$B$13)/($B$12-1))</x:f>
      </x:c>
      <x:c r="C1651" s="14">
        <x:f>IF(B1651="","",$F$8*COS(B1651) + $B$7*COS($F$6*B1651))</x:f>
      </x:c>
      <x:c r="D1651" s="14">
        <x:f>IF(B1651="","",$F$8*SIN(B1651) - $B$7*SIN($F$6*B1651))</x:f>
      </x:c>
      <x:c r="E1651" s="14">
        <x:f>IF(B1651="","", C1651 + $F$12*$F$9*(-H1651)/IF(SQRT(G1651^2+H1651^2)=0,1,SQRT(G1651^2+H1651^2)))</x:f>
      </x:c>
      <x:c r="F1651" s="14">
        <x:f>IF(B1651="","", D1651 + $F$12*$F$9*(G1651)/IF(SQRT(G1651^2+H1651^2)=0,1,SQRT(G1651^2+H1651^2)))</x:f>
      </x:c>
      <x:c r="G1651" s="14">
        <x:f>IF(B1651="","", -$F$8*SIN(B1651) - $B$7*$F$6*SIN($F$6*B1651))</x:f>
      </x:c>
      <x:c r="H1651" s="14">
        <x:f>IF(B1651="","", $F$8*COS(B1651) - $B$7*$F$6*COS($F$6*B1651))</x:f>
      </x:c>
    </x:row>
    <x:row r="1652">
      <x:c r="A1652" s="13" t="n">
        <x:v>1633</x:v>
      </x:c>
      <x:c r="B1652" s="14">
        <x:f>IF($B$12&lt;1633,"",$B$13+(1633-1)*($B$14-$B$13)/($B$12-1))</x:f>
      </x:c>
      <x:c r="C1652" s="14">
        <x:f>IF(B1652="","",$F$8*COS(B1652) + $B$7*COS($F$6*B1652))</x:f>
      </x:c>
      <x:c r="D1652" s="14">
        <x:f>IF(B1652="","",$F$8*SIN(B1652) - $B$7*SIN($F$6*B1652))</x:f>
      </x:c>
      <x:c r="E1652" s="14">
        <x:f>IF(B1652="","", C1652 + $F$12*$F$9*(-H1652)/IF(SQRT(G1652^2+H1652^2)=0,1,SQRT(G1652^2+H1652^2)))</x:f>
      </x:c>
      <x:c r="F1652" s="14">
        <x:f>IF(B1652="","", D1652 + $F$12*$F$9*(G1652)/IF(SQRT(G1652^2+H1652^2)=0,1,SQRT(G1652^2+H1652^2)))</x:f>
      </x:c>
      <x:c r="G1652" s="14">
        <x:f>IF(B1652="","", -$F$8*SIN(B1652) - $B$7*$F$6*SIN($F$6*B1652))</x:f>
      </x:c>
      <x:c r="H1652" s="14">
        <x:f>IF(B1652="","", $F$8*COS(B1652) - $B$7*$F$6*COS($F$6*B1652))</x:f>
      </x:c>
    </x:row>
    <x:row r="1653">
      <x:c r="A1653" s="13" t="n">
        <x:v>1634</x:v>
      </x:c>
      <x:c r="B1653" s="14">
        <x:f>IF($B$12&lt;1634,"",$B$13+(1634-1)*($B$14-$B$13)/($B$12-1))</x:f>
      </x:c>
      <x:c r="C1653" s="14">
        <x:f>IF(B1653="","",$F$8*COS(B1653) + $B$7*COS($F$6*B1653))</x:f>
      </x:c>
      <x:c r="D1653" s="14">
        <x:f>IF(B1653="","",$F$8*SIN(B1653) - $B$7*SIN($F$6*B1653))</x:f>
      </x:c>
      <x:c r="E1653" s="14">
        <x:f>IF(B1653="","", C1653 + $F$12*$F$9*(-H1653)/IF(SQRT(G1653^2+H1653^2)=0,1,SQRT(G1653^2+H1653^2)))</x:f>
      </x:c>
      <x:c r="F1653" s="14">
        <x:f>IF(B1653="","", D1653 + $F$12*$F$9*(G1653)/IF(SQRT(G1653^2+H1653^2)=0,1,SQRT(G1653^2+H1653^2)))</x:f>
      </x:c>
      <x:c r="G1653" s="14">
        <x:f>IF(B1653="","", -$F$8*SIN(B1653) - $B$7*$F$6*SIN($F$6*B1653))</x:f>
      </x:c>
      <x:c r="H1653" s="14">
        <x:f>IF(B1653="","", $F$8*COS(B1653) - $B$7*$F$6*COS($F$6*B1653))</x:f>
      </x:c>
    </x:row>
    <x:row r="1654">
      <x:c r="A1654" s="13" t="n">
        <x:v>1635</x:v>
      </x:c>
      <x:c r="B1654" s="14">
        <x:f>IF($B$12&lt;1635,"",$B$13+(1635-1)*($B$14-$B$13)/($B$12-1))</x:f>
      </x:c>
      <x:c r="C1654" s="14">
        <x:f>IF(B1654="","",$F$8*COS(B1654) + $B$7*COS($F$6*B1654))</x:f>
      </x:c>
      <x:c r="D1654" s="14">
        <x:f>IF(B1654="","",$F$8*SIN(B1654) - $B$7*SIN($F$6*B1654))</x:f>
      </x:c>
      <x:c r="E1654" s="14">
        <x:f>IF(B1654="","", C1654 + $F$12*$F$9*(-H1654)/IF(SQRT(G1654^2+H1654^2)=0,1,SQRT(G1654^2+H1654^2)))</x:f>
      </x:c>
      <x:c r="F1654" s="14">
        <x:f>IF(B1654="","", D1654 + $F$12*$F$9*(G1654)/IF(SQRT(G1654^2+H1654^2)=0,1,SQRT(G1654^2+H1654^2)))</x:f>
      </x:c>
      <x:c r="G1654" s="14">
        <x:f>IF(B1654="","", -$F$8*SIN(B1654) - $B$7*$F$6*SIN($F$6*B1654))</x:f>
      </x:c>
      <x:c r="H1654" s="14">
        <x:f>IF(B1654="","", $F$8*COS(B1654) - $B$7*$F$6*COS($F$6*B1654))</x:f>
      </x:c>
    </x:row>
    <x:row r="1655">
      <x:c r="A1655" s="13" t="n">
        <x:v>1636</x:v>
      </x:c>
      <x:c r="B1655" s="14">
        <x:f>IF($B$12&lt;1636,"",$B$13+(1636-1)*($B$14-$B$13)/($B$12-1))</x:f>
      </x:c>
      <x:c r="C1655" s="14">
        <x:f>IF(B1655="","",$F$8*COS(B1655) + $B$7*COS($F$6*B1655))</x:f>
      </x:c>
      <x:c r="D1655" s="14">
        <x:f>IF(B1655="","",$F$8*SIN(B1655) - $B$7*SIN($F$6*B1655))</x:f>
      </x:c>
      <x:c r="E1655" s="14">
        <x:f>IF(B1655="","", C1655 + $F$12*$F$9*(-H1655)/IF(SQRT(G1655^2+H1655^2)=0,1,SQRT(G1655^2+H1655^2)))</x:f>
      </x:c>
      <x:c r="F1655" s="14">
        <x:f>IF(B1655="","", D1655 + $F$12*$F$9*(G1655)/IF(SQRT(G1655^2+H1655^2)=0,1,SQRT(G1655^2+H1655^2)))</x:f>
      </x:c>
      <x:c r="G1655" s="14">
        <x:f>IF(B1655="","", -$F$8*SIN(B1655) - $B$7*$F$6*SIN($F$6*B1655))</x:f>
      </x:c>
      <x:c r="H1655" s="14">
        <x:f>IF(B1655="","", $F$8*COS(B1655) - $B$7*$F$6*COS($F$6*B1655))</x:f>
      </x:c>
    </x:row>
    <x:row r="1656">
      <x:c r="A1656" s="13" t="n">
        <x:v>1637</x:v>
      </x:c>
      <x:c r="B1656" s="14">
        <x:f>IF($B$12&lt;1637,"",$B$13+(1637-1)*($B$14-$B$13)/($B$12-1))</x:f>
      </x:c>
      <x:c r="C1656" s="14">
        <x:f>IF(B1656="","",$F$8*COS(B1656) + $B$7*COS($F$6*B1656))</x:f>
      </x:c>
      <x:c r="D1656" s="14">
        <x:f>IF(B1656="","",$F$8*SIN(B1656) - $B$7*SIN($F$6*B1656))</x:f>
      </x:c>
      <x:c r="E1656" s="14">
        <x:f>IF(B1656="","", C1656 + $F$12*$F$9*(-H1656)/IF(SQRT(G1656^2+H1656^2)=0,1,SQRT(G1656^2+H1656^2)))</x:f>
      </x:c>
      <x:c r="F1656" s="14">
        <x:f>IF(B1656="","", D1656 + $F$12*$F$9*(G1656)/IF(SQRT(G1656^2+H1656^2)=0,1,SQRT(G1656^2+H1656^2)))</x:f>
      </x:c>
      <x:c r="G1656" s="14">
        <x:f>IF(B1656="","", -$F$8*SIN(B1656) - $B$7*$F$6*SIN($F$6*B1656))</x:f>
      </x:c>
      <x:c r="H1656" s="14">
        <x:f>IF(B1656="","", $F$8*COS(B1656) - $B$7*$F$6*COS($F$6*B1656))</x:f>
      </x:c>
    </x:row>
    <x:row r="1657">
      <x:c r="A1657" s="13" t="n">
        <x:v>1638</x:v>
      </x:c>
      <x:c r="B1657" s="14">
        <x:f>IF($B$12&lt;1638,"",$B$13+(1638-1)*($B$14-$B$13)/($B$12-1))</x:f>
      </x:c>
      <x:c r="C1657" s="14">
        <x:f>IF(B1657="","",$F$8*COS(B1657) + $B$7*COS($F$6*B1657))</x:f>
      </x:c>
      <x:c r="D1657" s="14">
        <x:f>IF(B1657="","",$F$8*SIN(B1657) - $B$7*SIN($F$6*B1657))</x:f>
      </x:c>
      <x:c r="E1657" s="14">
        <x:f>IF(B1657="","", C1657 + $F$12*$F$9*(-H1657)/IF(SQRT(G1657^2+H1657^2)=0,1,SQRT(G1657^2+H1657^2)))</x:f>
      </x:c>
      <x:c r="F1657" s="14">
        <x:f>IF(B1657="","", D1657 + $F$12*$F$9*(G1657)/IF(SQRT(G1657^2+H1657^2)=0,1,SQRT(G1657^2+H1657^2)))</x:f>
      </x:c>
      <x:c r="G1657" s="14">
        <x:f>IF(B1657="","", -$F$8*SIN(B1657) - $B$7*$F$6*SIN($F$6*B1657))</x:f>
      </x:c>
      <x:c r="H1657" s="14">
        <x:f>IF(B1657="","", $F$8*COS(B1657) - $B$7*$F$6*COS($F$6*B1657))</x:f>
      </x:c>
    </x:row>
    <x:row r="1658">
      <x:c r="A1658" s="13" t="n">
        <x:v>1639</x:v>
      </x:c>
      <x:c r="B1658" s="14">
        <x:f>IF($B$12&lt;1639,"",$B$13+(1639-1)*($B$14-$B$13)/($B$12-1))</x:f>
      </x:c>
      <x:c r="C1658" s="14">
        <x:f>IF(B1658="","",$F$8*COS(B1658) + $B$7*COS($F$6*B1658))</x:f>
      </x:c>
      <x:c r="D1658" s="14">
        <x:f>IF(B1658="","",$F$8*SIN(B1658) - $B$7*SIN($F$6*B1658))</x:f>
      </x:c>
      <x:c r="E1658" s="14">
        <x:f>IF(B1658="","", C1658 + $F$12*$F$9*(-H1658)/IF(SQRT(G1658^2+H1658^2)=0,1,SQRT(G1658^2+H1658^2)))</x:f>
      </x:c>
      <x:c r="F1658" s="14">
        <x:f>IF(B1658="","", D1658 + $F$12*$F$9*(G1658)/IF(SQRT(G1658^2+H1658^2)=0,1,SQRT(G1658^2+H1658^2)))</x:f>
      </x:c>
      <x:c r="G1658" s="14">
        <x:f>IF(B1658="","", -$F$8*SIN(B1658) - $B$7*$F$6*SIN($F$6*B1658))</x:f>
      </x:c>
      <x:c r="H1658" s="14">
        <x:f>IF(B1658="","", $F$8*COS(B1658) - $B$7*$F$6*COS($F$6*B1658))</x:f>
      </x:c>
    </x:row>
    <x:row r="1659">
      <x:c r="A1659" s="13" t="n">
        <x:v>1640</x:v>
      </x:c>
      <x:c r="B1659" s="14">
        <x:f>IF($B$12&lt;1640,"",$B$13+(1640-1)*($B$14-$B$13)/($B$12-1))</x:f>
      </x:c>
      <x:c r="C1659" s="14">
        <x:f>IF(B1659="","",$F$8*COS(B1659) + $B$7*COS($F$6*B1659))</x:f>
      </x:c>
      <x:c r="D1659" s="14">
        <x:f>IF(B1659="","",$F$8*SIN(B1659) - $B$7*SIN($F$6*B1659))</x:f>
      </x:c>
      <x:c r="E1659" s="14">
        <x:f>IF(B1659="","", C1659 + $F$12*$F$9*(-H1659)/IF(SQRT(G1659^2+H1659^2)=0,1,SQRT(G1659^2+H1659^2)))</x:f>
      </x:c>
      <x:c r="F1659" s="14">
        <x:f>IF(B1659="","", D1659 + $F$12*$F$9*(G1659)/IF(SQRT(G1659^2+H1659^2)=0,1,SQRT(G1659^2+H1659^2)))</x:f>
      </x:c>
      <x:c r="G1659" s="14">
        <x:f>IF(B1659="","", -$F$8*SIN(B1659) - $B$7*$F$6*SIN($F$6*B1659))</x:f>
      </x:c>
      <x:c r="H1659" s="14">
        <x:f>IF(B1659="","", $F$8*COS(B1659) - $B$7*$F$6*COS($F$6*B1659))</x:f>
      </x:c>
    </x:row>
    <x:row r="1660">
      <x:c r="A1660" s="13" t="n">
        <x:v>1641</x:v>
      </x:c>
      <x:c r="B1660" s="14">
        <x:f>IF($B$12&lt;1641,"",$B$13+(1641-1)*($B$14-$B$13)/($B$12-1))</x:f>
      </x:c>
      <x:c r="C1660" s="14">
        <x:f>IF(B1660="","",$F$8*COS(B1660) + $B$7*COS($F$6*B1660))</x:f>
      </x:c>
      <x:c r="D1660" s="14">
        <x:f>IF(B1660="","",$F$8*SIN(B1660) - $B$7*SIN($F$6*B1660))</x:f>
      </x:c>
      <x:c r="E1660" s="14">
        <x:f>IF(B1660="","", C1660 + $F$12*$F$9*(-H1660)/IF(SQRT(G1660^2+H1660^2)=0,1,SQRT(G1660^2+H1660^2)))</x:f>
      </x:c>
      <x:c r="F1660" s="14">
        <x:f>IF(B1660="","", D1660 + $F$12*$F$9*(G1660)/IF(SQRT(G1660^2+H1660^2)=0,1,SQRT(G1660^2+H1660^2)))</x:f>
      </x:c>
      <x:c r="G1660" s="14">
        <x:f>IF(B1660="","", -$F$8*SIN(B1660) - $B$7*$F$6*SIN($F$6*B1660))</x:f>
      </x:c>
      <x:c r="H1660" s="14">
        <x:f>IF(B1660="","", $F$8*COS(B1660) - $B$7*$F$6*COS($F$6*B1660))</x:f>
      </x:c>
    </x:row>
    <x:row r="1661">
      <x:c r="A1661" s="13" t="n">
        <x:v>1642</x:v>
      </x:c>
      <x:c r="B1661" s="14">
        <x:f>IF($B$12&lt;1642,"",$B$13+(1642-1)*($B$14-$B$13)/($B$12-1))</x:f>
      </x:c>
      <x:c r="C1661" s="14">
        <x:f>IF(B1661="","",$F$8*COS(B1661) + $B$7*COS($F$6*B1661))</x:f>
      </x:c>
      <x:c r="D1661" s="14">
        <x:f>IF(B1661="","",$F$8*SIN(B1661) - $B$7*SIN($F$6*B1661))</x:f>
      </x:c>
      <x:c r="E1661" s="14">
        <x:f>IF(B1661="","", C1661 + $F$12*$F$9*(-H1661)/IF(SQRT(G1661^2+H1661^2)=0,1,SQRT(G1661^2+H1661^2)))</x:f>
      </x:c>
      <x:c r="F1661" s="14">
        <x:f>IF(B1661="","", D1661 + $F$12*$F$9*(G1661)/IF(SQRT(G1661^2+H1661^2)=0,1,SQRT(G1661^2+H1661^2)))</x:f>
      </x:c>
      <x:c r="G1661" s="14">
        <x:f>IF(B1661="","", -$F$8*SIN(B1661) - $B$7*$F$6*SIN($F$6*B1661))</x:f>
      </x:c>
      <x:c r="H1661" s="14">
        <x:f>IF(B1661="","", $F$8*COS(B1661) - $B$7*$F$6*COS($F$6*B1661))</x:f>
      </x:c>
    </x:row>
    <x:row r="1662">
      <x:c r="A1662" s="13" t="n">
        <x:v>1643</x:v>
      </x:c>
      <x:c r="B1662" s="14">
        <x:f>IF($B$12&lt;1643,"",$B$13+(1643-1)*($B$14-$B$13)/($B$12-1))</x:f>
      </x:c>
      <x:c r="C1662" s="14">
        <x:f>IF(B1662="","",$F$8*COS(B1662) + $B$7*COS($F$6*B1662))</x:f>
      </x:c>
      <x:c r="D1662" s="14">
        <x:f>IF(B1662="","",$F$8*SIN(B1662) - $B$7*SIN($F$6*B1662))</x:f>
      </x:c>
      <x:c r="E1662" s="14">
        <x:f>IF(B1662="","", C1662 + $F$12*$F$9*(-H1662)/IF(SQRT(G1662^2+H1662^2)=0,1,SQRT(G1662^2+H1662^2)))</x:f>
      </x:c>
      <x:c r="F1662" s="14">
        <x:f>IF(B1662="","", D1662 + $F$12*$F$9*(G1662)/IF(SQRT(G1662^2+H1662^2)=0,1,SQRT(G1662^2+H1662^2)))</x:f>
      </x:c>
      <x:c r="G1662" s="14">
        <x:f>IF(B1662="","", -$F$8*SIN(B1662) - $B$7*$F$6*SIN($F$6*B1662))</x:f>
      </x:c>
      <x:c r="H1662" s="14">
        <x:f>IF(B1662="","", $F$8*COS(B1662) - $B$7*$F$6*COS($F$6*B1662))</x:f>
      </x:c>
    </x:row>
    <x:row r="1663">
      <x:c r="A1663" s="13" t="n">
        <x:v>1644</x:v>
      </x:c>
      <x:c r="B1663" s="14">
        <x:f>IF($B$12&lt;1644,"",$B$13+(1644-1)*($B$14-$B$13)/($B$12-1))</x:f>
      </x:c>
      <x:c r="C1663" s="14">
        <x:f>IF(B1663="","",$F$8*COS(B1663) + $B$7*COS($F$6*B1663))</x:f>
      </x:c>
      <x:c r="D1663" s="14">
        <x:f>IF(B1663="","",$F$8*SIN(B1663) - $B$7*SIN($F$6*B1663))</x:f>
      </x:c>
      <x:c r="E1663" s="14">
        <x:f>IF(B1663="","", C1663 + $F$12*$F$9*(-H1663)/IF(SQRT(G1663^2+H1663^2)=0,1,SQRT(G1663^2+H1663^2)))</x:f>
      </x:c>
      <x:c r="F1663" s="14">
        <x:f>IF(B1663="","", D1663 + $F$12*$F$9*(G1663)/IF(SQRT(G1663^2+H1663^2)=0,1,SQRT(G1663^2+H1663^2)))</x:f>
      </x:c>
      <x:c r="G1663" s="14">
        <x:f>IF(B1663="","", -$F$8*SIN(B1663) - $B$7*$F$6*SIN($F$6*B1663))</x:f>
      </x:c>
      <x:c r="H1663" s="14">
        <x:f>IF(B1663="","", $F$8*COS(B1663) - $B$7*$F$6*COS($F$6*B1663))</x:f>
      </x:c>
    </x:row>
    <x:row r="1664">
      <x:c r="A1664" s="13" t="n">
        <x:v>1645</x:v>
      </x:c>
      <x:c r="B1664" s="14">
        <x:f>IF($B$12&lt;1645,"",$B$13+(1645-1)*($B$14-$B$13)/($B$12-1))</x:f>
      </x:c>
      <x:c r="C1664" s="14">
        <x:f>IF(B1664="","",$F$8*COS(B1664) + $B$7*COS($F$6*B1664))</x:f>
      </x:c>
      <x:c r="D1664" s="14">
        <x:f>IF(B1664="","",$F$8*SIN(B1664) - $B$7*SIN($F$6*B1664))</x:f>
      </x:c>
      <x:c r="E1664" s="14">
        <x:f>IF(B1664="","", C1664 + $F$12*$F$9*(-H1664)/IF(SQRT(G1664^2+H1664^2)=0,1,SQRT(G1664^2+H1664^2)))</x:f>
      </x:c>
      <x:c r="F1664" s="14">
        <x:f>IF(B1664="","", D1664 + $F$12*$F$9*(G1664)/IF(SQRT(G1664^2+H1664^2)=0,1,SQRT(G1664^2+H1664^2)))</x:f>
      </x:c>
      <x:c r="G1664" s="14">
        <x:f>IF(B1664="","", -$F$8*SIN(B1664) - $B$7*$F$6*SIN($F$6*B1664))</x:f>
      </x:c>
      <x:c r="H1664" s="14">
        <x:f>IF(B1664="","", $F$8*COS(B1664) - $B$7*$F$6*COS($F$6*B1664))</x:f>
      </x:c>
    </x:row>
    <x:row r="1665">
      <x:c r="A1665" s="13" t="n">
        <x:v>1646</x:v>
      </x:c>
      <x:c r="B1665" s="14">
        <x:f>IF($B$12&lt;1646,"",$B$13+(1646-1)*($B$14-$B$13)/($B$12-1))</x:f>
      </x:c>
      <x:c r="C1665" s="14">
        <x:f>IF(B1665="","",$F$8*COS(B1665) + $B$7*COS($F$6*B1665))</x:f>
      </x:c>
      <x:c r="D1665" s="14">
        <x:f>IF(B1665="","",$F$8*SIN(B1665) - $B$7*SIN($F$6*B1665))</x:f>
      </x:c>
      <x:c r="E1665" s="14">
        <x:f>IF(B1665="","", C1665 + $F$12*$F$9*(-H1665)/IF(SQRT(G1665^2+H1665^2)=0,1,SQRT(G1665^2+H1665^2)))</x:f>
      </x:c>
      <x:c r="F1665" s="14">
        <x:f>IF(B1665="","", D1665 + $F$12*$F$9*(G1665)/IF(SQRT(G1665^2+H1665^2)=0,1,SQRT(G1665^2+H1665^2)))</x:f>
      </x:c>
      <x:c r="G1665" s="14">
        <x:f>IF(B1665="","", -$F$8*SIN(B1665) - $B$7*$F$6*SIN($F$6*B1665))</x:f>
      </x:c>
      <x:c r="H1665" s="14">
        <x:f>IF(B1665="","", $F$8*COS(B1665) - $B$7*$F$6*COS($F$6*B1665))</x:f>
      </x:c>
    </x:row>
    <x:row r="1666">
      <x:c r="A1666" s="13" t="n">
        <x:v>1647</x:v>
      </x:c>
      <x:c r="B1666" s="14">
        <x:f>IF($B$12&lt;1647,"",$B$13+(1647-1)*($B$14-$B$13)/($B$12-1))</x:f>
      </x:c>
      <x:c r="C1666" s="14">
        <x:f>IF(B1666="","",$F$8*COS(B1666) + $B$7*COS($F$6*B1666))</x:f>
      </x:c>
      <x:c r="D1666" s="14">
        <x:f>IF(B1666="","",$F$8*SIN(B1666) - $B$7*SIN($F$6*B1666))</x:f>
      </x:c>
      <x:c r="E1666" s="14">
        <x:f>IF(B1666="","", C1666 + $F$12*$F$9*(-H1666)/IF(SQRT(G1666^2+H1666^2)=0,1,SQRT(G1666^2+H1666^2)))</x:f>
      </x:c>
      <x:c r="F1666" s="14">
        <x:f>IF(B1666="","", D1666 + $F$12*$F$9*(G1666)/IF(SQRT(G1666^2+H1666^2)=0,1,SQRT(G1666^2+H1666^2)))</x:f>
      </x:c>
      <x:c r="G1666" s="14">
        <x:f>IF(B1666="","", -$F$8*SIN(B1666) - $B$7*$F$6*SIN($F$6*B1666))</x:f>
      </x:c>
      <x:c r="H1666" s="14">
        <x:f>IF(B1666="","", $F$8*COS(B1666) - $B$7*$F$6*COS($F$6*B1666))</x:f>
      </x:c>
    </x:row>
    <x:row r="1667">
      <x:c r="A1667" s="13" t="n">
        <x:v>1648</x:v>
      </x:c>
      <x:c r="B1667" s="14">
        <x:f>IF($B$12&lt;1648,"",$B$13+(1648-1)*($B$14-$B$13)/($B$12-1))</x:f>
      </x:c>
      <x:c r="C1667" s="14">
        <x:f>IF(B1667="","",$F$8*COS(B1667) + $B$7*COS($F$6*B1667))</x:f>
      </x:c>
      <x:c r="D1667" s="14">
        <x:f>IF(B1667="","",$F$8*SIN(B1667) - $B$7*SIN($F$6*B1667))</x:f>
      </x:c>
      <x:c r="E1667" s="14">
        <x:f>IF(B1667="","", C1667 + $F$12*$F$9*(-H1667)/IF(SQRT(G1667^2+H1667^2)=0,1,SQRT(G1667^2+H1667^2)))</x:f>
      </x:c>
      <x:c r="F1667" s="14">
        <x:f>IF(B1667="","", D1667 + $F$12*$F$9*(G1667)/IF(SQRT(G1667^2+H1667^2)=0,1,SQRT(G1667^2+H1667^2)))</x:f>
      </x:c>
      <x:c r="G1667" s="14">
        <x:f>IF(B1667="","", -$F$8*SIN(B1667) - $B$7*$F$6*SIN($F$6*B1667))</x:f>
      </x:c>
      <x:c r="H1667" s="14">
        <x:f>IF(B1667="","", $F$8*COS(B1667) - $B$7*$F$6*COS($F$6*B1667))</x:f>
      </x:c>
    </x:row>
    <x:row r="1668">
      <x:c r="A1668" s="13" t="n">
        <x:v>1649</x:v>
      </x:c>
      <x:c r="B1668" s="14">
        <x:f>IF($B$12&lt;1649,"",$B$13+(1649-1)*($B$14-$B$13)/($B$12-1))</x:f>
      </x:c>
      <x:c r="C1668" s="14">
        <x:f>IF(B1668="","",$F$8*COS(B1668) + $B$7*COS($F$6*B1668))</x:f>
      </x:c>
      <x:c r="D1668" s="14">
        <x:f>IF(B1668="","",$F$8*SIN(B1668) - $B$7*SIN($F$6*B1668))</x:f>
      </x:c>
      <x:c r="E1668" s="14">
        <x:f>IF(B1668="","", C1668 + $F$12*$F$9*(-H1668)/IF(SQRT(G1668^2+H1668^2)=0,1,SQRT(G1668^2+H1668^2)))</x:f>
      </x:c>
      <x:c r="F1668" s="14">
        <x:f>IF(B1668="","", D1668 + $F$12*$F$9*(G1668)/IF(SQRT(G1668^2+H1668^2)=0,1,SQRT(G1668^2+H1668^2)))</x:f>
      </x:c>
      <x:c r="G1668" s="14">
        <x:f>IF(B1668="","", -$F$8*SIN(B1668) - $B$7*$F$6*SIN($F$6*B1668))</x:f>
      </x:c>
      <x:c r="H1668" s="14">
        <x:f>IF(B1668="","", $F$8*COS(B1668) - $B$7*$F$6*COS($F$6*B1668))</x:f>
      </x:c>
    </x:row>
    <x:row r="1669">
      <x:c r="A1669" s="13" t="n">
        <x:v>1650</x:v>
      </x:c>
      <x:c r="B1669" s="14">
        <x:f>IF($B$12&lt;1650,"",$B$13+(1650-1)*($B$14-$B$13)/($B$12-1))</x:f>
      </x:c>
      <x:c r="C1669" s="14">
        <x:f>IF(B1669="","",$F$8*COS(B1669) + $B$7*COS($F$6*B1669))</x:f>
      </x:c>
      <x:c r="D1669" s="14">
        <x:f>IF(B1669="","",$F$8*SIN(B1669) - $B$7*SIN($F$6*B1669))</x:f>
      </x:c>
      <x:c r="E1669" s="14">
        <x:f>IF(B1669="","", C1669 + $F$12*$F$9*(-H1669)/IF(SQRT(G1669^2+H1669^2)=0,1,SQRT(G1669^2+H1669^2)))</x:f>
      </x:c>
      <x:c r="F1669" s="14">
        <x:f>IF(B1669="","", D1669 + $F$12*$F$9*(G1669)/IF(SQRT(G1669^2+H1669^2)=0,1,SQRT(G1669^2+H1669^2)))</x:f>
      </x:c>
      <x:c r="G1669" s="14">
        <x:f>IF(B1669="","", -$F$8*SIN(B1669) - $B$7*$F$6*SIN($F$6*B1669))</x:f>
      </x:c>
      <x:c r="H1669" s="14">
        <x:f>IF(B1669="","", $F$8*COS(B1669) - $B$7*$F$6*COS($F$6*B1669))</x:f>
      </x:c>
    </x:row>
    <x:row r="1670">
      <x:c r="A1670" s="13" t="n">
        <x:v>1651</x:v>
      </x:c>
      <x:c r="B1670" s="14">
        <x:f>IF($B$12&lt;1651,"",$B$13+(1651-1)*($B$14-$B$13)/($B$12-1))</x:f>
      </x:c>
      <x:c r="C1670" s="14">
        <x:f>IF(B1670="","",$F$8*COS(B1670) + $B$7*COS($F$6*B1670))</x:f>
      </x:c>
      <x:c r="D1670" s="14">
        <x:f>IF(B1670="","",$F$8*SIN(B1670) - $B$7*SIN($F$6*B1670))</x:f>
      </x:c>
      <x:c r="E1670" s="14">
        <x:f>IF(B1670="","", C1670 + $F$12*$F$9*(-H1670)/IF(SQRT(G1670^2+H1670^2)=0,1,SQRT(G1670^2+H1670^2)))</x:f>
      </x:c>
      <x:c r="F1670" s="14">
        <x:f>IF(B1670="","", D1670 + $F$12*$F$9*(G1670)/IF(SQRT(G1670^2+H1670^2)=0,1,SQRT(G1670^2+H1670^2)))</x:f>
      </x:c>
      <x:c r="G1670" s="14">
        <x:f>IF(B1670="","", -$F$8*SIN(B1670) - $B$7*$F$6*SIN($F$6*B1670))</x:f>
      </x:c>
      <x:c r="H1670" s="14">
        <x:f>IF(B1670="","", $F$8*COS(B1670) - $B$7*$F$6*COS($F$6*B1670))</x:f>
      </x:c>
    </x:row>
    <x:row r="1671">
      <x:c r="A1671" s="13" t="n">
        <x:v>1652</x:v>
      </x:c>
      <x:c r="B1671" s="14">
        <x:f>IF($B$12&lt;1652,"",$B$13+(1652-1)*($B$14-$B$13)/($B$12-1))</x:f>
      </x:c>
      <x:c r="C1671" s="14">
        <x:f>IF(B1671="","",$F$8*COS(B1671) + $B$7*COS($F$6*B1671))</x:f>
      </x:c>
      <x:c r="D1671" s="14">
        <x:f>IF(B1671="","",$F$8*SIN(B1671) - $B$7*SIN($F$6*B1671))</x:f>
      </x:c>
      <x:c r="E1671" s="14">
        <x:f>IF(B1671="","", C1671 + $F$12*$F$9*(-H1671)/IF(SQRT(G1671^2+H1671^2)=0,1,SQRT(G1671^2+H1671^2)))</x:f>
      </x:c>
      <x:c r="F1671" s="14">
        <x:f>IF(B1671="","", D1671 + $F$12*$F$9*(G1671)/IF(SQRT(G1671^2+H1671^2)=0,1,SQRT(G1671^2+H1671^2)))</x:f>
      </x:c>
      <x:c r="G1671" s="14">
        <x:f>IF(B1671="","", -$F$8*SIN(B1671) - $B$7*$F$6*SIN($F$6*B1671))</x:f>
      </x:c>
      <x:c r="H1671" s="14">
        <x:f>IF(B1671="","", $F$8*COS(B1671) - $B$7*$F$6*COS($F$6*B1671))</x:f>
      </x:c>
    </x:row>
    <x:row r="1672">
      <x:c r="A1672" s="13" t="n">
        <x:v>1653</x:v>
      </x:c>
      <x:c r="B1672" s="14">
        <x:f>IF($B$12&lt;1653,"",$B$13+(1653-1)*($B$14-$B$13)/($B$12-1))</x:f>
      </x:c>
      <x:c r="C1672" s="14">
        <x:f>IF(B1672="","",$F$8*COS(B1672) + $B$7*COS($F$6*B1672))</x:f>
      </x:c>
      <x:c r="D1672" s="14">
        <x:f>IF(B1672="","",$F$8*SIN(B1672) - $B$7*SIN($F$6*B1672))</x:f>
      </x:c>
      <x:c r="E1672" s="14">
        <x:f>IF(B1672="","", C1672 + $F$12*$F$9*(-H1672)/IF(SQRT(G1672^2+H1672^2)=0,1,SQRT(G1672^2+H1672^2)))</x:f>
      </x:c>
      <x:c r="F1672" s="14">
        <x:f>IF(B1672="","", D1672 + $F$12*$F$9*(G1672)/IF(SQRT(G1672^2+H1672^2)=0,1,SQRT(G1672^2+H1672^2)))</x:f>
      </x:c>
      <x:c r="G1672" s="14">
        <x:f>IF(B1672="","", -$F$8*SIN(B1672) - $B$7*$F$6*SIN($F$6*B1672))</x:f>
      </x:c>
      <x:c r="H1672" s="14">
        <x:f>IF(B1672="","", $F$8*COS(B1672) - $B$7*$F$6*COS($F$6*B1672))</x:f>
      </x:c>
    </x:row>
    <x:row r="1673">
      <x:c r="A1673" s="13" t="n">
        <x:v>1654</x:v>
      </x:c>
      <x:c r="B1673" s="14">
        <x:f>IF($B$12&lt;1654,"",$B$13+(1654-1)*($B$14-$B$13)/($B$12-1))</x:f>
      </x:c>
      <x:c r="C1673" s="14">
        <x:f>IF(B1673="","",$F$8*COS(B1673) + $B$7*COS($F$6*B1673))</x:f>
      </x:c>
      <x:c r="D1673" s="14">
        <x:f>IF(B1673="","",$F$8*SIN(B1673) - $B$7*SIN($F$6*B1673))</x:f>
      </x:c>
      <x:c r="E1673" s="14">
        <x:f>IF(B1673="","", C1673 + $F$12*$F$9*(-H1673)/IF(SQRT(G1673^2+H1673^2)=0,1,SQRT(G1673^2+H1673^2)))</x:f>
      </x:c>
      <x:c r="F1673" s="14">
        <x:f>IF(B1673="","", D1673 + $F$12*$F$9*(G1673)/IF(SQRT(G1673^2+H1673^2)=0,1,SQRT(G1673^2+H1673^2)))</x:f>
      </x:c>
      <x:c r="G1673" s="14">
        <x:f>IF(B1673="","", -$F$8*SIN(B1673) - $B$7*$F$6*SIN($F$6*B1673))</x:f>
      </x:c>
      <x:c r="H1673" s="14">
        <x:f>IF(B1673="","", $F$8*COS(B1673) - $B$7*$F$6*COS($F$6*B1673))</x:f>
      </x:c>
    </x:row>
    <x:row r="1674">
      <x:c r="A1674" s="13" t="n">
        <x:v>1655</x:v>
      </x:c>
      <x:c r="B1674" s="14">
        <x:f>IF($B$12&lt;1655,"",$B$13+(1655-1)*($B$14-$B$13)/($B$12-1))</x:f>
      </x:c>
      <x:c r="C1674" s="14">
        <x:f>IF(B1674="","",$F$8*COS(B1674) + $B$7*COS($F$6*B1674))</x:f>
      </x:c>
      <x:c r="D1674" s="14">
        <x:f>IF(B1674="","",$F$8*SIN(B1674) - $B$7*SIN($F$6*B1674))</x:f>
      </x:c>
      <x:c r="E1674" s="14">
        <x:f>IF(B1674="","", C1674 + $F$12*$F$9*(-H1674)/IF(SQRT(G1674^2+H1674^2)=0,1,SQRT(G1674^2+H1674^2)))</x:f>
      </x:c>
      <x:c r="F1674" s="14">
        <x:f>IF(B1674="","", D1674 + $F$12*$F$9*(G1674)/IF(SQRT(G1674^2+H1674^2)=0,1,SQRT(G1674^2+H1674^2)))</x:f>
      </x:c>
      <x:c r="G1674" s="14">
        <x:f>IF(B1674="","", -$F$8*SIN(B1674) - $B$7*$F$6*SIN($F$6*B1674))</x:f>
      </x:c>
      <x:c r="H1674" s="14">
        <x:f>IF(B1674="","", $F$8*COS(B1674) - $B$7*$F$6*COS($F$6*B1674))</x:f>
      </x:c>
    </x:row>
    <x:row r="1675">
      <x:c r="A1675" s="13" t="n">
        <x:v>1656</x:v>
      </x:c>
      <x:c r="B1675" s="14">
        <x:f>IF($B$12&lt;1656,"",$B$13+(1656-1)*($B$14-$B$13)/($B$12-1))</x:f>
      </x:c>
      <x:c r="C1675" s="14">
        <x:f>IF(B1675="","",$F$8*COS(B1675) + $B$7*COS($F$6*B1675))</x:f>
      </x:c>
      <x:c r="D1675" s="14">
        <x:f>IF(B1675="","",$F$8*SIN(B1675) - $B$7*SIN($F$6*B1675))</x:f>
      </x:c>
      <x:c r="E1675" s="14">
        <x:f>IF(B1675="","", C1675 + $F$12*$F$9*(-H1675)/IF(SQRT(G1675^2+H1675^2)=0,1,SQRT(G1675^2+H1675^2)))</x:f>
      </x:c>
      <x:c r="F1675" s="14">
        <x:f>IF(B1675="","", D1675 + $F$12*$F$9*(G1675)/IF(SQRT(G1675^2+H1675^2)=0,1,SQRT(G1675^2+H1675^2)))</x:f>
      </x:c>
      <x:c r="G1675" s="14">
        <x:f>IF(B1675="","", -$F$8*SIN(B1675) - $B$7*$F$6*SIN($F$6*B1675))</x:f>
      </x:c>
      <x:c r="H1675" s="14">
        <x:f>IF(B1675="","", $F$8*COS(B1675) - $B$7*$F$6*COS($F$6*B1675))</x:f>
      </x:c>
    </x:row>
    <x:row r="1676">
      <x:c r="A1676" s="13" t="n">
        <x:v>1657</x:v>
      </x:c>
      <x:c r="B1676" s="14">
        <x:f>IF($B$12&lt;1657,"",$B$13+(1657-1)*($B$14-$B$13)/($B$12-1))</x:f>
      </x:c>
      <x:c r="C1676" s="14">
        <x:f>IF(B1676="","",$F$8*COS(B1676) + $B$7*COS($F$6*B1676))</x:f>
      </x:c>
      <x:c r="D1676" s="14">
        <x:f>IF(B1676="","",$F$8*SIN(B1676) - $B$7*SIN($F$6*B1676))</x:f>
      </x:c>
      <x:c r="E1676" s="14">
        <x:f>IF(B1676="","", C1676 + $F$12*$F$9*(-H1676)/IF(SQRT(G1676^2+H1676^2)=0,1,SQRT(G1676^2+H1676^2)))</x:f>
      </x:c>
      <x:c r="F1676" s="14">
        <x:f>IF(B1676="","", D1676 + $F$12*$F$9*(G1676)/IF(SQRT(G1676^2+H1676^2)=0,1,SQRT(G1676^2+H1676^2)))</x:f>
      </x:c>
      <x:c r="G1676" s="14">
        <x:f>IF(B1676="","", -$F$8*SIN(B1676) - $B$7*$F$6*SIN($F$6*B1676))</x:f>
      </x:c>
      <x:c r="H1676" s="14">
        <x:f>IF(B1676="","", $F$8*COS(B1676) - $B$7*$F$6*COS($F$6*B1676))</x:f>
      </x:c>
    </x:row>
    <x:row r="1677">
      <x:c r="A1677" s="13" t="n">
        <x:v>1658</x:v>
      </x:c>
      <x:c r="B1677" s="14">
        <x:f>IF($B$12&lt;1658,"",$B$13+(1658-1)*($B$14-$B$13)/($B$12-1))</x:f>
      </x:c>
      <x:c r="C1677" s="14">
        <x:f>IF(B1677="","",$F$8*COS(B1677) + $B$7*COS($F$6*B1677))</x:f>
      </x:c>
      <x:c r="D1677" s="14">
        <x:f>IF(B1677="","",$F$8*SIN(B1677) - $B$7*SIN($F$6*B1677))</x:f>
      </x:c>
      <x:c r="E1677" s="14">
        <x:f>IF(B1677="","", C1677 + $F$12*$F$9*(-H1677)/IF(SQRT(G1677^2+H1677^2)=0,1,SQRT(G1677^2+H1677^2)))</x:f>
      </x:c>
      <x:c r="F1677" s="14">
        <x:f>IF(B1677="","", D1677 + $F$12*$F$9*(G1677)/IF(SQRT(G1677^2+H1677^2)=0,1,SQRT(G1677^2+H1677^2)))</x:f>
      </x:c>
      <x:c r="G1677" s="14">
        <x:f>IF(B1677="","", -$F$8*SIN(B1677) - $B$7*$F$6*SIN($F$6*B1677))</x:f>
      </x:c>
      <x:c r="H1677" s="14">
        <x:f>IF(B1677="","", $F$8*COS(B1677) - $B$7*$F$6*COS($F$6*B1677))</x:f>
      </x:c>
    </x:row>
    <x:row r="1678">
      <x:c r="A1678" s="13" t="n">
        <x:v>1659</x:v>
      </x:c>
      <x:c r="B1678" s="14">
        <x:f>IF($B$12&lt;1659,"",$B$13+(1659-1)*($B$14-$B$13)/($B$12-1))</x:f>
      </x:c>
      <x:c r="C1678" s="14">
        <x:f>IF(B1678="","",$F$8*COS(B1678) + $B$7*COS($F$6*B1678))</x:f>
      </x:c>
      <x:c r="D1678" s="14">
        <x:f>IF(B1678="","",$F$8*SIN(B1678) - $B$7*SIN($F$6*B1678))</x:f>
      </x:c>
      <x:c r="E1678" s="14">
        <x:f>IF(B1678="","", C1678 + $F$12*$F$9*(-H1678)/IF(SQRT(G1678^2+H1678^2)=0,1,SQRT(G1678^2+H1678^2)))</x:f>
      </x:c>
      <x:c r="F1678" s="14">
        <x:f>IF(B1678="","", D1678 + $F$12*$F$9*(G1678)/IF(SQRT(G1678^2+H1678^2)=0,1,SQRT(G1678^2+H1678^2)))</x:f>
      </x:c>
      <x:c r="G1678" s="14">
        <x:f>IF(B1678="","", -$F$8*SIN(B1678) - $B$7*$F$6*SIN($F$6*B1678))</x:f>
      </x:c>
      <x:c r="H1678" s="14">
        <x:f>IF(B1678="","", $F$8*COS(B1678) - $B$7*$F$6*COS($F$6*B1678))</x:f>
      </x:c>
    </x:row>
    <x:row r="1679">
      <x:c r="A1679" s="13" t="n">
        <x:v>1660</x:v>
      </x:c>
      <x:c r="B1679" s="14">
        <x:f>IF($B$12&lt;1660,"",$B$13+(1660-1)*($B$14-$B$13)/($B$12-1))</x:f>
      </x:c>
      <x:c r="C1679" s="14">
        <x:f>IF(B1679="","",$F$8*COS(B1679) + $B$7*COS($F$6*B1679))</x:f>
      </x:c>
      <x:c r="D1679" s="14">
        <x:f>IF(B1679="","",$F$8*SIN(B1679) - $B$7*SIN($F$6*B1679))</x:f>
      </x:c>
      <x:c r="E1679" s="14">
        <x:f>IF(B1679="","", C1679 + $F$12*$F$9*(-H1679)/IF(SQRT(G1679^2+H1679^2)=0,1,SQRT(G1679^2+H1679^2)))</x:f>
      </x:c>
      <x:c r="F1679" s="14">
        <x:f>IF(B1679="","", D1679 + $F$12*$F$9*(G1679)/IF(SQRT(G1679^2+H1679^2)=0,1,SQRT(G1679^2+H1679^2)))</x:f>
      </x:c>
      <x:c r="G1679" s="14">
        <x:f>IF(B1679="","", -$F$8*SIN(B1679) - $B$7*$F$6*SIN($F$6*B1679))</x:f>
      </x:c>
      <x:c r="H1679" s="14">
        <x:f>IF(B1679="","", $F$8*COS(B1679) - $B$7*$F$6*COS($F$6*B1679))</x:f>
      </x:c>
    </x:row>
    <x:row r="1680">
      <x:c r="A1680" s="13" t="n">
        <x:v>1661</x:v>
      </x:c>
      <x:c r="B1680" s="14">
        <x:f>IF($B$12&lt;1661,"",$B$13+(1661-1)*($B$14-$B$13)/($B$12-1))</x:f>
      </x:c>
      <x:c r="C1680" s="14">
        <x:f>IF(B1680="","",$F$8*COS(B1680) + $B$7*COS($F$6*B1680))</x:f>
      </x:c>
      <x:c r="D1680" s="14">
        <x:f>IF(B1680="","",$F$8*SIN(B1680) - $B$7*SIN($F$6*B1680))</x:f>
      </x:c>
      <x:c r="E1680" s="14">
        <x:f>IF(B1680="","", C1680 + $F$12*$F$9*(-H1680)/IF(SQRT(G1680^2+H1680^2)=0,1,SQRT(G1680^2+H1680^2)))</x:f>
      </x:c>
      <x:c r="F1680" s="14">
        <x:f>IF(B1680="","", D1680 + $F$12*$F$9*(G1680)/IF(SQRT(G1680^2+H1680^2)=0,1,SQRT(G1680^2+H1680^2)))</x:f>
      </x:c>
      <x:c r="G1680" s="14">
        <x:f>IF(B1680="","", -$F$8*SIN(B1680) - $B$7*$F$6*SIN($F$6*B1680))</x:f>
      </x:c>
      <x:c r="H1680" s="14">
        <x:f>IF(B1680="","", $F$8*COS(B1680) - $B$7*$F$6*COS($F$6*B1680))</x:f>
      </x:c>
    </x:row>
    <x:row r="1681">
      <x:c r="A1681" s="13" t="n">
        <x:v>1662</x:v>
      </x:c>
      <x:c r="B1681" s="14">
        <x:f>IF($B$12&lt;1662,"",$B$13+(1662-1)*($B$14-$B$13)/($B$12-1))</x:f>
      </x:c>
      <x:c r="C1681" s="14">
        <x:f>IF(B1681="","",$F$8*COS(B1681) + $B$7*COS($F$6*B1681))</x:f>
      </x:c>
      <x:c r="D1681" s="14">
        <x:f>IF(B1681="","",$F$8*SIN(B1681) - $B$7*SIN($F$6*B1681))</x:f>
      </x:c>
      <x:c r="E1681" s="14">
        <x:f>IF(B1681="","", C1681 + $F$12*$F$9*(-H1681)/IF(SQRT(G1681^2+H1681^2)=0,1,SQRT(G1681^2+H1681^2)))</x:f>
      </x:c>
      <x:c r="F1681" s="14">
        <x:f>IF(B1681="","", D1681 + $F$12*$F$9*(G1681)/IF(SQRT(G1681^2+H1681^2)=0,1,SQRT(G1681^2+H1681^2)))</x:f>
      </x:c>
      <x:c r="G1681" s="14">
        <x:f>IF(B1681="","", -$F$8*SIN(B1681) - $B$7*$F$6*SIN($F$6*B1681))</x:f>
      </x:c>
      <x:c r="H1681" s="14">
        <x:f>IF(B1681="","", $F$8*COS(B1681) - $B$7*$F$6*COS($F$6*B1681))</x:f>
      </x:c>
    </x:row>
    <x:row r="1682">
      <x:c r="A1682" s="13" t="n">
        <x:v>1663</x:v>
      </x:c>
      <x:c r="B1682" s="14">
        <x:f>IF($B$12&lt;1663,"",$B$13+(1663-1)*($B$14-$B$13)/($B$12-1))</x:f>
      </x:c>
      <x:c r="C1682" s="14">
        <x:f>IF(B1682="","",$F$8*COS(B1682) + $B$7*COS($F$6*B1682))</x:f>
      </x:c>
      <x:c r="D1682" s="14">
        <x:f>IF(B1682="","",$F$8*SIN(B1682) - $B$7*SIN($F$6*B1682))</x:f>
      </x:c>
      <x:c r="E1682" s="14">
        <x:f>IF(B1682="","", C1682 + $F$12*$F$9*(-H1682)/IF(SQRT(G1682^2+H1682^2)=0,1,SQRT(G1682^2+H1682^2)))</x:f>
      </x:c>
      <x:c r="F1682" s="14">
        <x:f>IF(B1682="","", D1682 + $F$12*$F$9*(G1682)/IF(SQRT(G1682^2+H1682^2)=0,1,SQRT(G1682^2+H1682^2)))</x:f>
      </x:c>
      <x:c r="G1682" s="14">
        <x:f>IF(B1682="","", -$F$8*SIN(B1682) - $B$7*$F$6*SIN($F$6*B1682))</x:f>
      </x:c>
      <x:c r="H1682" s="14">
        <x:f>IF(B1682="","", $F$8*COS(B1682) - $B$7*$F$6*COS($F$6*B1682))</x:f>
      </x:c>
    </x:row>
    <x:row r="1683">
      <x:c r="A1683" s="13" t="n">
        <x:v>1664</x:v>
      </x:c>
      <x:c r="B1683" s="14">
        <x:f>IF($B$12&lt;1664,"",$B$13+(1664-1)*($B$14-$B$13)/($B$12-1))</x:f>
      </x:c>
      <x:c r="C1683" s="14">
        <x:f>IF(B1683="","",$F$8*COS(B1683) + $B$7*COS($F$6*B1683))</x:f>
      </x:c>
      <x:c r="D1683" s="14">
        <x:f>IF(B1683="","",$F$8*SIN(B1683) - $B$7*SIN($F$6*B1683))</x:f>
      </x:c>
      <x:c r="E1683" s="14">
        <x:f>IF(B1683="","", C1683 + $F$12*$F$9*(-H1683)/IF(SQRT(G1683^2+H1683^2)=0,1,SQRT(G1683^2+H1683^2)))</x:f>
      </x:c>
      <x:c r="F1683" s="14">
        <x:f>IF(B1683="","", D1683 + $F$12*$F$9*(G1683)/IF(SQRT(G1683^2+H1683^2)=0,1,SQRT(G1683^2+H1683^2)))</x:f>
      </x:c>
      <x:c r="G1683" s="14">
        <x:f>IF(B1683="","", -$F$8*SIN(B1683) - $B$7*$F$6*SIN($F$6*B1683))</x:f>
      </x:c>
      <x:c r="H1683" s="14">
        <x:f>IF(B1683="","", $F$8*COS(B1683) - $B$7*$F$6*COS($F$6*B1683))</x:f>
      </x:c>
    </x:row>
    <x:row r="1684">
      <x:c r="A1684" s="13" t="n">
        <x:v>1665</x:v>
      </x:c>
      <x:c r="B1684" s="14">
        <x:f>IF($B$12&lt;1665,"",$B$13+(1665-1)*($B$14-$B$13)/($B$12-1))</x:f>
      </x:c>
      <x:c r="C1684" s="14">
        <x:f>IF(B1684="","",$F$8*COS(B1684) + $B$7*COS($F$6*B1684))</x:f>
      </x:c>
      <x:c r="D1684" s="14">
        <x:f>IF(B1684="","",$F$8*SIN(B1684) - $B$7*SIN($F$6*B1684))</x:f>
      </x:c>
      <x:c r="E1684" s="14">
        <x:f>IF(B1684="","", C1684 + $F$12*$F$9*(-H1684)/IF(SQRT(G1684^2+H1684^2)=0,1,SQRT(G1684^2+H1684^2)))</x:f>
      </x:c>
      <x:c r="F1684" s="14">
        <x:f>IF(B1684="","", D1684 + $F$12*$F$9*(G1684)/IF(SQRT(G1684^2+H1684^2)=0,1,SQRT(G1684^2+H1684^2)))</x:f>
      </x:c>
      <x:c r="G1684" s="14">
        <x:f>IF(B1684="","", -$F$8*SIN(B1684) - $B$7*$F$6*SIN($F$6*B1684))</x:f>
      </x:c>
      <x:c r="H1684" s="14">
        <x:f>IF(B1684="","", $F$8*COS(B1684) - $B$7*$F$6*COS($F$6*B1684))</x:f>
      </x:c>
    </x:row>
    <x:row r="1685">
      <x:c r="A1685" s="13" t="n">
        <x:v>1666</x:v>
      </x:c>
      <x:c r="B1685" s="14">
        <x:f>IF($B$12&lt;1666,"",$B$13+(1666-1)*($B$14-$B$13)/($B$12-1))</x:f>
      </x:c>
      <x:c r="C1685" s="14">
        <x:f>IF(B1685="","",$F$8*COS(B1685) + $B$7*COS($F$6*B1685))</x:f>
      </x:c>
      <x:c r="D1685" s="14">
        <x:f>IF(B1685="","",$F$8*SIN(B1685) - $B$7*SIN($F$6*B1685))</x:f>
      </x:c>
      <x:c r="E1685" s="14">
        <x:f>IF(B1685="","", C1685 + $F$12*$F$9*(-H1685)/IF(SQRT(G1685^2+H1685^2)=0,1,SQRT(G1685^2+H1685^2)))</x:f>
      </x:c>
      <x:c r="F1685" s="14">
        <x:f>IF(B1685="","", D1685 + $F$12*$F$9*(G1685)/IF(SQRT(G1685^2+H1685^2)=0,1,SQRT(G1685^2+H1685^2)))</x:f>
      </x:c>
      <x:c r="G1685" s="14">
        <x:f>IF(B1685="","", -$F$8*SIN(B1685) - $B$7*$F$6*SIN($F$6*B1685))</x:f>
      </x:c>
      <x:c r="H1685" s="14">
        <x:f>IF(B1685="","", $F$8*COS(B1685) - $B$7*$F$6*COS($F$6*B1685))</x:f>
      </x:c>
    </x:row>
    <x:row r="1686">
      <x:c r="A1686" s="13" t="n">
        <x:v>1667</x:v>
      </x:c>
      <x:c r="B1686" s="14">
        <x:f>IF($B$12&lt;1667,"",$B$13+(1667-1)*($B$14-$B$13)/($B$12-1))</x:f>
      </x:c>
      <x:c r="C1686" s="14">
        <x:f>IF(B1686="","",$F$8*COS(B1686) + $B$7*COS($F$6*B1686))</x:f>
      </x:c>
      <x:c r="D1686" s="14">
        <x:f>IF(B1686="","",$F$8*SIN(B1686) - $B$7*SIN($F$6*B1686))</x:f>
      </x:c>
      <x:c r="E1686" s="14">
        <x:f>IF(B1686="","", C1686 + $F$12*$F$9*(-H1686)/IF(SQRT(G1686^2+H1686^2)=0,1,SQRT(G1686^2+H1686^2)))</x:f>
      </x:c>
      <x:c r="F1686" s="14">
        <x:f>IF(B1686="","", D1686 + $F$12*$F$9*(G1686)/IF(SQRT(G1686^2+H1686^2)=0,1,SQRT(G1686^2+H1686^2)))</x:f>
      </x:c>
      <x:c r="G1686" s="14">
        <x:f>IF(B1686="","", -$F$8*SIN(B1686) - $B$7*$F$6*SIN($F$6*B1686))</x:f>
      </x:c>
      <x:c r="H1686" s="14">
        <x:f>IF(B1686="","", $F$8*COS(B1686) - $B$7*$F$6*COS($F$6*B1686))</x:f>
      </x:c>
    </x:row>
    <x:row r="1687">
      <x:c r="A1687" s="13" t="n">
        <x:v>1668</x:v>
      </x:c>
      <x:c r="B1687" s="14">
        <x:f>IF($B$12&lt;1668,"",$B$13+(1668-1)*($B$14-$B$13)/($B$12-1))</x:f>
      </x:c>
      <x:c r="C1687" s="14">
        <x:f>IF(B1687="","",$F$8*COS(B1687) + $B$7*COS($F$6*B1687))</x:f>
      </x:c>
      <x:c r="D1687" s="14">
        <x:f>IF(B1687="","",$F$8*SIN(B1687) - $B$7*SIN($F$6*B1687))</x:f>
      </x:c>
      <x:c r="E1687" s="14">
        <x:f>IF(B1687="","", C1687 + $F$12*$F$9*(-H1687)/IF(SQRT(G1687^2+H1687^2)=0,1,SQRT(G1687^2+H1687^2)))</x:f>
      </x:c>
      <x:c r="F1687" s="14">
        <x:f>IF(B1687="","", D1687 + $F$12*$F$9*(G1687)/IF(SQRT(G1687^2+H1687^2)=0,1,SQRT(G1687^2+H1687^2)))</x:f>
      </x:c>
      <x:c r="G1687" s="14">
        <x:f>IF(B1687="","", -$F$8*SIN(B1687) - $B$7*$F$6*SIN($F$6*B1687))</x:f>
      </x:c>
      <x:c r="H1687" s="14">
        <x:f>IF(B1687="","", $F$8*COS(B1687) - $B$7*$F$6*COS($F$6*B1687))</x:f>
      </x:c>
    </x:row>
    <x:row r="1688">
      <x:c r="A1688" s="13" t="n">
        <x:v>1669</x:v>
      </x:c>
      <x:c r="B1688" s="14">
        <x:f>IF($B$12&lt;1669,"",$B$13+(1669-1)*($B$14-$B$13)/($B$12-1))</x:f>
      </x:c>
      <x:c r="C1688" s="14">
        <x:f>IF(B1688="","",$F$8*COS(B1688) + $B$7*COS($F$6*B1688))</x:f>
      </x:c>
      <x:c r="D1688" s="14">
        <x:f>IF(B1688="","",$F$8*SIN(B1688) - $B$7*SIN($F$6*B1688))</x:f>
      </x:c>
      <x:c r="E1688" s="14">
        <x:f>IF(B1688="","", C1688 + $F$12*$F$9*(-H1688)/IF(SQRT(G1688^2+H1688^2)=0,1,SQRT(G1688^2+H1688^2)))</x:f>
      </x:c>
      <x:c r="F1688" s="14">
        <x:f>IF(B1688="","", D1688 + $F$12*$F$9*(G1688)/IF(SQRT(G1688^2+H1688^2)=0,1,SQRT(G1688^2+H1688^2)))</x:f>
      </x:c>
      <x:c r="G1688" s="14">
        <x:f>IF(B1688="","", -$F$8*SIN(B1688) - $B$7*$F$6*SIN($F$6*B1688))</x:f>
      </x:c>
      <x:c r="H1688" s="14">
        <x:f>IF(B1688="","", $F$8*COS(B1688) - $B$7*$F$6*COS($F$6*B1688))</x:f>
      </x:c>
    </x:row>
    <x:row r="1689">
      <x:c r="A1689" s="13" t="n">
        <x:v>1670</x:v>
      </x:c>
      <x:c r="B1689" s="14">
        <x:f>IF($B$12&lt;1670,"",$B$13+(1670-1)*($B$14-$B$13)/($B$12-1))</x:f>
      </x:c>
      <x:c r="C1689" s="14">
        <x:f>IF(B1689="","",$F$8*COS(B1689) + $B$7*COS($F$6*B1689))</x:f>
      </x:c>
      <x:c r="D1689" s="14">
        <x:f>IF(B1689="","",$F$8*SIN(B1689) - $B$7*SIN($F$6*B1689))</x:f>
      </x:c>
      <x:c r="E1689" s="14">
        <x:f>IF(B1689="","", C1689 + $F$12*$F$9*(-H1689)/IF(SQRT(G1689^2+H1689^2)=0,1,SQRT(G1689^2+H1689^2)))</x:f>
      </x:c>
      <x:c r="F1689" s="14">
        <x:f>IF(B1689="","", D1689 + $F$12*$F$9*(G1689)/IF(SQRT(G1689^2+H1689^2)=0,1,SQRT(G1689^2+H1689^2)))</x:f>
      </x:c>
      <x:c r="G1689" s="14">
        <x:f>IF(B1689="","", -$F$8*SIN(B1689) - $B$7*$F$6*SIN($F$6*B1689))</x:f>
      </x:c>
      <x:c r="H1689" s="14">
        <x:f>IF(B1689="","", $F$8*COS(B1689) - $B$7*$F$6*COS($F$6*B1689))</x:f>
      </x:c>
    </x:row>
    <x:row r="1690">
      <x:c r="A1690" s="13" t="n">
        <x:v>1671</x:v>
      </x:c>
      <x:c r="B1690" s="14">
        <x:f>IF($B$12&lt;1671,"",$B$13+(1671-1)*($B$14-$B$13)/($B$12-1))</x:f>
      </x:c>
      <x:c r="C1690" s="14">
        <x:f>IF(B1690="","",$F$8*COS(B1690) + $B$7*COS($F$6*B1690))</x:f>
      </x:c>
      <x:c r="D1690" s="14">
        <x:f>IF(B1690="","",$F$8*SIN(B1690) - $B$7*SIN($F$6*B1690))</x:f>
      </x:c>
      <x:c r="E1690" s="14">
        <x:f>IF(B1690="","", C1690 + $F$12*$F$9*(-H1690)/IF(SQRT(G1690^2+H1690^2)=0,1,SQRT(G1690^2+H1690^2)))</x:f>
      </x:c>
      <x:c r="F1690" s="14">
        <x:f>IF(B1690="","", D1690 + $F$12*$F$9*(G1690)/IF(SQRT(G1690^2+H1690^2)=0,1,SQRT(G1690^2+H1690^2)))</x:f>
      </x:c>
      <x:c r="G1690" s="14">
        <x:f>IF(B1690="","", -$F$8*SIN(B1690) - $B$7*$F$6*SIN($F$6*B1690))</x:f>
      </x:c>
      <x:c r="H1690" s="14">
        <x:f>IF(B1690="","", $F$8*COS(B1690) - $B$7*$F$6*COS($F$6*B1690))</x:f>
      </x:c>
    </x:row>
    <x:row r="1691">
      <x:c r="A1691" s="13" t="n">
        <x:v>1672</x:v>
      </x:c>
      <x:c r="B1691" s="14">
        <x:f>IF($B$12&lt;1672,"",$B$13+(1672-1)*($B$14-$B$13)/($B$12-1))</x:f>
      </x:c>
      <x:c r="C1691" s="14">
        <x:f>IF(B1691="","",$F$8*COS(B1691) + $B$7*COS($F$6*B1691))</x:f>
      </x:c>
      <x:c r="D1691" s="14">
        <x:f>IF(B1691="","",$F$8*SIN(B1691) - $B$7*SIN($F$6*B1691))</x:f>
      </x:c>
      <x:c r="E1691" s="14">
        <x:f>IF(B1691="","", C1691 + $F$12*$F$9*(-H1691)/IF(SQRT(G1691^2+H1691^2)=0,1,SQRT(G1691^2+H1691^2)))</x:f>
      </x:c>
      <x:c r="F1691" s="14">
        <x:f>IF(B1691="","", D1691 + $F$12*$F$9*(G1691)/IF(SQRT(G1691^2+H1691^2)=0,1,SQRT(G1691^2+H1691^2)))</x:f>
      </x:c>
      <x:c r="G1691" s="14">
        <x:f>IF(B1691="","", -$F$8*SIN(B1691) - $B$7*$F$6*SIN($F$6*B1691))</x:f>
      </x:c>
      <x:c r="H1691" s="14">
        <x:f>IF(B1691="","", $F$8*COS(B1691) - $B$7*$F$6*COS($F$6*B1691))</x:f>
      </x:c>
    </x:row>
    <x:row r="1692">
      <x:c r="A1692" s="13" t="n">
        <x:v>1673</x:v>
      </x:c>
      <x:c r="B1692" s="14">
        <x:f>IF($B$12&lt;1673,"",$B$13+(1673-1)*($B$14-$B$13)/($B$12-1))</x:f>
      </x:c>
      <x:c r="C1692" s="14">
        <x:f>IF(B1692="","",$F$8*COS(B1692) + $B$7*COS($F$6*B1692))</x:f>
      </x:c>
      <x:c r="D1692" s="14">
        <x:f>IF(B1692="","",$F$8*SIN(B1692) - $B$7*SIN($F$6*B1692))</x:f>
      </x:c>
      <x:c r="E1692" s="14">
        <x:f>IF(B1692="","", C1692 + $F$12*$F$9*(-H1692)/IF(SQRT(G1692^2+H1692^2)=0,1,SQRT(G1692^2+H1692^2)))</x:f>
      </x:c>
      <x:c r="F1692" s="14">
        <x:f>IF(B1692="","", D1692 + $F$12*$F$9*(G1692)/IF(SQRT(G1692^2+H1692^2)=0,1,SQRT(G1692^2+H1692^2)))</x:f>
      </x:c>
      <x:c r="G1692" s="14">
        <x:f>IF(B1692="","", -$F$8*SIN(B1692) - $B$7*$F$6*SIN($F$6*B1692))</x:f>
      </x:c>
      <x:c r="H1692" s="14">
        <x:f>IF(B1692="","", $F$8*COS(B1692) - $B$7*$F$6*COS($F$6*B1692))</x:f>
      </x:c>
    </x:row>
    <x:row r="1693">
      <x:c r="A1693" s="13" t="n">
        <x:v>1674</x:v>
      </x:c>
      <x:c r="B1693" s="14">
        <x:f>IF($B$12&lt;1674,"",$B$13+(1674-1)*($B$14-$B$13)/($B$12-1))</x:f>
      </x:c>
      <x:c r="C1693" s="14">
        <x:f>IF(B1693="","",$F$8*COS(B1693) + $B$7*COS($F$6*B1693))</x:f>
      </x:c>
      <x:c r="D1693" s="14">
        <x:f>IF(B1693="","",$F$8*SIN(B1693) - $B$7*SIN($F$6*B1693))</x:f>
      </x:c>
      <x:c r="E1693" s="14">
        <x:f>IF(B1693="","", C1693 + $F$12*$F$9*(-H1693)/IF(SQRT(G1693^2+H1693^2)=0,1,SQRT(G1693^2+H1693^2)))</x:f>
      </x:c>
      <x:c r="F1693" s="14">
        <x:f>IF(B1693="","", D1693 + $F$12*$F$9*(G1693)/IF(SQRT(G1693^2+H1693^2)=0,1,SQRT(G1693^2+H1693^2)))</x:f>
      </x:c>
      <x:c r="G1693" s="14">
        <x:f>IF(B1693="","", -$F$8*SIN(B1693) - $B$7*$F$6*SIN($F$6*B1693))</x:f>
      </x:c>
      <x:c r="H1693" s="14">
        <x:f>IF(B1693="","", $F$8*COS(B1693) - $B$7*$F$6*COS($F$6*B1693))</x:f>
      </x:c>
    </x:row>
    <x:row r="1694">
      <x:c r="A1694" s="13" t="n">
        <x:v>1675</x:v>
      </x:c>
      <x:c r="B1694" s="14">
        <x:f>IF($B$12&lt;1675,"",$B$13+(1675-1)*($B$14-$B$13)/($B$12-1))</x:f>
      </x:c>
      <x:c r="C1694" s="14">
        <x:f>IF(B1694="","",$F$8*COS(B1694) + $B$7*COS($F$6*B1694))</x:f>
      </x:c>
      <x:c r="D1694" s="14">
        <x:f>IF(B1694="","",$F$8*SIN(B1694) - $B$7*SIN($F$6*B1694))</x:f>
      </x:c>
      <x:c r="E1694" s="14">
        <x:f>IF(B1694="","", C1694 + $F$12*$F$9*(-H1694)/IF(SQRT(G1694^2+H1694^2)=0,1,SQRT(G1694^2+H1694^2)))</x:f>
      </x:c>
      <x:c r="F1694" s="14">
        <x:f>IF(B1694="","", D1694 + $F$12*$F$9*(G1694)/IF(SQRT(G1694^2+H1694^2)=0,1,SQRT(G1694^2+H1694^2)))</x:f>
      </x:c>
      <x:c r="G1694" s="14">
        <x:f>IF(B1694="","", -$F$8*SIN(B1694) - $B$7*$F$6*SIN($F$6*B1694))</x:f>
      </x:c>
      <x:c r="H1694" s="14">
        <x:f>IF(B1694="","", $F$8*COS(B1694) - $B$7*$F$6*COS($F$6*B1694))</x:f>
      </x:c>
    </x:row>
    <x:row r="1695">
      <x:c r="A1695" s="13" t="n">
        <x:v>1676</x:v>
      </x:c>
      <x:c r="B1695" s="14">
        <x:f>IF($B$12&lt;1676,"",$B$13+(1676-1)*($B$14-$B$13)/($B$12-1))</x:f>
      </x:c>
      <x:c r="C1695" s="14">
        <x:f>IF(B1695="","",$F$8*COS(B1695) + $B$7*COS($F$6*B1695))</x:f>
      </x:c>
      <x:c r="D1695" s="14">
        <x:f>IF(B1695="","",$F$8*SIN(B1695) - $B$7*SIN($F$6*B1695))</x:f>
      </x:c>
      <x:c r="E1695" s="14">
        <x:f>IF(B1695="","", C1695 + $F$12*$F$9*(-H1695)/IF(SQRT(G1695^2+H1695^2)=0,1,SQRT(G1695^2+H1695^2)))</x:f>
      </x:c>
      <x:c r="F1695" s="14">
        <x:f>IF(B1695="","", D1695 + $F$12*$F$9*(G1695)/IF(SQRT(G1695^2+H1695^2)=0,1,SQRT(G1695^2+H1695^2)))</x:f>
      </x:c>
      <x:c r="G1695" s="14">
        <x:f>IF(B1695="","", -$F$8*SIN(B1695) - $B$7*$F$6*SIN($F$6*B1695))</x:f>
      </x:c>
      <x:c r="H1695" s="14">
        <x:f>IF(B1695="","", $F$8*COS(B1695) - $B$7*$F$6*COS($F$6*B1695))</x:f>
      </x:c>
    </x:row>
    <x:row r="1696">
      <x:c r="A1696" s="13" t="n">
        <x:v>1677</x:v>
      </x:c>
      <x:c r="B1696" s="14">
        <x:f>IF($B$12&lt;1677,"",$B$13+(1677-1)*($B$14-$B$13)/($B$12-1))</x:f>
      </x:c>
      <x:c r="C1696" s="14">
        <x:f>IF(B1696="","",$F$8*COS(B1696) + $B$7*COS($F$6*B1696))</x:f>
      </x:c>
      <x:c r="D1696" s="14">
        <x:f>IF(B1696="","",$F$8*SIN(B1696) - $B$7*SIN($F$6*B1696))</x:f>
      </x:c>
      <x:c r="E1696" s="14">
        <x:f>IF(B1696="","", C1696 + $F$12*$F$9*(-H1696)/IF(SQRT(G1696^2+H1696^2)=0,1,SQRT(G1696^2+H1696^2)))</x:f>
      </x:c>
      <x:c r="F1696" s="14">
        <x:f>IF(B1696="","", D1696 + $F$12*$F$9*(G1696)/IF(SQRT(G1696^2+H1696^2)=0,1,SQRT(G1696^2+H1696^2)))</x:f>
      </x:c>
      <x:c r="G1696" s="14">
        <x:f>IF(B1696="","", -$F$8*SIN(B1696) - $B$7*$F$6*SIN($F$6*B1696))</x:f>
      </x:c>
      <x:c r="H1696" s="14">
        <x:f>IF(B1696="","", $F$8*COS(B1696) - $B$7*$F$6*COS($F$6*B1696))</x:f>
      </x:c>
    </x:row>
    <x:row r="1697">
      <x:c r="A1697" s="13" t="n">
        <x:v>1678</x:v>
      </x:c>
      <x:c r="B1697" s="14">
        <x:f>IF($B$12&lt;1678,"",$B$13+(1678-1)*($B$14-$B$13)/($B$12-1))</x:f>
      </x:c>
      <x:c r="C1697" s="14">
        <x:f>IF(B1697="","",$F$8*COS(B1697) + $B$7*COS($F$6*B1697))</x:f>
      </x:c>
      <x:c r="D1697" s="14">
        <x:f>IF(B1697="","",$F$8*SIN(B1697) - $B$7*SIN($F$6*B1697))</x:f>
      </x:c>
      <x:c r="E1697" s="14">
        <x:f>IF(B1697="","", C1697 + $F$12*$F$9*(-H1697)/IF(SQRT(G1697^2+H1697^2)=0,1,SQRT(G1697^2+H1697^2)))</x:f>
      </x:c>
      <x:c r="F1697" s="14">
        <x:f>IF(B1697="","", D1697 + $F$12*$F$9*(G1697)/IF(SQRT(G1697^2+H1697^2)=0,1,SQRT(G1697^2+H1697^2)))</x:f>
      </x:c>
      <x:c r="G1697" s="14">
        <x:f>IF(B1697="","", -$F$8*SIN(B1697) - $B$7*$F$6*SIN($F$6*B1697))</x:f>
      </x:c>
      <x:c r="H1697" s="14">
        <x:f>IF(B1697="","", $F$8*COS(B1697) - $B$7*$F$6*COS($F$6*B1697))</x:f>
      </x:c>
    </x:row>
    <x:row r="1698">
      <x:c r="A1698" s="13" t="n">
        <x:v>1679</x:v>
      </x:c>
      <x:c r="B1698" s="14">
        <x:f>IF($B$12&lt;1679,"",$B$13+(1679-1)*($B$14-$B$13)/($B$12-1))</x:f>
      </x:c>
      <x:c r="C1698" s="14">
        <x:f>IF(B1698="","",$F$8*COS(B1698) + $B$7*COS($F$6*B1698))</x:f>
      </x:c>
      <x:c r="D1698" s="14">
        <x:f>IF(B1698="","",$F$8*SIN(B1698) - $B$7*SIN($F$6*B1698))</x:f>
      </x:c>
      <x:c r="E1698" s="14">
        <x:f>IF(B1698="","", C1698 + $F$12*$F$9*(-H1698)/IF(SQRT(G1698^2+H1698^2)=0,1,SQRT(G1698^2+H1698^2)))</x:f>
      </x:c>
      <x:c r="F1698" s="14">
        <x:f>IF(B1698="","", D1698 + $F$12*$F$9*(G1698)/IF(SQRT(G1698^2+H1698^2)=0,1,SQRT(G1698^2+H1698^2)))</x:f>
      </x:c>
      <x:c r="G1698" s="14">
        <x:f>IF(B1698="","", -$F$8*SIN(B1698) - $B$7*$F$6*SIN($F$6*B1698))</x:f>
      </x:c>
      <x:c r="H1698" s="14">
        <x:f>IF(B1698="","", $F$8*COS(B1698) - $B$7*$F$6*COS($F$6*B1698))</x:f>
      </x:c>
    </x:row>
    <x:row r="1699">
      <x:c r="A1699" s="13" t="n">
        <x:v>1680</x:v>
      </x:c>
      <x:c r="B1699" s="14">
        <x:f>IF($B$12&lt;1680,"",$B$13+(1680-1)*($B$14-$B$13)/($B$12-1))</x:f>
      </x:c>
      <x:c r="C1699" s="14">
        <x:f>IF(B1699="","",$F$8*COS(B1699) + $B$7*COS($F$6*B1699))</x:f>
      </x:c>
      <x:c r="D1699" s="14">
        <x:f>IF(B1699="","",$F$8*SIN(B1699) - $B$7*SIN($F$6*B1699))</x:f>
      </x:c>
      <x:c r="E1699" s="14">
        <x:f>IF(B1699="","", C1699 + $F$12*$F$9*(-H1699)/IF(SQRT(G1699^2+H1699^2)=0,1,SQRT(G1699^2+H1699^2)))</x:f>
      </x:c>
      <x:c r="F1699" s="14">
        <x:f>IF(B1699="","", D1699 + $F$12*$F$9*(G1699)/IF(SQRT(G1699^2+H1699^2)=0,1,SQRT(G1699^2+H1699^2)))</x:f>
      </x:c>
      <x:c r="G1699" s="14">
        <x:f>IF(B1699="","", -$F$8*SIN(B1699) - $B$7*$F$6*SIN($F$6*B1699))</x:f>
      </x:c>
      <x:c r="H1699" s="14">
        <x:f>IF(B1699="","", $F$8*COS(B1699) - $B$7*$F$6*COS($F$6*B1699))</x:f>
      </x:c>
    </x:row>
    <x:row r="1700">
      <x:c r="A1700" s="13" t="n">
        <x:v>1681</x:v>
      </x:c>
      <x:c r="B1700" s="14">
        <x:f>IF($B$12&lt;1681,"",$B$13+(1681-1)*($B$14-$B$13)/($B$12-1))</x:f>
      </x:c>
      <x:c r="C1700" s="14">
        <x:f>IF(B1700="","",$F$8*COS(B1700) + $B$7*COS($F$6*B1700))</x:f>
      </x:c>
      <x:c r="D1700" s="14">
        <x:f>IF(B1700="","",$F$8*SIN(B1700) - $B$7*SIN($F$6*B1700))</x:f>
      </x:c>
      <x:c r="E1700" s="14">
        <x:f>IF(B1700="","", C1700 + $F$12*$F$9*(-H1700)/IF(SQRT(G1700^2+H1700^2)=0,1,SQRT(G1700^2+H1700^2)))</x:f>
      </x:c>
      <x:c r="F1700" s="14">
        <x:f>IF(B1700="","", D1700 + $F$12*$F$9*(G1700)/IF(SQRT(G1700^2+H1700^2)=0,1,SQRT(G1700^2+H1700^2)))</x:f>
      </x:c>
      <x:c r="G1700" s="14">
        <x:f>IF(B1700="","", -$F$8*SIN(B1700) - $B$7*$F$6*SIN($F$6*B1700))</x:f>
      </x:c>
      <x:c r="H1700" s="14">
        <x:f>IF(B1700="","", $F$8*COS(B1700) - $B$7*$F$6*COS($F$6*B1700))</x:f>
      </x:c>
    </x:row>
    <x:row r="1701">
      <x:c r="A1701" s="13" t="n">
        <x:v>1682</x:v>
      </x:c>
      <x:c r="B1701" s="14">
        <x:f>IF($B$12&lt;1682,"",$B$13+(1682-1)*($B$14-$B$13)/($B$12-1))</x:f>
      </x:c>
      <x:c r="C1701" s="14">
        <x:f>IF(B1701="","",$F$8*COS(B1701) + $B$7*COS($F$6*B1701))</x:f>
      </x:c>
      <x:c r="D1701" s="14">
        <x:f>IF(B1701="","",$F$8*SIN(B1701) - $B$7*SIN($F$6*B1701))</x:f>
      </x:c>
      <x:c r="E1701" s="14">
        <x:f>IF(B1701="","", C1701 + $F$12*$F$9*(-H1701)/IF(SQRT(G1701^2+H1701^2)=0,1,SQRT(G1701^2+H1701^2)))</x:f>
      </x:c>
      <x:c r="F1701" s="14">
        <x:f>IF(B1701="","", D1701 + $F$12*$F$9*(G1701)/IF(SQRT(G1701^2+H1701^2)=0,1,SQRT(G1701^2+H1701^2)))</x:f>
      </x:c>
      <x:c r="G1701" s="14">
        <x:f>IF(B1701="","", -$F$8*SIN(B1701) - $B$7*$F$6*SIN($F$6*B1701))</x:f>
      </x:c>
      <x:c r="H1701" s="14">
        <x:f>IF(B1701="","", $F$8*COS(B1701) - $B$7*$F$6*COS($F$6*B1701))</x:f>
      </x:c>
    </x:row>
    <x:row r="1702">
      <x:c r="A1702" s="13" t="n">
        <x:v>1683</x:v>
      </x:c>
      <x:c r="B1702" s="14">
        <x:f>IF($B$12&lt;1683,"",$B$13+(1683-1)*($B$14-$B$13)/($B$12-1))</x:f>
      </x:c>
      <x:c r="C1702" s="14">
        <x:f>IF(B1702="","",$F$8*COS(B1702) + $B$7*COS($F$6*B1702))</x:f>
      </x:c>
      <x:c r="D1702" s="14">
        <x:f>IF(B1702="","",$F$8*SIN(B1702) - $B$7*SIN($F$6*B1702))</x:f>
      </x:c>
      <x:c r="E1702" s="14">
        <x:f>IF(B1702="","", C1702 + $F$12*$F$9*(-H1702)/IF(SQRT(G1702^2+H1702^2)=0,1,SQRT(G1702^2+H1702^2)))</x:f>
      </x:c>
      <x:c r="F1702" s="14">
        <x:f>IF(B1702="","", D1702 + $F$12*$F$9*(G1702)/IF(SQRT(G1702^2+H1702^2)=0,1,SQRT(G1702^2+H1702^2)))</x:f>
      </x:c>
      <x:c r="G1702" s="14">
        <x:f>IF(B1702="","", -$F$8*SIN(B1702) - $B$7*$F$6*SIN($F$6*B1702))</x:f>
      </x:c>
      <x:c r="H1702" s="14">
        <x:f>IF(B1702="","", $F$8*COS(B1702) - $B$7*$F$6*COS($F$6*B1702))</x:f>
      </x:c>
    </x:row>
    <x:row r="1703">
      <x:c r="A1703" s="13" t="n">
        <x:v>1684</x:v>
      </x:c>
      <x:c r="B1703" s="14">
        <x:f>IF($B$12&lt;1684,"",$B$13+(1684-1)*($B$14-$B$13)/($B$12-1))</x:f>
      </x:c>
      <x:c r="C1703" s="14">
        <x:f>IF(B1703="","",$F$8*COS(B1703) + $B$7*COS($F$6*B1703))</x:f>
      </x:c>
      <x:c r="D1703" s="14">
        <x:f>IF(B1703="","",$F$8*SIN(B1703) - $B$7*SIN($F$6*B1703))</x:f>
      </x:c>
      <x:c r="E1703" s="14">
        <x:f>IF(B1703="","", C1703 + $F$12*$F$9*(-H1703)/IF(SQRT(G1703^2+H1703^2)=0,1,SQRT(G1703^2+H1703^2)))</x:f>
      </x:c>
      <x:c r="F1703" s="14">
        <x:f>IF(B1703="","", D1703 + $F$12*$F$9*(G1703)/IF(SQRT(G1703^2+H1703^2)=0,1,SQRT(G1703^2+H1703^2)))</x:f>
      </x:c>
      <x:c r="G1703" s="14">
        <x:f>IF(B1703="","", -$F$8*SIN(B1703) - $B$7*$F$6*SIN($F$6*B1703))</x:f>
      </x:c>
      <x:c r="H1703" s="14">
        <x:f>IF(B1703="","", $F$8*COS(B1703) - $B$7*$F$6*COS($F$6*B1703))</x:f>
      </x:c>
    </x:row>
    <x:row r="1704">
      <x:c r="A1704" s="13" t="n">
        <x:v>1685</x:v>
      </x:c>
      <x:c r="B1704" s="14">
        <x:f>IF($B$12&lt;1685,"",$B$13+(1685-1)*($B$14-$B$13)/($B$12-1))</x:f>
      </x:c>
      <x:c r="C1704" s="14">
        <x:f>IF(B1704="","",$F$8*COS(B1704) + $B$7*COS($F$6*B1704))</x:f>
      </x:c>
      <x:c r="D1704" s="14">
        <x:f>IF(B1704="","",$F$8*SIN(B1704) - $B$7*SIN($F$6*B1704))</x:f>
      </x:c>
      <x:c r="E1704" s="14">
        <x:f>IF(B1704="","", C1704 + $F$12*$F$9*(-H1704)/IF(SQRT(G1704^2+H1704^2)=0,1,SQRT(G1704^2+H1704^2)))</x:f>
      </x:c>
      <x:c r="F1704" s="14">
        <x:f>IF(B1704="","", D1704 + $F$12*$F$9*(G1704)/IF(SQRT(G1704^2+H1704^2)=0,1,SQRT(G1704^2+H1704^2)))</x:f>
      </x:c>
      <x:c r="G1704" s="14">
        <x:f>IF(B1704="","", -$F$8*SIN(B1704) - $B$7*$F$6*SIN($F$6*B1704))</x:f>
      </x:c>
      <x:c r="H1704" s="14">
        <x:f>IF(B1704="","", $F$8*COS(B1704) - $B$7*$F$6*COS($F$6*B1704))</x:f>
      </x:c>
    </x:row>
    <x:row r="1705">
      <x:c r="A1705" s="13" t="n">
        <x:v>1686</x:v>
      </x:c>
      <x:c r="B1705" s="14">
        <x:f>IF($B$12&lt;1686,"",$B$13+(1686-1)*($B$14-$B$13)/($B$12-1))</x:f>
      </x:c>
      <x:c r="C1705" s="14">
        <x:f>IF(B1705="","",$F$8*COS(B1705) + $B$7*COS($F$6*B1705))</x:f>
      </x:c>
      <x:c r="D1705" s="14">
        <x:f>IF(B1705="","",$F$8*SIN(B1705) - $B$7*SIN($F$6*B1705))</x:f>
      </x:c>
      <x:c r="E1705" s="14">
        <x:f>IF(B1705="","", C1705 + $F$12*$F$9*(-H1705)/IF(SQRT(G1705^2+H1705^2)=0,1,SQRT(G1705^2+H1705^2)))</x:f>
      </x:c>
      <x:c r="F1705" s="14">
        <x:f>IF(B1705="","", D1705 + $F$12*$F$9*(G1705)/IF(SQRT(G1705^2+H1705^2)=0,1,SQRT(G1705^2+H1705^2)))</x:f>
      </x:c>
      <x:c r="G1705" s="14">
        <x:f>IF(B1705="","", -$F$8*SIN(B1705) - $B$7*$F$6*SIN($F$6*B1705))</x:f>
      </x:c>
      <x:c r="H1705" s="14">
        <x:f>IF(B1705="","", $F$8*COS(B1705) - $B$7*$F$6*COS($F$6*B1705))</x:f>
      </x:c>
    </x:row>
    <x:row r="1706">
      <x:c r="A1706" s="13" t="n">
        <x:v>1687</x:v>
      </x:c>
      <x:c r="B1706" s="14">
        <x:f>IF($B$12&lt;1687,"",$B$13+(1687-1)*($B$14-$B$13)/($B$12-1))</x:f>
      </x:c>
      <x:c r="C1706" s="14">
        <x:f>IF(B1706="","",$F$8*COS(B1706) + $B$7*COS($F$6*B1706))</x:f>
      </x:c>
      <x:c r="D1706" s="14">
        <x:f>IF(B1706="","",$F$8*SIN(B1706) - $B$7*SIN($F$6*B1706))</x:f>
      </x:c>
      <x:c r="E1706" s="14">
        <x:f>IF(B1706="","", C1706 + $F$12*$F$9*(-H1706)/IF(SQRT(G1706^2+H1706^2)=0,1,SQRT(G1706^2+H1706^2)))</x:f>
      </x:c>
      <x:c r="F1706" s="14">
        <x:f>IF(B1706="","", D1706 + $F$12*$F$9*(G1706)/IF(SQRT(G1706^2+H1706^2)=0,1,SQRT(G1706^2+H1706^2)))</x:f>
      </x:c>
      <x:c r="G1706" s="14">
        <x:f>IF(B1706="","", -$F$8*SIN(B1706) - $B$7*$F$6*SIN($F$6*B1706))</x:f>
      </x:c>
      <x:c r="H1706" s="14">
        <x:f>IF(B1706="","", $F$8*COS(B1706) - $B$7*$F$6*COS($F$6*B1706))</x:f>
      </x:c>
    </x:row>
    <x:row r="1707">
      <x:c r="A1707" s="13" t="n">
        <x:v>1688</x:v>
      </x:c>
      <x:c r="B1707" s="14">
        <x:f>IF($B$12&lt;1688,"",$B$13+(1688-1)*($B$14-$B$13)/($B$12-1))</x:f>
      </x:c>
      <x:c r="C1707" s="14">
        <x:f>IF(B1707="","",$F$8*COS(B1707) + $B$7*COS($F$6*B1707))</x:f>
      </x:c>
      <x:c r="D1707" s="14">
        <x:f>IF(B1707="","",$F$8*SIN(B1707) - $B$7*SIN($F$6*B1707))</x:f>
      </x:c>
      <x:c r="E1707" s="14">
        <x:f>IF(B1707="","", C1707 + $F$12*$F$9*(-H1707)/IF(SQRT(G1707^2+H1707^2)=0,1,SQRT(G1707^2+H1707^2)))</x:f>
      </x:c>
      <x:c r="F1707" s="14">
        <x:f>IF(B1707="","", D1707 + $F$12*$F$9*(G1707)/IF(SQRT(G1707^2+H1707^2)=0,1,SQRT(G1707^2+H1707^2)))</x:f>
      </x:c>
      <x:c r="G1707" s="14">
        <x:f>IF(B1707="","", -$F$8*SIN(B1707) - $B$7*$F$6*SIN($F$6*B1707))</x:f>
      </x:c>
      <x:c r="H1707" s="14">
        <x:f>IF(B1707="","", $F$8*COS(B1707) - $B$7*$F$6*COS($F$6*B1707))</x:f>
      </x:c>
    </x:row>
    <x:row r="1708">
      <x:c r="A1708" s="13" t="n">
        <x:v>1689</x:v>
      </x:c>
      <x:c r="B1708" s="14">
        <x:f>IF($B$12&lt;1689,"",$B$13+(1689-1)*($B$14-$B$13)/($B$12-1))</x:f>
      </x:c>
      <x:c r="C1708" s="14">
        <x:f>IF(B1708="","",$F$8*COS(B1708) + $B$7*COS($F$6*B1708))</x:f>
      </x:c>
      <x:c r="D1708" s="14">
        <x:f>IF(B1708="","",$F$8*SIN(B1708) - $B$7*SIN($F$6*B1708))</x:f>
      </x:c>
      <x:c r="E1708" s="14">
        <x:f>IF(B1708="","", C1708 + $F$12*$F$9*(-H1708)/IF(SQRT(G1708^2+H1708^2)=0,1,SQRT(G1708^2+H1708^2)))</x:f>
      </x:c>
      <x:c r="F1708" s="14">
        <x:f>IF(B1708="","", D1708 + $F$12*$F$9*(G1708)/IF(SQRT(G1708^2+H1708^2)=0,1,SQRT(G1708^2+H1708^2)))</x:f>
      </x:c>
      <x:c r="G1708" s="14">
        <x:f>IF(B1708="","", -$F$8*SIN(B1708) - $B$7*$F$6*SIN($F$6*B1708))</x:f>
      </x:c>
      <x:c r="H1708" s="14">
        <x:f>IF(B1708="","", $F$8*COS(B1708) - $B$7*$F$6*COS($F$6*B1708))</x:f>
      </x:c>
    </x:row>
    <x:row r="1709">
      <x:c r="A1709" s="13" t="n">
        <x:v>1690</x:v>
      </x:c>
      <x:c r="B1709" s="14">
        <x:f>IF($B$12&lt;1690,"",$B$13+(1690-1)*($B$14-$B$13)/($B$12-1))</x:f>
      </x:c>
      <x:c r="C1709" s="14">
        <x:f>IF(B1709="","",$F$8*COS(B1709) + $B$7*COS($F$6*B1709))</x:f>
      </x:c>
      <x:c r="D1709" s="14">
        <x:f>IF(B1709="","",$F$8*SIN(B1709) - $B$7*SIN($F$6*B1709))</x:f>
      </x:c>
      <x:c r="E1709" s="14">
        <x:f>IF(B1709="","", C1709 + $F$12*$F$9*(-H1709)/IF(SQRT(G1709^2+H1709^2)=0,1,SQRT(G1709^2+H1709^2)))</x:f>
      </x:c>
      <x:c r="F1709" s="14">
        <x:f>IF(B1709="","", D1709 + $F$12*$F$9*(G1709)/IF(SQRT(G1709^2+H1709^2)=0,1,SQRT(G1709^2+H1709^2)))</x:f>
      </x:c>
      <x:c r="G1709" s="14">
        <x:f>IF(B1709="","", -$F$8*SIN(B1709) - $B$7*$F$6*SIN($F$6*B1709))</x:f>
      </x:c>
      <x:c r="H1709" s="14">
        <x:f>IF(B1709="","", $F$8*COS(B1709) - $B$7*$F$6*COS($F$6*B1709))</x:f>
      </x:c>
    </x:row>
    <x:row r="1710">
      <x:c r="A1710" s="13" t="n">
        <x:v>1691</x:v>
      </x:c>
      <x:c r="B1710" s="14">
        <x:f>IF($B$12&lt;1691,"",$B$13+(1691-1)*($B$14-$B$13)/($B$12-1))</x:f>
      </x:c>
      <x:c r="C1710" s="14">
        <x:f>IF(B1710="","",$F$8*COS(B1710) + $B$7*COS($F$6*B1710))</x:f>
      </x:c>
      <x:c r="D1710" s="14">
        <x:f>IF(B1710="","",$F$8*SIN(B1710) - $B$7*SIN($F$6*B1710))</x:f>
      </x:c>
      <x:c r="E1710" s="14">
        <x:f>IF(B1710="","", C1710 + $F$12*$F$9*(-H1710)/IF(SQRT(G1710^2+H1710^2)=0,1,SQRT(G1710^2+H1710^2)))</x:f>
      </x:c>
      <x:c r="F1710" s="14">
        <x:f>IF(B1710="","", D1710 + $F$12*$F$9*(G1710)/IF(SQRT(G1710^2+H1710^2)=0,1,SQRT(G1710^2+H1710^2)))</x:f>
      </x:c>
      <x:c r="G1710" s="14">
        <x:f>IF(B1710="","", -$F$8*SIN(B1710) - $B$7*$F$6*SIN($F$6*B1710))</x:f>
      </x:c>
      <x:c r="H1710" s="14">
        <x:f>IF(B1710="","", $F$8*COS(B1710) - $B$7*$F$6*COS($F$6*B1710))</x:f>
      </x:c>
    </x:row>
    <x:row r="1711">
      <x:c r="A1711" s="13" t="n">
        <x:v>1692</x:v>
      </x:c>
      <x:c r="B1711" s="14">
        <x:f>IF($B$12&lt;1692,"",$B$13+(1692-1)*($B$14-$B$13)/($B$12-1))</x:f>
      </x:c>
      <x:c r="C1711" s="14">
        <x:f>IF(B1711="","",$F$8*COS(B1711) + $B$7*COS($F$6*B1711))</x:f>
      </x:c>
      <x:c r="D1711" s="14">
        <x:f>IF(B1711="","",$F$8*SIN(B1711) - $B$7*SIN($F$6*B1711))</x:f>
      </x:c>
      <x:c r="E1711" s="14">
        <x:f>IF(B1711="","", C1711 + $F$12*$F$9*(-H1711)/IF(SQRT(G1711^2+H1711^2)=0,1,SQRT(G1711^2+H1711^2)))</x:f>
      </x:c>
      <x:c r="F1711" s="14">
        <x:f>IF(B1711="","", D1711 + $F$12*$F$9*(G1711)/IF(SQRT(G1711^2+H1711^2)=0,1,SQRT(G1711^2+H1711^2)))</x:f>
      </x:c>
      <x:c r="G1711" s="14">
        <x:f>IF(B1711="","", -$F$8*SIN(B1711) - $B$7*$F$6*SIN($F$6*B1711))</x:f>
      </x:c>
      <x:c r="H1711" s="14">
        <x:f>IF(B1711="","", $F$8*COS(B1711) - $B$7*$F$6*COS($F$6*B1711))</x:f>
      </x:c>
    </x:row>
    <x:row r="1712">
      <x:c r="A1712" s="13" t="n">
        <x:v>1693</x:v>
      </x:c>
      <x:c r="B1712" s="14">
        <x:f>IF($B$12&lt;1693,"",$B$13+(1693-1)*($B$14-$B$13)/($B$12-1))</x:f>
      </x:c>
      <x:c r="C1712" s="14">
        <x:f>IF(B1712="","",$F$8*COS(B1712) + $B$7*COS($F$6*B1712))</x:f>
      </x:c>
      <x:c r="D1712" s="14">
        <x:f>IF(B1712="","",$F$8*SIN(B1712) - $B$7*SIN($F$6*B1712))</x:f>
      </x:c>
      <x:c r="E1712" s="14">
        <x:f>IF(B1712="","", C1712 + $F$12*$F$9*(-H1712)/IF(SQRT(G1712^2+H1712^2)=0,1,SQRT(G1712^2+H1712^2)))</x:f>
      </x:c>
      <x:c r="F1712" s="14">
        <x:f>IF(B1712="","", D1712 + $F$12*$F$9*(G1712)/IF(SQRT(G1712^2+H1712^2)=0,1,SQRT(G1712^2+H1712^2)))</x:f>
      </x:c>
      <x:c r="G1712" s="14">
        <x:f>IF(B1712="","", -$F$8*SIN(B1712) - $B$7*$F$6*SIN($F$6*B1712))</x:f>
      </x:c>
      <x:c r="H1712" s="14">
        <x:f>IF(B1712="","", $F$8*COS(B1712) - $B$7*$F$6*COS($F$6*B1712))</x:f>
      </x:c>
    </x:row>
    <x:row r="1713">
      <x:c r="A1713" s="13" t="n">
        <x:v>1694</x:v>
      </x:c>
      <x:c r="B1713" s="14">
        <x:f>IF($B$12&lt;1694,"",$B$13+(1694-1)*($B$14-$B$13)/($B$12-1))</x:f>
      </x:c>
      <x:c r="C1713" s="14">
        <x:f>IF(B1713="","",$F$8*COS(B1713) + $B$7*COS($F$6*B1713))</x:f>
      </x:c>
      <x:c r="D1713" s="14">
        <x:f>IF(B1713="","",$F$8*SIN(B1713) - $B$7*SIN($F$6*B1713))</x:f>
      </x:c>
      <x:c r="E1713" s="14">
        <x:f>IF(B1713="","", C1713 + $F$12*$F$9*(-H1713)/IF(SQRT(G1713^2+H1713^2)=0,1,SQRT(G1713^2+H1713^2)))</x:f>
      </x:c>
      <x:c r="F1713" s="14">
        <x:f>IF(B1713="","", D1713 + $F$12*$F$9*(G1713)/IF(SQRT(G1713^2+H1713^2)=0,1,SQRT(G1713^2+H1713^2)))</x:f>
      </x:c>
      <x:c r="G1713" s="14">
        <x:f>IF(B1713="","", -$F$8*SIN(B1713) - $B$7*$F$6*SIN($F$6*B1713))</x:f>
      </x:c>
      <x:c r="H1713" s="14">
        <x:f>IF(B1713="","", $F$8*COS(B1713) - $B$7*$F$6*COS($F$6*B1713))</x:f>
      </x:c>
    </x:row>
    <x:row r="1714">
      <x:c r="A1714" s="13" t="n">
        <x:v>1695</x:v>
      </x:c>
      <x:c r="B1714" s="14">
        <x:f>IF($B$12&lt;1695,"",$B$13+(1695-1)*($B$14-$B$13)/($B$12-1))</x:f>
      </x:c>
      <x:c r="C1714" s="14">
        <x:f>IF(B1714="","",$F$8*COS(B1714) + $B$7*COS($F$6*B1714))</x:f>
      </x:c>
      <x:c r="D1714" s="14">
        <x:f>IF(B1714="","",$F$8*SIN(B1714) - $B$7*SIN($F$6*B1714))</x:f>
      </x:c>
      <x:c r="E1714" s="14">
        <x:f>IF(B1714="","", C1714 + $F$12*$F$9*(-H1714)/IF(SQRT(G1714^2+H1714^2)=0,1,SQRT(G1714^2+H1714^2)))</x:f>
      </x:c>
      <x:c r="F1714" s="14">
        <x:f>IF(B1714="","", D1714 + $F$12*$F$9*(G1714)/IF(SQRT(G1714^2+H1714^2)=0,1,SQRT(G1714^2+H1714^2)))</x:f>
      </x:c>
      <x:c r="G1714" s="14">
        <x:f>IF(B1714="","", -$F$8*SIN(B1714) - $B$7*$F$6*SIN($F$6*B1714))</x:f>
      </x:c>
      <x:c r="H1714" s="14">
        <x:f>IF(B1714="","", $F$8*COS(B1714) - $B$7*$F$6*COS($F$6*B1714))</x:f>
      </x:c>
    </x:row>
    <x:row r="1715">
      <x:c r="A1715" s="13" t="n">
        <x:v>1696</x:v>
      </x:c>
      <x:c r="B1715" s="14">
        <x:f>IF($B$12&lt;1696,"",$B$13+(1696-1)*($B$14-$B$13)/($B$12-1))</x:f>
      </x:c>
      <x:c r="C1715" s="14">
        <x:f>IF(B1715="","",$F$8*COS(B1715) + $B$7*COS($F$6*B1715))</x:f>
      </x:c>
      <x:c r="D1715" s="14">
        <x:f>IF(B1715="","",$F$8*SIN(B1715) - $B$7*SIN($F$6*B1715))</x:f>
      </x:c>
      <x:c r="E1715" s="14">
        <x:f>IF(B1715="","", C1715 + $F$12*$F$9*(-H1715)/IF(SQRT(G1715^2+H1715^2)=0,1,SQRT(G1715^2+H1715^2)))</x:f>
      </x:c>
      <x:c r="F1715" s="14">
        <x:f>IF(B1715="","", D1715 + $F$12*$F$9*(G1715)/IF(SQRT(G1715^2+H1715^2)=0,1,SQRT(G1715^2+H1715^2)))</x:f>
      </x:c>
      <x:c r="G1715" s="14">
        <x:f>IF(B1715="","", -$F$8*SIN(B1715) - $B$7*$F$6*SIN($F$6*B1715))</x:f>
      </x:c>
      <x:c r="H1715" s="14">
        <x:f>IF(B1715="","", $F$8*COS(B1715) - $B$7*$F$6*COS($F$6*B1715))</x:f>
      </x:c>
    </x:row>
    <x:row r="1716">
      <x:c r="A1716" s="13" t="n">
        <x:v>1697</x:v>
      </x:c>
      <x:c r="B1716" s="14">
        <x:f>IF($B$12&lt;1697,"",$B$13+(1697-1)*($B$14-$B$13)/($B$12-1))</x:f>
      </x:c>
      <x:c r="C1716" s="14">
        <x:f>IF(B1716="","",$F$8*COS(B1716) + $B$7*COS($F$6*B1716))</x:f>
      </x:c>
      <x:c r="D1716" s="14">
        <x:f>IF(B1716="","",$F$8*SIN(B1716) - $B$7*SIN($F$6*B1716))</x:f>
      </x:c>
      <x:c r="E1716" s="14">
        <x:f>IF(B1716="","", C1716 + $F$12*$F$9*(-H1716)/IF(SQRT(G1716^2+H1716^2)=0,1,SQRT(G1716^2+H1716^2)))</x:f>
      </x:c>
      <x:c r="F1716" s="14">
        <x:f>IF(B1716="","", D1716 + $F$12*$F$9*(G1716)/IF(SQRT(G1716^2+H1716^2)=0,1,SQRT(G1716^2+H1716^2)))</x:f>
      </x:c>
      <x:c r="G1716" s="14">
        <x:f>IF(B1716="","", -$F$8*SIN(B1716) - $B$7*$F$6*SIN($F$6*B1716))</x:f>
      </x:c>
      <x:c r="H1716" s="14">
        <x:f>IF(B1716="","", $F$8*COS(B1716) - $B$7*$F$6*COS($F$6*B1716))</x:f>
      </x:c>
    </x:row>
    <x:row r="1717">
      <x:c r="A1717" s="13" t="n">
        <x:v>1698</x:v>
      </x:c>
      <x:c r="B1717" s="14">
        <x:f>IF($B$12&lt;1698,"",$B$13+(1698-1)*($B$14-$B$13)/($B$12-1))</x:f>
      </x:c>
      <x:c r="C1717" s="14">
        <x:f>IF(B1717="","",$F$8*COS(B1717) + $B$7*COS($F$6*B1717))</x:f>
      </x:c>
      <x:c r="D1717" s="14">
        <x:f>IF(B1717="","",$F$8*SIN(B1717) - $B$7*SIN($F$6*B1717))</x:f>
      </x:c>
      <x:c r="E1717" s="14">
        <x:f>IF(B1717="","", C1717 + $F$12*$F$9*(-H1717)/IF(SQRT(G1717^2+H1717^2)=0,1,SQRT(G1717^2+H1717^2)))</x:f>
      </x:c>
      <x:c r="F1717" s="14">
        <x:f>IF(B1717="","", D1717 + $F$12*$F$9*(G1717)/IF(SQRT(G1717^2+H1717^2)=0,1,SQRT(G1717^2+H1717^2)))</x:f>
      </x:c>
      <x:c r="G1717" s="14">
        <x:f>IF(B1717="","", -$F$8*SIN(B1717) - $B$7*$F$6*SIN($F$6*B1717))</x:f>
      </x:c>
      <x:c r="H1717" s="14">
        <x:f>IF(B1717="","", $F$8*COS(B1717) - $B$7*$F$6*COS($F$6*B1717))</x:f>
      </x:c>
    </x:row>
    <x:row r="1718">
      <x:c r="A1718" s="13" t="n">
        <x:v>1699</x:v>
      </x:c>
      <x:c r="B1718" s="14">
        <x:f>IF($B$12&lt;1699,"",$B$13+(1699-1)*($B$14-$B$13)/($B$12-1))</x:f>
      </x:c>
      <x:c r="C1718" s="14">
        <x:f>IF(B1718="","",$F$8*COS(B1718) + $B$7*COS($F$6*B1718))</x:f>
      </x:c>
      <x:c r="D1718" s="14">
        <x:f>IF(B1718="","",$F$8*SIN(B1718) - $B$7*SIN($F$6*B1718))</x:f>
      </x:c>
      <x:c r="E1718" s="14">
        <x:f>IF(B1718="","", C1718 + $F$12*$F$9*(-H1718)/IF(SQRT(G1718^2+H1718^2)=0,1,SQRT(G1718^2+H1718^2)))</x:f>
      </x:c>
      <x:c r="F1718" s="14">
        <x:f>IF(B1718="","", D1718 + $F$12*$F$9*(G1718)/IF(SQRT(G1718^2+H1718^2)=0,1,SQRT(G1718^2+H1718^2)))</x:f>
      </x:c>
      <x:c r="G1718" s="14">
        <x:f>IF(B1718="","", -$F$8*SIN(B1718) - $B$7*$F$6*SIN($F$6*B1718))</x:f>
      </x:c>
      <x:c r="H1718" s="14">
        <x:f>IF(B1718="","", $F$8*COS(B1718) - $B$7*$F$6*COS($F$6*B1718))</x:f>
      </x:c>
    </x:row>
    <x:row r="1719">
      <x:c r="A1719" s="13" t="n">
        <x:v>1700</x:v>
      </x:c>
      <x:c r="B1719" s="14">
        <x:f>IF($B$12&lt;1700,"",$B$13+(1700-1)*($B$14-$B$13)/($B$12-1))</x:f>
      </x:c>
      <x:c r="C1719" s="14">
        <x:f>IF(B1719="","",$F$8*COS(B1719) + $B$7*COS($F$6*B1719))</x:f>
      </x:c>
      <x:c r="D1719" s="14">
        <x:f>IF(B1719="","",$F$8*SIN(B1719) - $B$7*SIN($F$6*B1719))</x:f>
      </x:c>
      <x:c r="E1719" s="14">
        <x:f>IF(B1719="","", C1719 + $F$12*$F$9*(-H1719)/IF(SQRT(G1719^2+H1719^2)=0,1,SQRT(G1719^2+H1719^2)))</x:f>
      </x:c>
      <x:c r="F1719" s="14">
        <x:f>IF(B1719="","", D1719 + $F$12*$F$9*(G1719)/IF(SQRT(G1719^2+H1719^2)=0,1,SQRT(G1719^2+H1719^2)))</x:f>
      </x:c>
      <x:c r="G1719" s="14">
        <x:f>IF(B1719="","", -$F$8*SIN(B1719) - $B$7*$F$6*SIN($F$6*B1719))</x:f>
      </x:c>
      <x:c r="H1719" s="14">
        <x:f>IF(B1719="","", $F$8*COS(B1719) - $B$7*$F$6*COS($F$6*B1719))</x:f>
      </x:c>
    </x:row>
    <x:row r="1720">
      <x:c r="A1720" s="13" t="n">
        <x:v>1701</x:v>
      </x:c>
      <x:c r="B1720" s="14">
        <x:f>IF($B$12&lt;1701,"",$B$13+(1701-1)*($B$14-$B$13)/($B$12-1))</x:f>
      </x:c>
      <x:c r="C1720" s="14">
        <x:f>IF(B1720="","",$F$8*COS(B1720) + $B$7*COS($F$6*B1720))</x:f>
      </x:c>
      <x:c r="D1720" s="14">
        <x:f>IF(B1720="","",$F$8*SIN(B1720) - $B$7*SIN($F$6*B1720))</x:f>
      </x:c>
      <x:c r="E1720" s="14">
        <x:f>IF(B1720="","", C1720 + $F$12*$F$9*(-H1720)/IF(SQRT(G1720^2+H1720^2)=0,1,SQRT(G1720^2+H1720^2)))</x:f>
      </x:c>
      <x:c r="F1720" s="14">
        <x:f>IF(B1720="","", D1720 + $F$12*$F$9*(G1720)/IF(SQRT(G1720^2+H1720^2)=0,1,SQRT(G1720^2+H1720^2)))</x:f>
      </x:c>
      <x:c r="G1720" s="14">
        <x:f>IF(B1720="","", -$F$8*SIN(B1720) - $B$7*$F$6*SIN($F$6*B1720))</x:f>
      </x:c>
      <x:c r="H1720" s="14">
        <x:f>IF(B1720="","", $F$8*COS(B1720) - $B$7*$F$6*COS($F$6*B1720))</x:f>
      </x:c>
    </x:row>
    <x:row r="1721">
      <x:c r="A1721" s="13" t="n">
        <x:v>1702</x:v>
      </x:c>
      <x:c r="B1721" s="14">
        <x:f>IF($B$12&lt;1702,"",$B$13+(1702-1)*($B$14-$B$13)/($B$12-1))</x:f>
      </x:c>
      <x:c r="C1721" s="14">
        <x:f>IF(B1721="","",$F$8*COS(B1721) + $B$7*COS($F$6*B1721))</x:f>
      </x:c>
      <x:c r="D1721" s="14">
        <x:f>IF(B1721="","",$F$8*SIN(B1721) - $B$7*SIN($F$6*B1721))</x:f>
      </x:c>
      <x:c r="E1721" s="14">
        <x:f>IF(B1721="","", C1721 + $F$12*$F$9*(-H1721)/IF(SQRT(G1721^2+H1721^2)=0,1,SQRT(G1721^2+H1721^2)))</x:f>
      </x:c>
      <x:c r="F1721" s="14">
        <x:f>IF(B1721="","", D1721 + $F$12*$F$9*(G1721)/IF(SQRT(G1721^2+H1721^2)=0,1,SQRT(G1721^2+H1721^2)))</x:f>
      </x:c>
      <x:c r="G1721" s="14">
        <x:f>IF(B1721="","", -$F$8*SIN(B1721) - $B$7*$F$6*SIN($F$6*B1721))</x:f>
      </x:c>
      <x:c r="H1721" s="14">
        <x:f>IF(B1721="","", $F$8*COS(B1721) - $B$7*$F$6*COS($F$6*B1721))</x:f>
      </x:c>
    </x:row>
    <x:row r="1722">
      <x:c r="A1722" s="13" t="n">
        <x:v>1703</x:v>
      </x:c>
      <x:c r="B1722" s="14">
        <x:f>IF($B$12&lt;1703,"",$B$13+(1703-1)*($B$14-$B$13)/($B$12-1))</x:f>
      </x:c>
      <x:c r="C1722" s="14">
        <x:f>IF(B1722="","",$F$8*COS(B1722) + $B$7*COS($F$6*B1722))</x:f>
      </x:c>
      <x:c r="D1722" s="14">
        <x:f>IF(B1722="","",$F$8*SIN(B1722) - $B$7*SIN($F$6*B1722))</x:f>
      </x:c>
      <x:c r="E1722" s="14">
        <x:f>IF(B1722="","", C1722 + $F$12*$F$9*(-H1722)/IF(SQRT(G1722^2+H1722^2)=0,1,SQRT(G1722^2+H1722^2)))</x:f>
      </x:c>
      <x:c r="F1722" s="14">
        <x:f>IF(B1722="","", D1722 + $F$12*$F$9*(G1722)/IF(SQRT(G1722^2+H1722^2)=0,1,SQRT(G1722^2+H1722^2)))</x:f>
      </x:c>
      <x:c r="G1722" s="14">
        <x:f>IF(B1722="","", -$F$8*SIN(B1722) - $B$7*$F$6*SIN($F$6*B1722))</x:f>
      </x:c>
      <x:c r="H1722" s="14">
        <x:f>IF(B1722="","", $F$8*COS(B1722) - $B$7*$F$6*COS($F$6*B1722))</x:f>
      </x:c>
    </x:row>
    <x:row r="1723">
      <x:c r="A1723" s="13" t="n">
        <x:v>1704</x:v>
      </x:c>
      <x:c r="B1723" s="14">
        <x:f>IF($B$12&lt;1704,"",$B$13+(1704-1)*($B$14-$B$13)/($B$12-1))</x:f>
      </x:c>
      <x:c r="C1723" s="14">
        <x:f>IF(B1723="","",$F$8*COS(B1723) + $B$7*COS($F$6*B1723))</x:f>
      </x:c>
      <x:c r="D1723" s="14">
        <x:f>IF(B1723="","",$F$8*SIN(B1723) - $B$7*SIN($F$6*B1723))</x:f>
      </x:c>
      <x:c r="E1723" s="14">
        <x:f>IF(B1723="","", C1723 + $F$12*$F$9*(-H1723)/IF(SQRT(G1723^2+H1723^2)=0,1,SQRT(G1723^2+H1723^2)))</x:f>
      </x:c>
      <x:c r="F1723" s="14">
        <x:f>IF(B1723="","", D1723 + $F$12*$F$9*(G1723)/IF(SQRT(G1723^2+H1723^2)=0,1,SQRT(G1723^2+H1723^2)))</x:f>
      </x:c>
      <x:c r="G1723" s="14">
        <x:f>IF(B1723="","", -$F$8*SIN(B1723) - $B$7*$F$6*SIN($F$6*B1723))</x:f>
      </x:c>
      <x:c r="H1723" s="14">
        <x:f>IF(B1723="","", $F$8*COS(B1723) - $B$7*$F$6*COS($F$6*B1723))</x:f>
      </x:c>
    </x:row>
    <x:row r="1724">
      <x:c r="A1724" s="13" t="n">
        <x:v>1705</x:v>
      </x:c>
      <x:c r="B1724" s="14">
        <x:f>IF($B$12&lt;1705,"",$B$13+(1705-1)*($B$14-$B$13)/($B$12-1))</x:f>
      </x:c>
      <x:c r="C1724" s="14">
        <x:f>IF(B1724="","",$F$8*COS(B1724) + $B$7*COS($F$6*B1724))</x:f>
      </x:c>
      <x:c r="D1724" s="14">
        <x:f>IF(B1724="","",$F$8*SIN(B1724) - $B$7*SIN($F$6*B1724))</x:f>
      </x:c>
      <x:c r="E1724" s="14">
        <x:f>IF(B1724="","", C1724 + $F$12*$F$9*(-H1724)/IF(SQRT(G1724^2+H1724^2)=0,1,SQRT(G1724^2+H1724^2)))</x:f>
      </x:c>
      <x:c r="F1724" s="14">
        <x:f>IF(B1724="","", D1724 + $F$12*$F$9*(G1724)/IF(SQRT(G1724^2+H1724^2)=0,1,SQRT(G1724^2+H1724^2)))</x:f>
      </x:c>
      <x:c r="G1724" s="14">
        <x:f>IF(B1724="","", -$F$8*SIN(B1724) - $B$7*$F$6*SIN($F$6*B1724))</x:f>
      </x:c>
      <x:c r="H1724" s="14">
        <x:f>IF(B1724="","", $F$8*COS(B1724) - $B$7*$F$6*COS($F$6*B1724))</x:f>
      </x:c>
    </x:row>
    <x:row r="1725">
      <x:c r="A1725" s="13" t="n">
        <x:v>1706</x:v>
      </x:c>
      <x:c r="B1725" s="14">
        <x:f>IF($B$12&lt;1706,"",$B$13+(1706-1)*($B$14-$B$13)/($B$12-1))</x:f>
      </x:c>
      <x:c r="C1725" s="14">
        <x:f>IF(B1725="","",$F$8*COS(B1725) + $B$7*COS($F$6*B1725))</x:f>
      </x:c>
      <x:c r="D1725" s="14">
        <x:f>IF(B1725="","",$F$8*SIN(B1725) - $B$7*SIN($F$6*B1725))</x:f>
      </x:c>
      <x:c r="E1725" s="14">
        <x:f>IF(B1725="","", C1725 + $F$12*$F$9*(-H1725)/IF(SQRT(G1725^2+H1725^2)=0,1,SQRT(G1725^2+H1725^2)))</x:f>
      </x:c>
      <x:c r="F1725" s="14">
        <x:f>IF(B1725="","", D1725 + $F$12*$F$9*(G1725)/IF(SQRT(G1725^2+H1725^2)=0,1,SQRT(G1725^2+H1725^2)))</x:f>
      </x:c>
      <x:c r="G1725" s="14">
        <x:f>IF(B1725="","", -$F$8*SIN(B1725) - $B$7*$F$6*SIN($F$6*B1725))</x:f>
      </x:c>
      <x:c r="H1725" s="14">
        <x:f>IF(B1725="","", $F$8*COS(B1725) - $B$7*$F$6*COS($F$6*B1725))</x:f>
      </x:c>
    </x:row>
    <x:row r="1726">
      <x:c r="A1726" s="13" t="n">
        <x:v>1707</x:v>
      </x:c>
      <x:c r="B1726" s="14">
        <x:f>IF($B$12&lt;1707,"",$B$13+(1707-1)*($B$14-$B$13)/($B$12-1))</x:f>
      </x:c>
      <x:c r="C1726" s="14">
        <x:f>IF(B1726="","",$F$8*COS(B1726) + $B$7*COS($F$6*B1726))</x:f>
      </x:c>
      <x:c r="D1726" s="14">
        <x:f>IF(B1726="","",$F$8*SIN(B1726) - $B$7*SIN($F$6*B1726))</x:f>
      </x:c>
      <x:c r="E1726" s="14">
        <x:f>IF(B1726="","", C1726 + $F$12*$F$9*(-H1726)/IF(SQRT(G1726^2+H1726^2)=0,1,SQRT(G1726^2+H1726^2)))</x:f>
      </x:c>
      <x:c r="F1726" s="14">
        <x:f>IF(B1726="","", D1726 + $F$12*$F$9*(G1726)/IF(SQRT(G1726^2+H1726^2)=0,1,SQRT(G1726^2+H1726^2)))</x:f>
      </x:c>
      <x:c r="G1726" s="14">
        <x:f>IF(B1726="","", -$F$8*SIN(B1726) - $B$7*$F$6*SIN($F$6*B1726))</x:f>
      </x:c>
      <x:c r="H1726" s="14">
        <x:f>IF(B1726="","", $F$8*COS(B1726) - $B$7*$F$6*COS($F$6*B1726))</x:f>
      </x:c>
    </x:row>
    <x:row r="1727">
      <x:c r="A1727" s="13" t="n">
        <x:v>1708</x:v>
      </x:c>
      <x:c r="B1727" s="14">
        <x:f>IF($B$12&lt;1708,"",$B$13+(1708-1)*($B$14-$B$13)/($B$12-1))</x:f>
      </x:c>
      <x:c r="C1727" s="14">
        <x:f>IF(B1727="","",$F$8*COS(B1727) + $B$7*COS($F$6*B1727))</x:f>
      </x:c>
      <x:c r="D1727" s="14">
        <x:f>IF(B1727="","",$F$8*SIN(B1727) - $B$7*SIN($F$6*B1727))</x:f>
      </x:c>
      <x:c r="E1727" s="14">
        <x:f>IF(B1727="","", C1727 + $F$12*$F$9*(-H1727)/IF(SQRT(G1727^2+H1727^2)=0,1,SQRT(G1727^2+H1727^2)))</x:f>
      </x:c>
      <x:c r="F1727" s="14">
        <x:f>IF(B1727="","", D1727 + $F$12*$F$9*(G1727)/IF(SQRT(G1727^2+H1727^2)=0,1,SQRT(G1727^2+H1727^2)))</x:f>
      </x:c>
      <x:c r="G1727" s="14">
        <x:f>IF(B1727="","", -$F$8*SIN(B1727) - $B$7*$F$6*SIN($F$6*B1727))</x:f>
      </x:c>
      <x:c r="H1727" s="14">
        <x:f>IF(B1727="","", $F$8*COS(B1727) - $B$7*$F$6*COS($F$6*B1727))</x:f>
      </x:c>
    </x:row>
    <x:row r="1728">
      <x:c r="A1728" s="13" t="n">
        <x:v>1709</x:v>
      </x:c>
      <x:c r="B1728" s="14">
        <x:f>IF($B$12&lt;1709,"",$B$13+(1709-1)*($B$14-$B$13)/($B$12-1))</x:f>
      </x:c>
      <x:c r="C1728" s="14">
        <x:f>IF(B1728="","",$F$8*COS(B1728) + $B$7*COS($F$6*B1728))</x:f>
      </x:c>
      <x:c r="D1728" s="14">
        <x:f>IF(B1728="","",$F$8*SIN(B1728) - $B$7*SIN($F$6*B1728))</x:f>
      </x:c>
      <x:c r="E1728" s="14">
        <x:f>IF(B1728="","", C1728 + $F$12*$F$9*(-H1728)/IF(SQRT(G1728^2+H1728^2)=0,1,SQRT(G1728^2+H1728^2)))</x:f>
      </x:c>
      <x:c r="F1728" s="14">
        <x:f>IF(B1728="","", D1728 + $F$12*$F$9*(G1728)/IF(SQRT(G1728^2+H1728^2)=0,1,SQRT(G1728^2+H1728^2)))</x:f>
      </x:c>
      <x:c r="G1728" s="14">
        <x:f>IF(B1728="","", -$F$8*SIN(B1728) - $B$7*$F$6*SIN($F$6*B1728))</x:f>
      </x:c>
      <x:c r="H1728" s="14">
        <x:f>IF(B1728="","", $F$8*COS(B1728) - $B$7*$F$6*COS($F$6*B1728))</x:f>
      </x:c>
    </x:row>
    <x:row r="1729">
      <x:c r="A1729" s="13" t="n">
        <x:v>1710</x:v>
      </x:c>
      <x:c r="B1729" s="14">
        <x:f>IF($B$12&lt;1710,"",$B$13+(1710-1)*($B$14-$B$13)/($B$12-1))</x:f>
      </x:c>
      <x:c r="C1729" s="14">
        <x:f>IF(B1729="","",$F$8*COS(B1729) + $B$7*COS($F$6*B1729))</x:f>
      </x:c>
      <x:c r="D1729" s="14">
        <x:f>IF(B1729="","",$F$8*SIN(B1729) - $B$7*SIN($F$6*B1729))</x:f>
      </x:c>
      <x:c r="E1729" s="14">
        <x:f>IF(B1729="","", C1729 + $F$12*$F$9*(-H1729)/IF(SQRT(G1729^2+H1729^2)=0,1,SQRT(G1729^2+H1729^2)))</x:f>
      </x:c>
      <x:c r="F1729" s="14">
        <x:f>IF(B1729="","", D1729 + $F$12*$F$9*(G1729)/IF(SQRT(G1729^2+H1729^2)=0,1,SQRT(G1729^2+H1729^2)))</x:f>
      </x:c>
      <x:c r="G1729" s="14">
        <x:f>IF(B1729="","", -$F$8*SIN(B1729) - $B$7*$F$6*SIN($F$6*B1729))</x:f>
      </x:c>
      <x:c r="H1729" s="14">
        <x:f>IF(B1729="","", $F$8*COS(B1729) - $B$7*$F$6*COS($F$6*B1729))</x:f>
      </x:c>
    </x:row>
    <x:row r="1730">
      <x:c r="A1730" s="13" t="n">
        <x:v>1711</x:v>
      </x:c>
      <x:c r="B1730" s="14">
        <x:f>IF($B$12&lt;1711,"",$B$13+(1711-1)*($B$14-$B$13)/($B$12-1))</x:f>
      </x:c>
      <x:c r="C1730" s="14">
        <x:f>IF(B1730="","",$F$8*COS(B1730) + $B$7*COS($F$6*B1730))</x:f>
      </x:c>
      <x:c r="D1730" s="14">
        <x:f>IF(B1730="","",$F$8*SIN(B1730) - $B$7*SIN($F$6*B1730))</x:f>
      </x:c>
      <x:c r="E1730" s="14">
        <x:f>IF(B1730="","", C1730 + $F$12*$F$9*(-H1730)/IF(SQRT(G1730^2+H1730^2)=0,1,SQRT(G1730^2+H1730^2)))</x:f>
      </x:c>
      <x:c r="F1730" s="14">
        <x:f>IF(B1730="","", D1730 + $F$12*$F$9*(G1730)/IF(SQRT(G1730^2+H1730^2)=0,1,SQRT(G1730^2+H1730^2)))</x:f>
      </x:c>
      <x:c r="G1730" s="14">
        <x:f>IF(B1730="","", -$F$8*SIN(B1730) - $B$7*$F$6*SIN($F$6*B1730))</x:f>
      </x:c>
      <x:c r="H1730" s="14">
        <x:f>IF(B1730="","", $F$8*COS(B1730) - $B$7*$F$6*COS($F$6*B1730))</x:f>
      </x:c>
    </x:row>
    <x:row r="1731">
      <x:c r="A1731" s="13" t="n">
        <x:v>1712</x:v>
      </x:c>
      <x:c r="B1731" s="14">
        <x:f>IF($B$12&lt;1712,"",$B$13+(1712-1)*($B$14-$B$13)/($B$12-1))</x:f>
      </x:c>
      <x:c r="C1731" s="14">
        <x:f>IF(B1731="","",$F$8*COS(B1731) + $B$7*COS($F$6*B1731))</x:f>
      </x:c>
      <x:c r="D1731" s="14">
        <x:f>IF(B1731="","",$F$8*SIN(B1731) - $B$7*SIN($F$6*B1731))</x:f>
      </x:c>
      <x:c r="E1731" s="14">
        <x:f>IF(B1731="","", C1731 + $F$12*$F$9*(-H1731)/IF(SQRT(G1731^2+H1731^2)=0,1,SQRT(G1731^2+H1731^2)))</x:f>
      </x:c>
      <x:c r="F1731" s="14">
        <x:f>IF(B1731="","", D1731 + $F$12*$F$9*(G1731)/IF(SQRT(G1731^2+H1731^2)=0,1,SQRT(G1731^2+H1731^2)))</x:f>
      </x:c>
      <x:c r="G1731" s="14">
        <x:f>IF(B1731="","", -$F$8*SIN(B1731) - $B$7*$F$6*SIN($F$6*B1731))</x:f>
      </x:c>
      <x:c r="H1731" s="14">
        <x:f>IF(B1731="","", $F$8*COS(B1731) - $B$7*$F$6*COS($F$6*B1731))</x:f>
      </x:c>
    </x:row>
    <x:row r="1732">
      <x:c r="A1732" s="13" t="n">
        <x:v>1713</x:v>
      </x:c>
      <x:c r="B1732" s="14">
        <x:f>IF($B$12&lt;1713,"",$B$13+(1713-1)*($B$14-$B$13)/($B$12-1))</x:f>
      </x:c>
      <x:c r="C1732" s="14">
        <x:f>IF(B1732="","",$F$8*COS(B1732) + $B$7*COS($F$6*B1732))</x:f>
      </x:c>
      <x:c r="D1732" s="14">
        <x:f>IF(B1732="","",$F$8*SIN(B1732) - $B$7*SIN($F$6*B1732))</x:f>
      </x:c>
      <x:c r="E1732" s="14">
        <x:f>IF(B1732="","", C1732 + $F$12*$F$9*(-H1732)/IF(SQRT(G1732^2+H1732^2)=0,1,SQRT(G1732^2+H1732^2)))</x:f>
      </x:c>
      <x:c r="F1732" s="14">
        <x:f>IF(B1732="","", D1732 + $F$12*$F$9*(G1732)/IF(SQRT(G1732^2+H1732^2)=0,1,SQRT(G1732^2+H1732^2)))</x:f>
      </x:c>
      <x:c r="G1732" s="14">
        <x:f>IF(B1732="","", -$F$8*SIN(B1732) - $B$7*$F$6*SIN($F$6*B1732))</x:f>
      </x:c>
      <x:c r="H1732" s="14">
        <x:f>IF(B1732="","", $F$8*COS(B1732) - $B$7*$F$6*COS($F$6*B1732))</x:f>
      </x:c>
    </x:row>
    <x:row r="1733">
      <x:c r="A1733" s="13" t="n">
        <x:v>1714</x:v>
      </x:c>
      <x:c r="B1733" s="14">
        <x:f>IF($B$12&lt;1714,"",$B$13+(1714-1)*($B$14-$B$13)/($B$12-1))</x:f>
      </x:c>
      <x:c r="C1733" s="14">
        <x:f>IF(B1733="","",$F$8*COS(B1733) + $B$7*COS($F$6*B1733))</x:f>
      </x:c>
      <x:c r="D1733" s="14">
        <x:f>IF(B1733="","",$F$8*SIN(B1733) - $B$7*SIN($F$6*B1733))</x:f>
      </x:c>
      <x:c r="E1733" s="14">
        <x:f>IF(B1733="","", C1733 + $F$12*$F$9*(-H1733)/IF(SQRT(G1733^2+H1733^2)=0,1,SQRT(G1733^2+H1733^2)))</x:f>
      </x:c>
      <x:c r="F1733" s="14">
        <x:f>IF(B1733="","", D1733 + $F$12*$F$9*(G1733)/IF(SQRT(G1733^2+H1733^2)=0,1,SQRT(G1733^2+H1733^2)))</x:f>
      </x:c>
      <x:c r="G1733" s="14">
        <x:f>IF(B1733="","", -$F$8*SIN(B1733) - $B$7*$F$6*SIN($F$6*B1733))</x:f>
      </x:c>
      <x:c r="H1733" s="14">
        <x:f>IF(B1733="","", $F$8*COS(B1733) - $B$7*$F$6*COS($F$6*B1733))</x:f>
      </x:c>
    </x:row>
    <x:row r="1734">
      <x:c r="A1734" s="13" t="n">
        <x:v>1715</x:v>
      </x:c>
      <x:c r="B1734" s="14">
        <x:f>IF($B$12&lt;1715,"",$B$13+(1715-1)*($B$14-$B$13)/($B$12-1))</x:f>
      </x:c>
      <x:c r="C1734" s="14">
        <x:f>IF(B1734="","",$F$8*COS(B1734) + $B$7*COS($F$6*B1734))</x:f>
      </x:c>
      <x:c r="D1734" s="14">
        <x:f>IF(B1734="","",$F$8*SIN(B1734) - $B$7*SIN($F$6*B1734))</x:f>
      </x:c>
      <x:c r="E1734" s="14">
        <x:f>IF(B1734="","", C1734 + $F$12*$F$9*(-H1734)/IF(SQRT(G1734^2+H1734^2)=0,1,SQRT(G1734^2+H1734^2)))</x:f>
      </x:c>
      <x:c r="F1734" s="14">
        <x:f>IF(B1734="","", D1734 + $F$12*$F$9*(G1734)/IF(SQRT(G1734^2+H1734^2)=0,1,SQRT(G1734^2+H1734^2)))</x:f>
      </x:c>
      <x:c r="G1734" s="14">
        <x:f>IF(B1734="","", -$F$8*SIN(B1734) - $B$7*$F$6*SIN($F$6*B1734))</x:f>
      </x:c>
      <x:c r="H1734" s="14">
        <x:f>IF(B1734="","", $F$8*COS(B1734) - $B$7*$F$6*COS($F$6*B1734))</x:f>
      </x:c>
    </x:row>
    <x:row r="1735">
      <x:c r="A1735" s="13" t="n">
        <x:v>1716</x:v>
      </x:c>
      <x:c r="B1735" s="14">
        <x:f>IF($B$12&lt;1716,"",$B$13+(1716-1)*($B$14-$B$13)/($B$12-1))</x:f>
      </x:c>
      <x:c r="C1735" s="14">
        <x:f>IF(B1735="","",$F$8*COS(B1735) + $B$7*COS($F$6*B1735))</x:f>
      </x:c>
      <x:c r="D1735" s="14">
        <x:f>IF(B1735="","",$F$8*SIN(B1735) - $B$7*SIN($F$6*B1735))</x:f>
      </x:c>
      <x:c r="E1735" s="14">
        <x:f>IF(B1735="","", C1735 + $F$12*$F$9*(-H1735)/IF(SQRT(G1735^2+H1735^2)=0,1,SQRT(G1735^2+H1735^2)))</x:f>
      </x:c>
      <x:c r="F1735" s="14">
        <x:f>IF(B1735="","", D1735 + $F$12*$F$9*(G1735)/IF(SQRT(G1735^2+H1735^2)=0,1,SQRT(G1735^2+H1735^2)))</x:f>
      </x:c>
      <x:c r="G1735" s="14">
        <x:f>IF(B1735="","", -$F$8*SIN(B1735) - $B$7*$F$6*SIN($F$6*B1735))</x:f>
      </x:c>
      <x:c r="H1735" s="14">
        <x:f>IF(B1735="","", $F$8*COS(B1735) - $B$7*$F$6*COS($F$6*B1735))</x:f>
      </x:c>
    </x:row>
    <x:row r="1736">
      <x:c r="A1736" s="13" t="n">
        <x:v>1717</x:v>
      </x:c>
      <x:c r="B1736" s="14">
        <x:f>IF($B$12&lt;1717,"",$B$13+(1717-1)*($B$14-$B$13)/($B$12-1))</x:f>
      </x:c>
      <x:c r="C1736" s="14">
        <x:f>IF(B1736="","",$F$8*COS(B1736) + $B$7*COS($F$6*B1736))</x:f>
      </x:c>
      <x:c r="D1736" s="14">
        <x:f>IF(B1736="","",$F$8*SIN(B1736) - $B$7*SIN($F$6*B1736))</x:f>
      </x:c>
      <x:c r="E1736" s="14">
        <x:f>IF(B1736="","", C1736 + $F$12*$F$9*(-H1736)/IF(SQRT(G1736^2+H1736^2)=0,1,SQRT(G1736^2+H1736^2)))</x:f>
      </x:c>
      <x:c r="F1736" s="14">
        <x:f>IF(B1736="","", D1736 + $F$12*$F$9*(G1736)/IF(SQRT(G1736^2+H1736^2)=0,1,SQRT(G1736^2+H1736^2)))</x:f>
      </x:c>
      <x:c r="G1736" s="14">
        <x:f>IF(B1736="","", -$F$8*SIN(B1736) - $B$7*$F$6*SIN($F$6*B1736))</x:f>
      </x:c>
      <x:c r="H1736" s="14">
        <x:f>IF(B1736="","", $F$8*COS(B1736) - $B$7*$F$6*COS($F$6*B1736))</x:f>
      </x:c>
    </x:row>
    <x:row r="1737">
      <x:c r="A1737" s="13" t="n">
        <x:v>1718</x:v>
      </x:c>
      <x:c r="B1737" s="14">
        <x:f>IF($B$12&lt;1718,"",$B$13+(1718-1)*($B$14-$B$13)/($B$12-1))</x:f>
      </x:c>
      <x:c r="C1737" s="14">
        <x:f>IF(B1737="","",$F$8*COS(B1737) + $B$7*COS($F$6*B1737))</x:f>
      </x:c>
      <x:c r="D1737" s="14">
        <x:f>IF(B1737="","",$F$8*SIN(B1737) - $B$7*SIN($F$6*B1737))</x:f>
      </x:c>
      <x:c r="E1737" s="14">
        <x:f>IF(B1737="","", C1737 + $F$12*$F$9*(-H1737)/IF(SQRT(G1737^2+H1737^2)=0,1,SQRT(G1737^2+H1737^2)))</x:f>
      </x:c>
      <x:c r="F1737" s="14">
        <x:f>IF(B1737="","", D1737 + $F$12*$F$9*(G1737)/IF(SQRT(G1737^2+H1737^2)=0,1,SQRT(G1737^2+H1737^2)))</x:f>
      </x:c>
      <x:c r="G1737" s="14">
        <x:f>IF(B1737="","", -$F$8*SIN(B1737) - $B$7*$F$6*SIN($F$6*B1737))</x:f>
      </x:c>
      <x:c r="H1737" s="14">
        <x:f>IF(B1737="","", $F$8*COS(B1737) - $B$7*$F$6*COS($F$6*B1737))</x:f>
      </x:c>
    </x:row>
    <x:row r="1738">
      <x:c r="A1738" s="13" t="n">
        <x:v>1719</x:v>
      </x:c>
      <x:c r="B1738" s="14">
        <x:f>IF($B$12&lt;1719,"",$B$13+(1719-1)*($B$14-$B$13)/($B$12-1))</x:f>
      </x:c>
      <x:c r="C1738" s="14">
        <x:f>IF(B1738="","",$F$8*COS(B1738) + $B$7*COS($F$6*B1738))</x:f>
      </x:c>
      <x:c r="D1738" s="14">
        <x:f>IF(B1738="","",$F$8*SIN(B1738) - $B$7*SIN($F$6*B1738))</x:f>
      </x:c>
      <x:c r="E1738" s="14">
        <x:f>IF(B1738="","", C1738 + $F$12*$F$9*(-H1738)/IF(SQRT(G1738^2+H1738^2)=0,1,SQRT(G1738^2+H1738^2)))</x:f>
      </x:c>
      <x:c r="F1738" s="14">
        <x:f>IF(B1738="","", D1738 + $F$12*$F$9*(G1738)/IF(SQRT(G1738^2+H1738^2)=0,1,SQRT(G1738^2+H1738^2)))</x:f>
      </x:c>
      <x:c r="G1738" s="14">
        <x:f>IF(B1738="","", -$F$8*SIN(B1738) - $B$7*$F$6*SIN($F$6*B1738))</x:f>
      </x:c>
      <x:c r="H1738" s="14">
        <x:f>IF(B1738="","", $F$8*COS(B1738) - $B$7*$F$6*COS($F$6*B1738))</x:f>
      </x:c>
    </x:row>
    <x:row r="1739">
      <x:c r="A1739" s="13" t="n">
        <x:v>1720</x:v>
      </x:c>
      <x:c r="B1739" s="14">
        <x:f>IF($B$12&lt;1720,"",$B$13+(1720-1)*($B$14-$B$13)/($B$12-1))</x:f>
      </x:c>
      <x:c r="C1739" s="14">
        <x:f>IF(B1739="","",$F$8*COS(B1739) + $B$7*COS($F$6*B1739))</x:f>
      </x:c>
      <x:c r="D1739" s="14">
        <x:f>IF(B1739="","",$F$8*SIN(B1739) - $B$7*SIN($F$6*B1739))</x:f>
      </x:c>
      <x:c r="E1739" s="14">
        <x:f>IF(B1739="","", C1739 + $F$12*$F$9*(-H1739)/IF(SQRT(G1739^2+H1739^2)=0,1,SQRT(G1739^2+H1739^2)))</x:f>
      </x:c>
      <x:c r="F1739" s="14">
        <x:f>IF(B1739="","", D1739 + $F$12*$F$9*(G1739)/IF(SQRT(G1739^2+H1739^2)=0,1,SQRT(G1739^2+H1739^2)))</x:f>
      </x:c>
      <x:c r="G1739" s="14">
        <x:f>IF(B1739="","", -$F$8*SIN(B1739) - $B$7*$F$6*SIN($F$6*B1739))</x:f>
      </x:c>
      <x:c r="H1739" s="14">
        <x:f>IF(B1739="","", $F$8*COS(B1739) - $B$7*$F$6*COS($F$6*B1739))</x:f>
      </x:c>
    </x:row>
    <x:row r="1740">
      <x:c r="A1740" s="13" t="n">
        <x:v>1721</x:v>
      </x:c>
      <x:c r="B1740" s="14">
        <x:f>IF($B$12&lt;1721,"",$B$13+(1721-1)*($B$14-$B$13)/($B$12-1))</x:f>
      </x:c>
      <x:c r="C1740" s="14">
        <x:f>IF(B1740="","",$F$8*COS(B1740) + $B$7*COS($F$6*B1740))</x:f>
      </x:c>
      <x:c r="D1740" s="14">
        <x:f>IF(B1740="","",$F$8*SIN(B1740) - $B$7*SIN($F$6*B1740))</x:f>
      </x:c>
      <x:c r="E1740" s="14">
        <x:f>IF(B1740="","", C1740 + $F$12*$F$9*(-H1740)/IF(SQRT(G1740^2+H1740^2)=0,1,SQRT(G1740^2+H1740^2)))</x:f>
      </x:c>
      <x:c r="F1740" s="14">
        <x:f>IF(B1740="","", D1740 + $F$12*$F$9*(G1740)/IF(SQRT(G1740^2+H1740^2)=0,1,SQRT(G1740^2+H1740^2)))</x:f>
      </x:c>
      <x:c r="G1740" s="14">
        <x:f>IF(B1740="","", -$F$8*SIN(B1740) - $B$7*$F$6*SIN($F$6*B1740))</x:f>
      </x:c>
      <x:c r="H1740" s="14">
        <x:f>IF(B1740="","", $F$8*COS(B1740) - $B$7*$F$6*COS($F$6*B1740))</x:f>
      </x:c>
    </x:row>
    <x:row r="1741">
      <x:c r="A1741" s="13" t="n">
        <x:v>1722</x:v>
      </x:c>
      <x:c r="B1741" s="14">
        <x:f>IF($B$12&lt;1722,"",$B$13+(1722-1)*($B$14-$B$13)/($B$12-1))</x:f>
      </x:c>
      <x:c r="C1741" s="14">
        <x:f>IF(B1741="","",$F$8*COS(B1741) + $B$7*COS($F$6*B1741))</x:f>
      </x:c>
      <x:c r="D1741" s="14">
        <x:f>IF(B1741="","",$F$8*SIN(B1741) - $B$7*SIN($F$6*B1741))</x:f>
      </x:c>
      <x:c r="E1741" s="14">
        <x:f>IF(B1741="","", C1741 + $F$12*$F$9*(-H1741)/IF(SQRT(G1741^2+H1741^2)=0,1,SQRT(G1741^2+H1741^2)))</x:f>
      </x:c>
      <x:c r="F1741" s="14">
        <x:f>IF(B1741="","", D1741 + $F$12*$F$9*(G1741)/IF(SQRT(G1741^2+H1741^2)=0,1,SQRT(G1741^2+H1741^2)))</x:f>
      </x:c>
      <x:c r="G1741" s="14">
        <x:f>IF(B1741="","", -$F$8*SIN(B1741) - $B$7*$F$6*SIN($F$6*B1741))</x:f>
      </x:c>
      <x:c r="H1741" s="14">
        <x:f>IF(B1741="","", $F$8*COS(B1741) - $B$7*$F$6*COS($F$6*B1741))</x:f>
      </x:c>
    </x:row>
    <x:row r="1742">
      <x:c r="A1742" s="13" t="n">
        <x:v>1723</x:v>
      </x:c>
      <x:c r="B1742" s="14">
        <x:f>IF($B$12&lt;1723,"",$B$13+(1723-1)*($B$14-$B$13)/($B$12-1))</x:f>
      </x:c>
      <x:c r="C1742" s="14">
        <x:f>IF(B1742="","",$F$8*COS(B1742) + $B$7*COS($F$6*B1742))</x:f>
      </x:c>
      <x:c r="D1742" s="14">
        <x:f>IF(B1742="","",$F$8*SIN(B1742) - $B$7*SIN($F$6*B1742))</x:f>
      </x:c>
      <x:c r="E1742" s="14">
        <x:f>IF(B1742="","", C1742 + $F$12*$F$9*(-H1742)/IF(SQRT(G1742^2+H1742^2)=0,1,SQRT(G1742^2+H1742^2)))</x:f>
      </x:c>
      <x:c r="F1742" s="14">
        <x:f>IF(B1742="","", D1742 + $F$12*$F$9*(G1742)/IF(SQRT(G1742^2+H1742^2)=0,1,SQRT(G1742^2+H1742^2)))</x:f>
      </x:c>
      <x:c r="G1742" s="14">
        <x:f>IF(B1742="","", -$F$8*SIN(B1742) - $B$7*$F$6*SIN($F$6*B1742))</x:f>
      </x:c>
      <x:c r="H1742" s="14">
        <x:f>IF(B1742="","", $F$8*COS(B1742) - $B$7*$F$6*COS($F$6*B1742))</x:f>
      </x:c>
    </x:row>
    <x:row r="1743">
      <x:c r="A1743" s="13" t="n">
        <x:v>1724</x:v>
      </x:c>
      <x:c r="B1743" s="14">
        <x:f>IF($B$12&lt;1724,"",$B$13+(1724-1)*($B$14-$B$13)/($B$12-1))</x:f>
      </x:c>
      <x:c r="C1743" s="14">
        <x:f>IF(B1743="","",$F$8*COS(B1743) + $B$7*COS($F$6*B1743))</x:f>
      </x:c>
      <x:c r="D1743" s="14">
        <x:f>IF(B1743="","",$F$8*SIN(B1743) - $B$7*SIN($F$6*B1743))</x:f>
      </x:c>
      <x:c r="E1743" s="14">
        <x:f>IF(B1743="","", C1743 + $F$12*$F$9*(-H1743)/IF(SQRT(G1743^2+H1743^2)=0,1,SQRT(G1743^2+H1743^2)))</x:f>
      </x:c>
      <x:c r="F1743" s="14">
        <x:f>IF(B1743="","", D1743 + $F$12*$F$9*(G1743)/IF(SQRT(G1743^2+H1743^2)=0,1,SQRT(G1743^2+H1743^2)))</x:f>
      </x:c>
      <x:c r="G1743" s="14">
        <x:f>IF(B1743="","", -$F$8*SIN(B1743) - $B$7*$F$6*SIN($F$6*B1743))</x:f>
      </x:c>
      <x:c r="H1743" s="14">
        <x:f>IF(B1743="","", $F$8*COS(B1743) - $B$7*$F$6*COS($F$6*B1743))</x:f>
      </x:c>
    </x:row>
    <x:row r="1744">
      <x:c r="A1744" s="13" t="n">
        <x:v>1725</x:v>
      </x:c>
      <x:c r="B1744" s="14">
        <x:f>IF($B$12&lt;1725,"",$B$13+(1725-1)*($B$14-$B$13)/($B$12-1))</x:f>
      </x:c>
      <x:c r="C1744" s="14">
        <x:f>IF(B1744="","",$F$8*COS(B1744) + $B$7*COS($F$6*B1744))</x:f>
      </x:c>
      <x:c r="D1744" s="14">
        <x:f>IF(B1744="","",$F$8*SIN(B1744) - $B$7*SIN($F$6*B1744))</x:f>
      </x:c>
      <x:c r="E1744" s="14">
        <x:f>IF(B1744="","", C1744 + $F$12*$F$9*(-H1744)/IF(SQRT(G1744^2+H1744^2)=0,1,SQRT(G1744^2+H1744^2)))</x:f>
      </x:c>
      <x:c r="F1744" s="14">
        <x:f>IF(B1744="","", D1744 + $F$12*$F$9*(G1744)/IF(SQRT(G1744^2+H1744^2)=0,1,SQRT(G1744^2+H1744^2)))</x:f>
      </x:c>
      <x:c r="G1744" s="14">
        <x:f>IF(B1744="","", -$F$8*SIN(B1744) - $B$7*$F$6*SIN($F$6*B1744))</x:f>
      </x:c>
      <x:c r="H1744" s="14">
        <x:f>IF(B1744="","", $F$8*COS(B1744) - $B$7*$F$6*COS($F$6*B1744))</x:f>
      </x:c>
    </x:row>
    <x:row r="1745">
      <x:c r="A1745" s="13" t="n">
        <x:v>1726</x:v>
      </x:c>
      <x:c r="B1745" s="14">
        <x:f>IF($B$12&lt;1726,"",$B$13+(1726-1)*($B$14-$B$13)/($B$12-1))</x:f>
      </x:c>
      <x:c r="C1745" s="14">
        <x:f>IF(B1745="","",$F$8*COS(B1745) + $B$7*COS($F$6*B1745))</x:f>
      </x:c>
      <x:c r="D1745" s="14">
        <x:f>IF(B1745="","",$F$8*SIN(B1745) - $B$7*SIN($F$6*B1745))</x:f>
      </x:c>
      <x:c r="E1745" s="14">
        <x:f>IF(B1745="","", C1745 + $F$12*$F$9*(-H1745)/IF(SQRT(G1745^2+H1745^2)=0,1,SQRT(G1745^2+H1745^2)))</x:f>
      </x:c>
      <x:c r="F1745" s="14">
        <x:f>IF(B1745="","", D1745 + $F$12*$F$9*(G1745)/IF(SQRT(G1745^2+H1745^2)=0,1,SQRT(G1745^2+H1745^2)))</x:f>
      </x:c>
      <x:c r="G1745" s="14">
        <x:f>IF(B1745="","", -$F$8*SIN(B1745) - $B$7*$F$6*SIN($F$6*B1745))</x:f>
      </x:c>
      <x:c r="H1745" s="14">
        <x:f>IF(B1745="","", $F$8*COS(B1745) - $B$7*$F$6*COS($F$6*B1745))</x:f>
      </x:c>
    </x:row>
    <x:row r="1746">
      <x:c r="A1746" s="13" t="n">
        <x:v>1727</x:v>
      </x:c>
      <x:c r="B1746" s="14">
        <x:f>IF($B$12&lt;1727,"",$B$13+(1727-1)*($B$14-$B$13)/($B$12-1))</x:f>
      </x:c>
      <x:c r="C1746" s="14">
        <x:f>IF(B1746="","",$F$8*COS(B1746) + $B$7*COS($F$6*B1746))</x:f>
      </x:c>
      <x:c r="D1746" s="14">
        <x:f>IF(B1746="","",$F$8*SIN(B1746) - $B$7*SIN($F$6*B1746))</x:f>
      </x:c>
      <x:c r="E1746" s="14">
        <x:f>IF(B1746="","", C1746 + $F$12*$F$9*(-H1746)/IF(SQRT(G1746^2+H1746^2)=0,1,SQRT(G1746^2+H1746^2)))</x:f>
      </x:c>
      <x:c r="F1746" s="14">
        <x:f>IF(B1746="","", D1746 + $F$12*$F$9*(G1746)/IF(SQRT(G1746^2+H1746^2)=0,1,SQRT(G1746^2+H1746^2)))</x:f>
      </x:c>
      <x:c r="G1746" s="14">
        <x:f>IF(B1746="","", -$F$8*SIN(B1746) - $B$7*$F$6*SIN($F$6*B1746))</x:f>
      </x:c>
      <x:c r="H1746" s="14">
        <x:f>IF(B1746="","", $F$8*COS(B1746) - $B$7*$F$6*COS($F$6*B1746))</x:f>
      </x:c>
    </x:row>
    <x:row r="1747">
      <x:c r="A1747" s="13" t="n">
        <x:v>1728</x:v>
      </x:c>
      <x:c r="B1747" s="14">
        <x:f>IF($B$12&lt;1728,"",$B$13+(1728-1)*($B$14-$B$13)/($B$12-1))</x:f>
      </x:c>
      <x:c r="C1747" s="14">
        <x:f>IF(B1747="","",$F$8*COS(B1747) + $B$7*COS($F$6*B1747))</x:f>
      </x:c>
      <x:c r="D1747" s="14">
        <x:f>IF(B1747="","",$F$8*SIN(B1747) - $B$7*SIN($F$6*B1747))</x:f>
      </x:c>
      <x:c r="E1747" s="14">
        <x:f>IF(B1747="","", C1747 + $F$12*$F$9*(-H1747)/IF(SQRT(G1747^2+H1747^2)=0,1,SQRT(G1747^2+H1747^2)))</x:f>
      </x:c>
      <x:c r="F1747" s="14">
        <x:f>IF(B1747="","", D1747 + $F$12*$F$9*(G1747)/IF(SQRT(G1747^2+H1747^2)=0,1,SQRT(G1747^2+H1747^2)))</x:f>
      </x:c>
      <x:c r="G1747" s="14">
        <x:f>IF(B1747="","", -$F$8*SIN(B1747) - $B$7*$F$6*SIN($F$6*B1747))</x:f>
      </x:c>
      <x:c r="H1747" s="14">
        <x:f>IF(B1747="","", $F$8*COS(B1747) - $B$7*$F$6*COS($F$6*B1747))</x:f>
      </x:c>
    </x:row>
    <x:row r="1748">
      <x:c r="A1748" s="13" t="n">
        <x:v>1729</x:v>
      </x:c>
      <x:c r="B1748" s="14">
        <x:f>IF($B$12&lt;1729,"",$B$13+(1729-1)*($B$14-$B$13)/($B$12-1))</x:f>
      </x:c>
      <x:c r="C1748" s="14">
        <x:f>IF(B1748="","",$F$8*COS(B1748) + $B$7*COS($F$6*B1748))</x:f>
      </x:c>
      <x:c r="D1748" s="14">
        <x:f>IF(B1748="","",$F$8*SIN(B1748) - $B$7*SIN($F$6*B1748))</x:f>
      </x:c>
      <x:c r="E1748" s="14">
        <x:f>IF(B1748="","", C1748 + $F$12*$F$9*(-H1748)/IF(SQRT(G1748^2+H1748^2)=0,1,SQRT(G1748^2+H1748^2)))</x:f>
      </x:c>
      <x:c r="F1748" s="14">
        <x:f>IF(B1748="","", D1748 + $F$12*$F$9*(G1748)/IF(SQRT(G1748^2+H1748^2)=0,1,SQRT(G1748^2+H1748^2)))</x:f>
      </x:c>
      <x:c r="G1748" s="14">
        <x:f>IF(B1748="","", -$F$8*SIN(B1748) - $B$7*$F$6*SIN($F$6*B1748))</x:f>
      </x:c>
      <x:c r="H1748" s="14">
        <x:f>IF(B1748="","", $F$8*COS(B1748) - $B$7*$F$6*COS($F$6*B1748))</x:f>
      </x:c>
    </x:row>
    <x:row r="1749">
      <x:c r="A1749" s="13" t="n">
        <x:v>1730</x:v>
      </x:c>
      <x:c r="B1749" s="14">
        <x:f>IF($B$12&lt;1730,"",$B$13+(1730-1)*($B$14-$B$13)/($B$12-1))</x:f>
      </x:c>
      <x:c r="C1749" s="14">
        <x:f>IF(B1749="","",$F$8*COS(B1749) + $B$7*COS($F$6*B1749))</x:f>
      </x:c>
      <x:c r="D1749" s="14">
        <x:f>IF(B1749="","",$F$8*SIN(B1749) - $B$7*SIN($F$6*B1749))</x:f>
      </x:c>
      <x:c r="E1749" s="14">
        <x:f>IF(B1749="","", C1749 + $F$12*$F$9*(-H1749)/IF(SQRT(G1749^2+H1749^2)=0,1,SQRT(G1749^2+H1749^2)))</x:f>
      </x:c>
      <x:c r="F1749" s="14">
        <x:f>IF(B1749="","", D1749 + $F$12*$F$9*(G1749)/IF(SQRT(G1749^2+H1749^2)=0,1,SQRT(G1749^2+H1749^2)))</x:f>
      </x:c>
      <x:c r="G1749" s="14">
        <x:f>IF(B1749="","", -$F$8*SIN(B1749) - $B$7*$F$6*SIN($F$6*B1749))</x:f>
      </x:c>
      <x:c r="H1749" s="14">
        <x:f>IF(B1749="","", $F$8*COS(B1749) - $B$7*$F$6*COS($F$6*B1749))</x:f>
      </x:c>
    </x:row>
    <x:row r="1750">
      <x:c r="A1750" s="13" t="n">
        <x:v>1731</x:v>
      </x:c>
      <x:c r="B1750" s="14">
        <x:f>IF($B$12&lt;1731,"",$B$13+(1731-1)*($B$14-$B$13)/($B$12-1))</x:f>
      </x:c>
      <x:c r="C1750" s="14">
        <x:f>IF(B1750="","",$F$8*COS(B1750) + $B$7*COS($F$6*B1750))</x:f>
      </x:c>
      <x:c r="D1750" s="14">
        <x:f>IF(B1750="","",$F$8*SIN(B1750) - $B$7*SIN($F$6*B1750))</x:f>
      </x:c>
      <x:c r="E1750" s="14">
        <x:f>IF(B1750="","", C1750 + $F$12*$F$9*(-H1750)/IF(SQRT(G1750^2+H1750^2)=0,1,SQRT(G1750^2+H1750^2)))</x:f>
      </x:c>
      <x:c r="F1750" s="14">
        <x:f>IF(B1750="","", D1750 + $F$12*$F$9*(G1750)/IF(SQRT(G1750^2+H1750^2)=0,1,SQRT(G1750^2+H1750^2)))</x:f>
      </x:c>
      <x:c r="G1750" s="14">
        <x:f>IF(B1750="","", -$F$8*SIN(B1750) - $B$7*$F$6*SIN($F$6*B1750))</x:f>
      </x:c>
      <x:c r="H1750" s="14">
        <x:f>IF(B1750="","", $F$8*COS(B1750) - $B$7*$F$6*COS($F$6*B1750))</x:f>
      </x:c>
    </x:row>
    <x:row r="1751">
      <x:c r="A1751" s="13" t="n">
        <x:v>1732</x:v>
      </x:c>
      <x:c r="B1751" s="14">
        <x:f>IF($B$12&lt;1732,"",$B$13+(1732-1)*($B$14-$B$13)/($B$12-1))</x:f>
      </x:c>
      <x:c r="C1751" s="14">
        <x:f>IF(B1751="","",$F$8*COS(B1751) + $B$7*COS($F$6*B1751))</x:f>
      </x:c>
      <x:c r="D1751" s="14">
        <x:f>IF(B1751="","",$F$8*SIN(B1751) - $B$7*SIN($F$6*B1751))</x:f>
      </x:c>
      <x:c r="E1751" s="14">
        <x:f>IF(B1751="","", C1751 + $F$12*$F$9*(-H1751)/IF(SQRT(G1751^2+H1751^2)=0,1,SQRT(G1751^2+H1751^2)))</x:f>
      </x:c>
      <x:c r="F1751" s="14">
        <x:f>IF(B1751="","", D1751 + $F$12*$F$9*(G1751)/IF(SQRT(G1751^2+H1751^2)=0,1,SQRT(G1751^2+H1751^2)))</x:f>
      </x:c>
      <x:c r="G1751" s="14">
        <x:f>IF(B1751="","", -$F$8*SIN(B1751) - $B$7*$F$6*SIN($F$6*B1751))</x:f>
      </x:c>
      <x:c r="H1751" s="14">
        <x:f>IF(B1751="","", $F$8*COS(B1751) - $B$7*$F$6*COS($F$6*B1751))</x:f>
      </x:c>
    </x:row>
    <x:row r="1752">
      <x:c r="A1752" s="13" t="n">
        <x:v>1733</x:v>
      </x:c>
      <x:c r="B1752" s="14">
        <x:f>IF($B$12&lt;1733,"",$B$13+(1733-1)*($B$14-$B$13)/($B$12-1))</x:f>
      </x:c>
      <x:c r="C1752" s="14">
        <x:f>IF(B1752="","",$F$8*COS(B1752) + $B$7*COS($F$6*B1752))</x:f>
      </x:c>
      <x:c r="D1752" s="14">
        <x:f>IF(B1752="","",$F$8*SIN(B1752) - $B$7*SIN($F$6*B1752))</x:f>
      </x:c>
      <x:c r="E1752" s="14">
        <x:f>IF(B1752="","", C1752 + $F$12*$F$9*(-H1752)/IF(SQRT(G1752^2+H1752^2)=0,1,SQRT(G1752^2+H1752^2)))</x:f>
      </x:c>
      <x:c r="F1752" s="14">
        <x:f>IF(B1752="","", D1752 + $F$12*$F$9*(G1752)/IF(SQRT(G1752^2+H1752^2)=0,1,SQRT(G1752^2+H1752^2)))</x:f>
      </x:c>
      <x:c r="G1752" s="14">
        <x:f>IF(B1752="","", -$F$8*SIN(B1752) - $B$7*$F$6*SIN($F$6*B1752))</x:f>
      </x:c>
      <x:c r="H1752" s="14">
        <x:f>IF(B1752="","", $F$8*COS(B1752) - $B$7*$F$6*COS($F$6*B1752))</x:f>
      </x:c>
    </x:row>
    <x:row r="1753">
      <x:c r="A1753" s="13" t="n">
        <x:v>1734</x:v>
      </x:c>
      <x:c r="B1753" s="14">
        <x:f>IF($B$12&lt;1734,"",$B$13+(1734-1)*($B$14-$B$13)/($B$12-1))</x:f>
      </x:c>
      <x:c r="C1753" s="14">
        <x:f>IF(B1753="","",$F$8*COS(B1753) + $B$7*COS($F$6*B1753))</x:f>
      </x:c>
      <x:c r="D1753" s="14">
        <x:f>IF(B1753="","",$F$8*SIN(B1753) - $B$7*SIN($F$6*B1753))</x:f>
      </x:c>
      <x:c r="E1753" s="14">
        <x:f>IF(B1753="","", C1753 + $F$12*$F$9*(-H1753)/IF(SQRT(G1753^2+H1753^2)=0,1,SQRT(G1753^2+H1753^2)))</x:f>
      </x:c>
      <x:c r="F1753" s="14">
        <x:f>IF(B1753="","", D1753 + $F$12*$F$9*(G1753)/IF(SQRT(G1753^2+H1753^2)=0,1,SQRT(G1753^2+H1753^2)))</x:f>
      </x:c>
      <x:c r="G1753" s="14">
        <x:f>IF(B1753="","", -$F$8*SIN(B1753) - $B$7*$F$6*SIN($F$6*B1753))</x:f>
      </x:c>
      <x:c r="H1753" s="14">
        <x:f>IF(B1753="","", $F$8*COS(B1753) - $B$7*$F$6*COS($F$6*B1753))</x:f>
      </x:c>
    </x:row>
    <x:row r="1754">
      <x:c r="A1754" s="13" t="n">
        <x:v>1735</x:v>
      </x:c>
      <x:c r="B1754" s="14">
        <x:f>IF($B$12&lt;1735,"",$B$13+(1735-1)*($B$14-$B$13)/($B$12-1))</x:f>
      </x:c>
      <x:c r="C1754" s="14">
        <x:f>IF(B1754="","",$F$8*COS(B1754) + $B$7*COS($F$6*B1754))</x:f>
      </x:c>
      <x:c r="D1754" s="14">
        <x:f>IF(B1754="","",$F$8*SIN(B1754) - $B$7*SIN($F$6*B1754))</x:f>
      </x:c>
      <x:c r="E1754" s="14">
        <x:f>IF(B1754="","", C1754 + $F$12*$F$9*(-H1754)/IF(SQRT(G1754^2+H1754^2)=0,1,SQRT(G1754^2+H1754^2)))</x:f>
      </x:c>
      <x:c r="F1754" s="14">
        <x:f>IF(B1754="","", D1754 + $F$12*$F$9*(G1754)/IF(SQRT(G1754^2+H1754^2)=0,1,SQRT(G1754^2+H1754^2)))</x:f>
      </x:c>
      <x:c r="G1754" s="14">
        <x:f>IF(B1754="","", -$F$8*SIN(B1754) - $B$7*$F$6*SIN($F$6*B1754))</x:f>
      </x:c>
      <x:c r="H1754" s="14">
        <x:f>IF(B1754="","", $F$8*COS(B1754) - $B$7*$F$6*COS($F$6*B1754))</x:f>
      </x:c>
    </x:row>
    <x:row r="1755">
      <x:c r="A1755" s="13" t="n">
        <x:v>1736</x:v>
      </x:c>
      <x:c r="B1755" s="14">
        <x:f>IF($B$12&lt;1736,"",$B$13+(1736-1)*($B$14-$B$13)/($B$12-1))</x:f>
      </x:c>
      <x:c r="C1755" s="14">
        <x:f>IF(B1755="","",$F$8*COS(B1755) + $B$7*COS($F$6*B1755))</x:f>
      </x:c>
      <x:c r="D1755" s="14">
        <x:f>IF(B1755="","",$F$8*SIN(B1755) - $B$7*SIN($F$6*B1755))</x:f>
      </x:c>
      <x:c r="E1755" s="14">
        <x:f>IF(B1755="","", C1755 + $F$12*$F$9*(-H1755)/IF(SQRT(G1755^2+H1755^2)=0,1,SQRT(G1755^2+H1755^2)))</x:f>
      </x:c>
      <x:c r="F1755" s="14">
        <x:f>IF(B1755="","", D1755 + $F$12*$F$9*(G1755)/IF(SQRT(G1755^2+H1755^2)=0,1,SQRT(G1755^2+H1755^2)))</x:f>
      </x:c>
      <x:c r="G1755" s="14">
        <x:f>IF(B1755="","", -$F$8*SIN(B1755) - $B$7*$F$6*SIN($F$6*B1755))</x:f>
      </x:c>
      <x:c r="H1755" s="14">
        <x:f>IF(B1755="","", $F$8*COS(B1755) - $B$7*$F$6*COS($F$6*B1755))</x:f>
      </x:c>
    </x:row>
    <x:row r="1756">
      <x:c r="A1756" s="13" t="n">
        <x:v>1737</x:v>
      </x:c>
      <x:c r="B1756" s="14">
        <x:f>IF($B$12&lt;1737,"",$B$13+(1737-1)*($B$14-$B$13)/($B$12-1))</x:f>
      </x:c>
      <x:c r="C1756" s="14">
        <x:f>IF(B1756="","",$F$8*COS(B1756) + $B$7*COS($F$6*B1756))</x:f>
      </x:c>
      <x:c r="D1756" s="14">
        <x:f>IF(B1756="","",$F$8*SIN(B1756) - $B$7*SIN($F$6*B1756))</x:f>
      </x:c>
      <x:c r="E1756" s="14">
        <x:f>IF(B1756="","", C1756 + $F$12*$F$9*(-H1756)/IF(SQRT(G1756^2+H1756^2)=0,1,SQRT(G1756^2+H1756^2)))</x:f>
      </x:c>
      <x:c r="F1756" s="14">
        <x:f>IF(B1756="","", D1756 + $F$12*$F$9*(G1756)/IF(SQRT(G1756^2+H1756^2)=0,1,SQRT(G1756^2+H1756^2)))</x:f>
      </x:c>
      <x:c r="G1756" s="14">
        <x:f>IF(B1756="","", -$F$8*SIN(B1756) - $B$7*$F$6*SIN($F$6*B1756))</x:f>
      </x:c>
      <x:c r="H1756" s="14">
        <x:f>IF(B1756="","", $F$8*COS(B1756) - $B$7*$F$6*COS($F$6*B1756))</x:f>
      </x:c>
    </x:row>
    <x:row r="1757">
      <x:c r="A1757" s="13" t="n">
        <x:v>1738</x:v>
      </x:c>
      <x:c r="B1757" s="14">
        <x:f>IF($B$12&lt;1738,"",$B$13+(1738-1)*($B$14-$B$13)/($B$12-1))</x:f>
      </x:c>
      <x:c r="C1757" s="14">
        <x:f>IF(B1757="","",$F$8*COS(B1757) + $B$7*COS($F$6*B1757))</x:f>
      </x:c>
      <x:c r="D1757" s="14">
        <x:f>IF(B1757="","",$F$8*SIN(B1757) - $B$7*SIN($F$6*B1757))</x:f>
      </x:c>
      <x:c r="E1757" s="14">
        <x:f>IF(B1757="","", C1757 + $F$12*$F$9*(-H1757)/IF(SQRT(G1757^2+H1757^2)=0,1,SQRT(G1757^2+H1757^2)))</x:f>
      </x:c>
      <x:c r="F1757" s="14">
        <x:f>IF(B1757="","", D1757 + $F$12*$F$9*(G1757)/IF(SQRT(G1757^2+H1757^2)=0,1,SQRT(G1757^2+H1757^2)))</x:f>
      </x:c>
      <x:c r="G1757" s="14">
        <x:f>IF(B1757="","", -$F$8*SIN(B1757) - $B$7*$F$6*SIN($F$6*B1757))</x:f>
      </x:c>
      <x:c r="H1757" s="14">
        <x:f>IF(B1757="","", $F$8*COS(B1757) - $B$7*$F$6*COS($F$6*B1757))</x:f>
      </x:c>
    </x:row>
    <x:row r="1758">
      <x:c r="A1758" s="13" t="n">
        <x:v>1739</x:v>
      </x:c>
      <x:c r="B1758" s="14">
        <x:f>IF($B$12&lt;1739,"",$B$13+(1739-1)*($B$14-$B$13)/($B$12-1))</x:f>
      </x:c>
      <x:c r="C1758" s="14">
        <x:f>IF(B1758="","",$F$8*COS(B1758) + $B$7*COS($F$6*B1758))</x:f>
      </x:c>
      <x:c r="D1758" s="14">
        <x:f>IF(B1758="","",$F$8*SIN(B1758) - $B$7*SIN($F$6*B1758))</x:f>
      </x:c>
      <x:c r="E1758" s="14">
        <x:f>IF(B1758="","", C1758 + $F$12*$F$9*(-H1758)/IF(SQRT(G1758^2+H1758^2)=0,1,SQRT(G1758^2+H1758^2)))</x:f>
      </x:c>
      <x:c r="F1758" s="14">
        <x:f>IF(B1758="","", D1758 + $F$12*$F$9*(G1758)/IF(SQRT(G1758^2+H1758^2)=0,1,SQRT(G1758^2+H1758^2)))</x:f>
      </x:c>
      <x:c r="G1758" s="14">
        <x:f>IF(B1758="","", -$F$8*SIN(B1758) - $B$7*$F$6*SIN($F$6*B1758))</x:f>
      </x:c>
      <x:c r="H1758" s="14">
        <x:f>IF(B1758="","", $F$8*COS(B1758) - $B$7*$F$6*COS($F$6*B1758))</x:f>
      </x:c>
    </x:row>
    <x:row r="1759">
      <x:c r="A1759" s="13" t="n">
        <x:v>1740</x:v>
      </x:c>
      <x:c r="B1759" s="14">
        <x:f>IF($B$12&lt;1740,"",$B$13+(1740-1)*($B$14-$B$13)/($B$12-1))</x:f>
      </x:c>
      <x:c r="C1759" s="14">
        <x:f>IF(B1759="","",$F$8*COS(B1759) + $B$7*COS($F$6*B1759))</x:f>
      </x:c>
      <x:c r="D1759" s="14">
        <x:f>IF(B1759="","",$F$8*SIN(B1759) - $B$7*SIN($F$6*B1759))</x:f>
      </x:c>
      <x:c r="E1759" s="14">
        <x:f>IF(B1759="","", C1759 + $F$12*$F$9*(-H1759)/IF(SQRT(G1759^2+H1759^2)=0,1,SQRT(G1759^2+H1759^2)))</x:f>
      </x:c>
      <x:c r="F1759" s="14">
        <x:f>IF(B1759="","", D1759 + $F$12*$F$9*(G1759)/IF(SQRT(G1759^2+H1759^2)=0,1,SQRT(G1759^2+H1759^2)))</x:f>
      </x:c>
      <x:c r="G1759" s="14">
        <x:f>IF(B1759="","", -$F$8*SIN(B1759) - $B$7*$F$6*SIN($F$6*B1759))</x:f>
      </x:c>
      <x:c r="H1759" s="14">
        <x:f>IF(B1759="","", $F$8*COS(B1759) - $B$7*$F$6*COS($F$6*B1759))</x:f>
      </x:c>
    </x:row>
    <x:row r="1760">
      <x:c r="A1760" s="13" t="n">
        <x:v>1741</x:v>
      </x:c>
      <x:c r="B1760" s="14">
        <x:f>IF($B$12&lt;1741,"",$B$13+(1741-1)*($B$14-$B$13)/($B$12-1))</x:f>
      </x:c>
      <x:c r="C1760" s="14">
        <x:f>IF(B1760="","",$F$8*COS(B1760) + $B$7*COS($F$6*B1760))</x:f>
      </x:c>
      <x:c r="D1760" s="14">
        <x:f>IF(B1760="","",$F$8*SIN(B1760) - $B$7*SIN($F$6*B1760))</x:f>
      </x:c>
      <x:c r="E1760" s="14">
        <x:f>IF(B1760="","", C1760 + $F$12*$F$9*(-H1760)/IF(SQRT(G1760^2+H1760^2)=0,1,SQRT(G1760^2+H1760^2)))</x:f>
      </x:c>
      <x:c r="F1760" s="14">
        <x:f>IF(B1760="","", D1760 + $F$12*$F$9*(G1760)/IF(SQRT(G1760^2+H1760^2)=0,1,SQRT(G1760^2+H1760^2)))</x:f>
      </x:c>
      <x:c r="G1760" s="14">
        <x:f>IF(B1760="","", -$F$8*SIN(B1760) - $B$7*$F$6*SIN($F$6*B1760))</x:f>
      </x:c>
      <x:c r="H1760" s="14">
        <x:f>IF(B1760="","", $F$8*COS(B1760) - $B$7*$F$6*COS($F$6*B1760))</x:f>
      </x:c>
    </x:row>
    <x:row r="1761">
      <x:c r="A1761" s="13" t="n">
        <x:v>1742</x:v>
      </x:c>
      <x:c r="B1761" s="14">
        <x:f>IF($B$12&lt;1742,"",$B$13+(1742-1)*($B$14-$B$13)/($B$12-1))</x:f>
      </x:c>
      <x:c r="C1761" s="14">
        <x:f>IF(B1761="","",$F$8*COS(B1761) + $B$7*COS($F$6*B1761))</x:f>
      </x:c>
      <x:c r="D1761" s="14">
        <x:f>IF(B1761="","",$F$8*SIN(B1761) - $B$7*SIN($F$6*B1761))</x:f>
      </x:c>
      <x:c r="E1761" s="14">
        <x:f>IF(B1761="","", C1761 + $F$12*$F$9*(-H1761)/IF(SQRT(G1761^2+H1761^2)=0,1,SQRT(G1761^2+H1761^2)))</x:f>
      </x:c>
      <x:c r="F1761" s="14">
        <x:f>IF(B1761="","", D1761 + $F$12*$F$9*(G1761)/IF(SQRT(G1761^2+H1761^2)=0,1,SQRT(G1761^2+H1761^2)))</x:f>
      </x:c>
      <x:c r="G1761" s="14">
        <x:f>IF(B1761="","", -$F$8*SIN(B1761) - $B$7*$F$6*SIN($F$6*B1761))</x:f>
      </x:c>
      <x:c r="H1761" s="14">
        <x:f>IF(B1761="","", $F$8*COS(B1761) - $B$7*$F$6*COS($F$6*B1761))</x:f>
      </x:c>
    </x:row>
    <x:row r="1762">
      <x:c r="A1762" s="13" t="n">
        <x:v>1743</x:v>
      </x:c>
      <x:c r="B1762" s="14">
        <x:f>IF($B$12&lt;1743,"",$B$13+(1743-1)*($B$14-$B$13)/($B$12-1))</x:f>
      </x:c>
      <x:c r="C1762" s="14">
        <x:f>IF(B1762="","",$F$8*COS(B1762) + $B$7*COS($F$6*B1762))</x:f>
      </x:c>
      <x:c r="D1762" s="14">
        <x:f>IF(B1762="","",$F$8*SIN(B1762) - $B$7*SIN($F$6*B1762))</x:f>
      </x:c>
      <x:c r="E1762" s="14">
        <x:f>IF(B1762="","", C1762 + $F$12*$F$9*(-H1762)/IF(SQRT(G1762^2+H1762^2)=0,1,SQRT(G1762^2+H1762^2)))</x:f>
      </x:c>
      <x:c r="F1762" s="14">
        <x:f>IF(B1762="","", D1762 + $F$12*$F$9*(G1762)/IF(SQRT(G1762^2+H1762^2)=0,1,SQRT(G1762^2+H1762^2)))</x:f>
      </x:c>
      <x:c r="G1762" s="14">
        <x:f>IF(B1762="","", -$F$8*SIN(B1762) - $B$7*$F$6*SIN($F$6*B1762))</x:f>
      </x:c>
      <x:c r="H1762" s="14">
        <x:f>IF(B1762="","", $F$8*COS(B1762) - $B$7*$F$6*COS($F$6*B1762))</x:f>
      </x:c>
    </x:row>
    <x:row r="1763">
      <x:c r="A1763" s="13" t="n">
        <x:v>1744</x:v>
      </x:c>
      <x:c r="B1763" s="14">
        <x:f>IF($B$12&lt;1744,"",$B$13+(1744-1)*($B$14-$B$13)/($B$12-1))</x:f>
      </x:c>
      <x:c r="C1763" s="14">
        <x:f>IF(B1763="","",$F$8*COS(B1763) + $B$7*COS($F$6*B1763))</x:f>
      </x:c>
      <x:c r="D1763" s="14">
        <x:f>IF(B1763="","",$F$8*SIN(B1763) - $B$7*SIN($F$6*B1763))</x:f>
      </x:c>
      <x:c r="E1763" s="14">
        <x:f>IF(B1763="","", C1763 + $F$12*$F$9*(-H1763)/IF(SQRT(G1763^2+H1763^2)=0,1,SQRT(G1763^2+H1763^2)))</x:f>
      </x:c>
      <x:c r="F1763" s="14">
        <x:f>IF(B1763="","", D1763 + $F$12*$F$9*(G1763)/IF(SQRT(G1763^2+H1763^2)=0,1,SQRT(G1763^2+H1763^2)))</x:f>
      </x:c>
      <x:c r="G1763" s="14">
        <x:f>IF(B1763="","", -$F$8*SIN(B1763) - $B$7*$F$6*SIN($F$6*B1763))</x:f>
      </x:c>
      <x:c r="H1763" s="14">
        <x:f>IF(B1763="","", $F$8*COS(B1763) - $B$7*$F$6*COS($F$6*B1763))</x:f>
      </x:c>
    </x:row>
    <x:row r="1764">
      <x:c r="A1764" s="13" t="n">
        <x:v>1745</x:v>
      </x:c>
      <x:c r="B1764" s="14">
        <x:f>IF($B$12&lt;1745,"",$B$13+(1745-1)*($B$14-$B$13)/($B$12-1))</x:f>
      </x:c>
      <x:c r="C1764" s="14">
        <x:f>IF(B1764="","",$F$8*COS(B1764) + $B$7*COS($F$6*B1764))</x:f>
      </x:c>
      <x:c r="D1764" s="14">
        <x:f>IF(B1764="","",$F$8*SIN(B1764) - $B$7*SIN($F$6*B1764))</x:f>
      </x:c>
      <x:c r="E1764" s="14">
        <x:f>IF(B1764="","", C1764 + $F$12*$F$9*(-H1764)/IF(SQRT(G1764^2+H1764^2)=0,1,SQRT(G1764^2+H1764^2)))</x:f>
      </x:c>
      <x:c r="F1764" s="14">
        <x:f>IF(B1764="","", D1764 + $F$12*$F$9*(G1764)/IF(SQRT(G1764^2+H1764^2)=0,1,SQRT(G1764^2+H1764^2)))</x:f>
      </x:c>
      <x:c r="G1764" s="14">
        <x:f>IF(B1764="","", -$F$8*SIN(B1764) - $B$7*$F$6*SIN($F$6*B1764))</x:f>
      </x:c>
      <x:c r="H1764" s="14">
        <x:f>IF(B1764="","", $F$8*COS(B1764) - $B$7*$F$6*COS($F$6*B1764))</x:f>
      </x:c>
    </x:row>
    <x:row r="1765">
      <x:c r="A1765" s="13" t="n">
        <x:v>1746</x:v>
      </x:c>
      <x:c r="B1765" s="14">
        <x:f>IF($B$12&lt;1746,"",$B$13+(1746-1)*($B$14-$B$13)/($B$12-1))</x:f>
      </x:c>
      <x:c r="C1765" s="14">
        <x:f>IF(B1765="","",$F$8*COS(B1765) + $B$7*COS($F$6*B1765))</x:f>
      </x:c>
      <x:c r="D1765" s="14">
        <x:f>IF(B1765="","",$F$8*SIN(B1765) - $B$7*SIN($F$6*B1765))</x:f>
      </x:c>
      <x:c r="E1765" s="14">
        <x:f>IF(B1765="","", C1765 + $F$12*$F$9*(-H1765)/IF(SQRT(G1765^2+H1765^2)=0,1,SQRT(G1765^2+H1765^2)))</x:f>
      </x:c>
      <x:c r="F1765" s="14">
        <x:f>IF(B1765="","", D1765 + $F$12*$F$9*(G1765)/IF(SQRT(G1765^2+H1765^2)=0,1,SQRT(G1765^2+H1765^2)))</x:f>
      </x:c>
      <x:c r="G1765" s="14">
        <x:f>IF(B1765="","", -$F$8*SIN(B1765) - $B$7*$F$6*SIN($F$6*B1765))</x:f>
      </x:c>
      <x:c r="H1765" s="14">
        <x:f>IF(B1765="","", $F$8*COS(B1765) - $B$7*$F$6*COS($F$6*B1765))</x:f>
      </x:c>
    </x:row>
    <x:row r="1766">
      <x:c r="A1766" s="13" t="n">
        <x:v>1747</x:v>
      </x:c>
      <x:c r="B1766" s="14">
        <x:f>IF($B$12&lt;1747,"",$B$13+(1747-1)*($B$14-$B$13)/($B$12-1))</x:f>
      </x:c>
      <x:c r="C1766" s="14">
        <x:f>IF(B1766="","",$F$8*COS(B1766) + $B$7*COS($F$6*B1766))</x:f>
      </x:c>
      <x:c r="D1766" s="14">
        <x:f>IF(B1766="","",$F$8*SIN(B1766) - $B$7*SIN($F$6*B1766))</x:f>
      </x:c>
      <x:c r="E1766" s="14">
        <x:f>IF(B1766="","", C1766 + $F$12*$F$9*(-H1766)/IF(SQRT(G1766^2+H1766^2)=0,1,SQRT(G1766^2+H1766^2)))</x:f>
      </x:c>
      <x:c r="F1766" s="14">
        <x:f>IF(B1766="","", D1766 + $F$12*$F$9*(G1766)/IF(SQRT(G1766^2+H1766^2)=0,1,SQRT(G1766^2+H1766^2)))</x:f>
      </x:c>
      <x:c r="G1766" s="14">
        <x:f>IF(B1766="","", -$F$8*SIN(B1766) - $B$7*$F$6*SIN($F$6*B1766))</x:f>
      </x:c>
      <x:c r="H1766" s="14">
        <x:f>IF(B1766="","", $F$8*COS(B1766) - $B$7*$F$6*COS($F$6*B1766))</x:f>
      </x:c>
    </x:row>
    <x:row r="1767">
      <x:c r="A1767" s="13" t="n">
        <x:v>1748</x:v>
      </x:c>
      <x:c r="B1767" s="14">
        <x:f>IF($B$12&lt;1748,"",$B$13+(1748-1)*($B$14-$B$13)/($B$12-1))</x:f>
      </x:c>
      <x:c r="C1767" s="14">
        <x:f>IF(B1767="","",$F$8*COS(B1767) + $B$7*COS($F$6*B1767))</x:f>
      </x:c>
      <x:c r="D1767" s="14">
        <x:f>IF(B1767="","",$F$8*SIN(B1767) - $B$7*SIN($F$6*B1767))</x:f>
      </x:c>
      <x:c r="E1767" s="14">
        <x:f>IF(B1767="","", C1767 + $F$12*$F$9*(-H1767)/IF(SQRT(G1767^2+H1767^2)=0,1,SQRT(G1767^2+H1767^2)))</x:f>
      </x:c>
      <x:c r="F1767" s="14">
        <x:f>IF(B1767="","", D1767 + $F$12*$F$9*(G1767)/IF(SQRT(G1767^2+H1767^2)=0,1,SQRT(G1767^2+H1767^2)))</x:f>
      </x:c>
      <x:c r="G1767" s="14">
        <x:f>IF(B1767="","", -$F$8*SIN(B1767) - $B$7*$F$6*SIN($F$6*B1767))</x:f>
      </x:c>
      <x:c r="H1767" s="14">
        <x:f>IF(B1767="","", $F$8*COS(B1767) - $B$7*$F$6*COS($F$6*B1767))</x:f>
      </x:c>
    </x:row>
    <x:row r="1768">
      <x:c r="A1768" s="13" t="n">
        <x:v>1749</x:v>
      </x:c>
      <x:c r="B1768" s="14">
        <x:f>IF($B$12&lt;1749,"",$B$13+(1749-1)*($B$14-$B$13)/($B$12-1))</x:f>
      </x:c>
      <x:c r="C1768" s="14">
        <x:f>IF(B1768="","",$F$8*COS(B1768) + $B$7*COS($F$6*B1768))</x:f>
      </x:c>
      <x:c r="D1768" s="14">
        <x:f>IF(B1768="","",$F$8*SIN(B1768) - $B$7*SIN($F$6*B1768))</x:f>
      </x:c>
      <x:c r="E1768" s="14">
        <x:f>IF(B1768="","", C1768 + $F$12*$F$9*(-H1768)/IF(SQRT(G1768^2+H1768^2)=0,1,SQRT(G1768^2+H1768^2)))</x:f>
      </x:c>
      <x:c r="F1768" s="14">
        <x:f>IF(B1768="","", D1768 + $F$12*$F$9*(G1768)/IF(SQRT(G1768^2+H1768^2)=0,1,SQRT(G1768^2+H1768^2)))</x:f>
      </x:c>
      <x:c r="G1768" s="14">
        <x:f>IF(B1768="","", -$F$8*SIN(B1768) - $B$7*$F$6*SIN($F$6*B1768))</x:f>
      </x:c>
      <x:c r="H1768" s="14">
        <x:f>IF(B1768="","", $F$8*COS(B1768) - $B$7*$F$6*COS($F$6*B1768))</x:f>
      </x:c>
    </x:row>
    <x:row r="1769">
      <x:c r="A1769" s="13" t="n">
        <x:v>1750</x:v>
      </x:c>
      <x:c r="B1769" s="14">
        <x:f>IF($B$12&lt;1750,"",$B$13+(1750-1)*($B$14-$B$13)/($B$12-1))</x:f>
      </x:c>
      <x:c r="C1769" s="14">
        <x:f>IF(B1769="","",$F$8*COS(B1769) + $B$7*COS($F$6*B1769))</x:f>
      </x:c>
      <x:c r="D1769" s="14">
        <x:f>IF(B1769="","",$F$8*SIN(B1769) - $B$7*SIN($F$6*B1769))</x:f>
      </x:c>
      <x:c r="E1769" s="14">
        <x:f>IF(B1769="","", C1769 + $F$12*$F$9*(-H1769)/IF(SQRT(G1769^2+H1769^2)=0,1,SQRT(G1769^2+H1769^2)))</x:f>
      </x:c>
      <x:c r="F1769" s="14">
        <x:f>IF(B1769="","", D1769 + $F$12*$F$9*(G1769)/IF(SQRT(G1769^2+H1769^2)=0,1,SQRT(G1769^2+H1769^2)))</x:f>
      </x:c>
      <x:c r="G1769" s="14">
        <x:f>IF(B1769="","", -$F$8*SIN(B1769) - $B$7*$F$6*SIN($F$6*B1769))</x:f>
      </x:c>
      <x:c r="H1769" s="14">
        <x:f>IF(B1769="","", $F$8*COS(B1769) - $B$7*$F$6*COS($F$6*B1769))</x:f>
      </x:c>
    </x:row>
    <x:row r="1770">
      <x:c r="A1770" s="13" t="n">
        <x:v>1751</x:v>
      </x:c>
      <x:c r="B1770" s="14">
        <x:f>IF($B$12&lt;1751,"",$B$13+(1751-1)*($B$14-$B$13)/($B$12-1))</x:f>
      </x:c>
      <x:c r="C1770" s="14">
        <x:f>IF(B1770="","",$F$8*COS(B1770) + $B$7*COS($F$6*B1770))</x:f>
      </x:c>
      <x:c r="D1770" s="14">
        <x:f>IF(B1770="","",$F$8*SIN(B1770) - $B$7*SIN($F$6*B1770))</x:f>
      </x:c>
      <x:c r="E1770" s="14">
        <x:f>IF(B1770="","", C1770 + $F$12*$F$9*(-H1770)/IF(SQRT(G1770^2+H1770^2)=0,1,SQRT(G1770^2+H1770^2)))</x:f>
      </x:c>
      <x:c r="F1770" s="14">
        <x:f>IF(B1770="","", D1770 + $F$12*$F$9*(G1770)/IF(SQRT(G1770^2+H1770^2)=0,1,SQRT(G1770^2+H1770^2)))</x:f>
      </x:c>
      <x:c r="G1770" s="14">
        <x:f>IF(B1770="","", -$F$8*SIN(B1770) - $B$7*$F$6*SIN($F$6*B1770))</x:f>
      </x:c>
      <x:c r="H1770" s="14">
        <x:f>IF(B1770="","", $F$8*COS(B1770) - $B$7*$F$6*COS($F$6*B1770))</x:f>
      </x:c>
    </x:row>
    <x:row r="1771">
      <x:c r="A1771" s="13" t="n">
        <x:v>1752</x:v>
      </x:c>
      <x:c r="B1771" s="14">
        <x:f>IF($B$12&lt;1752,"",$B$13+(1752-1)*($B$14-$B$13)/($B$12-1))</x:f>
      </x:c>
      <x:c r="C1771" s="14">
        <x:f>IF(B1771="","",$F$8*COS(B1771) + $B$7*COS($F$6*B1771))</x:f>
      </x:c>
      <x:c r="D1771" s="14">
        <x:f>IF(B1771="","",$F$8*SIN(B1771) - $B$7*SIN($F$6*B1771))</x:f>
      </x:c>
      <x:c r="E1771" s="14">
        <x:f>IF(B1771="","", C1771 + $F$12*$F$9*(-H1771)/IF(SQRT(G1771^2+H1771^2)=0,1,SQRT(G1771^2+H1771^2)))</x:f>
      </x:c>
      <x:c r="F1771" s="14">
        <x:f>IF(B1771="","", D1771 + $F$12*$F$9*(G1771)/IF(SQRT(G1771^2+H1771^2)=0,1,SQRT(G1771^2+H1771^2)))</x:f>
      </x:c>
      <x:c r="G1771" s="14">
        <x:f>IF(B1771="","", -$F$8*SIN(B1771) - $B$7*$F$6*SIN($F$6*B1771))</x:f>
      </x:c>
      <x:c r="H1771" s="14">
        <x:f>IF(B1771="","", $F$8*COS(B1771) - $B$7*$F$6*COS($F$6*B1771))</x:f>
      </x:c>
    </x:row>
    <x:row r="1772">
      <x:c r="A1772" s="13" t="n">
        <x:v>1753</x:v>
      </x:c>
      <x:c r="B1772" s="14">
        <x:f>IF($B$12&lt;1753,"",$B$13+(1753-1)*($B$14-$B$13)/($B$12-1))</x:f>
      </x:c>
      <x:c r="C1772" s="14">
        <x:f>IF(B1772="","",$F$8*COS(B1772) + $B$7*COS($F$6*B1772))</x:f>
      </x:c>
      <x:c r="D1772" s="14">
        <x:f>IF(B1772="","",$F$8*SIN(B1772) - $B$7*SIN($F$6*B1772))</x:f>
      </x:c>
      <x:c r="E1772" s="14">
        <x:f>IF(B1772="","", C1772 + $F$12*$F$9*(-H1772)/IF(SQRT(G1772^2+H1772^2)=0,1,SQRT(G1772^2+H1772^2)))</x:f>
      </x:c>
      <x:c r="F1772" s="14">
        <x:f>IF(B1772="","", D1772 + $F$12*$F$9*(G1772)/IF(SQRT(G1772^2+H1772^2)=0,1,SQRT(G1772^2+H1772^2)))</x:f>
      </x:c>
      <x:c r="G1772" s="14">
        <x:f>IF(B1772="","", -$F$8*SIN(B1772) - $B$7*$F$6*SIN($F$6*B1772))</x:f>
      </x:c>
      <x:c r="H1772" s="14">
        <x:f>IF(B1772="","", $F$8*COS(B1772) - $B$7*$F$6*COS($F$6*B1772))</x:f>
      </x:c>
    </x:row>
    <x:row r="1773">
      <x:c r="A1773" s="13" t="n">
        <x:v>1754</x:v>
      </x:c>
      <x:c r="B1773" s="14">
        <x:f>IF($B$12&lt;1754,"",$B$13+(1754-1)*($B$14-$B$13)/($B$12-1))</x:f>
      </x:c>
      <x:c r="C1773" s="14">
        <x:f>IF(B1773="","",$F$8*COS(B1773) + $B$7*COS($F$6*B1773))</x:f>
      </x:c>
      <x:c r="D1773" s="14">
        <x:f>IF(B1773="","",$F$8*SIN(B1773) - $B$7*SIN($F$6*B1773))</x:f>
      </x:c>
      <x:c r="E1773" s="14">
        <x:f>IF(B1773="","", C1773 + $F$12*$F$9*(-H1773)/IF(SQRT(G1773^2+H1773^2)=0,1,SQRT(G1773^2+H1773^2)))</x:f>
      </x:c>
      <x:c r="F1773" s="14">
        <x:f>IF(B1773="","", D1773 + $F$12*$F$9*(G1773)/IF(SQRT(G1773^2+H1773^2)=0,1,SQRT(G1773^2+H1773^2)))</x:f>
      </x:c>
      <x:c r="G1773" s="14">
        <x:f>IF(B1773="","", -$F$8*SIN(B1773) - $B$7*$F$6*SIN($F$6*B1773))</x:f>
      </x:c>
      <x:c r="H1773" s="14">
        <x:f>IF(B1773="","", $F$8*COS(B1773) - $B$7*$F$6*COS($F$6*B1773))</x:f>
      </x:c>
    </x:row>
    <x:row r="1774">
      <x:c r="A1774" s="13" t="n">
        <x:v>1755</x:v>
      </x:c>
      <x:c r="B1774" s="14">
        <x:f>IF($B$12&lt;1755,"",$B$13+(1755-1)*($B$14-$B$13)/($B$12-1))</x:f>
      </x:c>
      <x:c r="C1774" s="14">
        <x:f>IF(B1774="","",$F$8*COS(B1774) + $B$7*COS($F$6*B1774))</x:f>
      </x:c>
      <x:c r="D1774" s="14">
        <x:f>IF(B1774="","",$F$8*SIN(B1774) - $B$7*SIN($F$6*B1774))</x:f>
      </x:c>
      <x:c r="E1774" s="14">
        <x:f>IF(B1774="","", C1774 + $F$12*$F$9*(-H1774)/IF(SQRT(G1774^2+H1774^2)=0,1,SQRT(G1774^2+H1774^2)))</x:f>
      </x:c>
      <x:c r="F1774" s="14">
        <x:f>IF(B1774="","", D1774 + $F$12*$F$9*(G1774)/IF(SQRT(G1774^2+H1774^2)=0,1,SQRT(G1774^2+H1774^2)))</x:f>
      </x:c>
      <x:c r="G1774" s="14">
        <x:f>IF(B1774="","", -$F$8*SIN(B1774) - $B$7*$F$6*SIN($F$6*B1774))</x:f>
      </x:c>
      <x:c r="H1774" s="14">
        <x:f>IF(B1774="","", $F$8*COS(B1774) - $B$7*$F$6*COS($F$6*B1774))</x:f>
      </x:c>
    </x:row>
    <x:row r="1775">
      <x:c r="A1775" s="13" t="n">
        <x:v>1756</x:v>
      </x:c>
      <x:c r="B1775" s="14">
        <x:f>IF($B$12&lt;1756,"",$B$13+(1756-1)*($B$14-$B$13)/($B$12-1))</x:f>
      </x:c>
      <x:c r="C1775" s="14">
        <x:f>IF(B1775="","",$F$8*COS(B1775) + $B$7*COS($F$6*B1775))</x:f>
      </x:c>
      <x:c r="D1775" s="14">
        <x:f>IF(B1775="","",$F$8*SIN(B1775) - $B$7*SIN($F$6*B1775))</x:f>
      </x:c>
      <x:c r="E1775" s="14">
        <x:f>IF(B1775="","", C1775 + $F$12*$F$9*(-H1775)/IF(SQRT(G1775^2+H1775^2)=0,1,SQRT(G1775^2+H1775^2)))</x:f>
      </x:c>
      <x:c r="F1775" s="14">
        <x:f>IF(B1775="","", D1775 + $F$12*$F$9*(G1775)/IF(SQRT(G1775^2+H1775^2)=0,1,SQRT(G1775^2+H1775^2)))</x:f>
      </x:c>
      <x:c r="G1775" s="14">
        <x:f>IF(B1775="","", -$F$8*SIN(B1775) - $B$7*$F$6*SIN($F$6*B1775))</x:f>
      </x:c>
      <x:c r="H1775" s="14">
        <x:f>IF(B1775="","", $F$8*COS(B1775) - $B$7*$F$6*COS($F$6*B1775))</x:f>
      </x:c>
    </x:row>
    <x:row r="1776">
      <x:c r="A1776" s="13" t="n">
        <x:v>1757</x:v>
      </x:c>
      <x:c r="B1776" s="14">
        <x:f>IF($B$12&lt;1757,"",$B$13+(1757-1)*($B$14-$B$13)/($B$12-1))</x:f>
      </x:c>
      <x:c r="C1776" s="14">
        <x:f>IF(B1776="","",$F$8*COS(B1776) + $B$7*COS($F$6*B1776))</x:f>
      </x:c>
      <x:c r="D1776" s="14">
        <x:f>IF(B1776="","",$F$8*SIN(B1776) - $B$7*SIN($F$6*B1776))</x:f>
      </x:c>
      <x:c r="E1776" s="14">
        <x:f>IF(B1776="","", C1776 + $F$12*$F$9*(-H1776)/IF(SQRT(G1776^2+H1776^2)=0,1,SQRT(G1776^2+H1776^2)))</x:f>
      </x:c>
      <x:c r="F1776" s="14">
        <x:f>IF(B1776="","", D1776 + $F$12*$F$9*(G1776)/IF(SQRT(G1776^2+H1776^2)=0,1,SQRT(G1776^2+H1776^2)))</x:f>
      </x:c>
      <x:c r="G1776" s="14">
        <x:f>IF(B1776="","", -$F$8*SIN(B1776) - $B$7*$F$6*SIN($F$6*B1776))</x:f>
      </x:c>
      <x:c r="H1776" s="14">
        <x:f>IF(B1776="","", $F$8*COS(B1776) - $B$7*$F$6*COS($F$6*B1776))</x:f>
      </x:c>
    </x:row>
    <x:row r="1777">
      <x:c r="A1777" s="13" t="n">
        <x:v>1758</x:v>
      </x:c>
      <x:c r="B1777" s="14">
        <x:f>IF($B$12&lt;1758,"",$B$13+(1758-1)*($B$14-$B$13)/($B$12-1))</x:f>
      </x:c>
      <x:c r="C1777" s="14">
        <x:f>IF(B1777="","",$F$8*COS(B1777) + $B$7*COS($F$6*B1777))</x:f>
      </x:c>
      <x:c r="D1777" s="14">
        <x:f>IF(B1777="","",$F$8*SIN(B1777) - $B$7*SIN($F$6*B1777))</x:f>
      </x:c>
      <x:c r="E1777" s="14">
        <x:f>IF(B1777="","", C1777 + $F$12*$F$9*(-H1777)/IF(SQRT(G1777^2+H1777^2)=0,1,SQRT(G1777^2+H1777^2)))</x:f>
      </x:c>
      <x:c r="F1777" s="14">
        <x:f>IF(B1777="","", D1777 + $F$12*$F$9*(G1777)/IF(SQRT(G1777^2+H1777^2)=0,1,SQRT(G1777^2+H1777^2)))</x:f>
      </x:c>
      <x:c r="G1777" s="14">
        <x:f>IF(B1777="","", -$F$8*SIN(B1777) - $B$7*$F$6*SIN($F$6*B1777))</x:f>
      </x:c>
      <x:c r="H1777" s="14">
        <x:f>IF(B1777="","", $F$8*COS(B1777) - $B$7*$F$6*COS($F$6*B1777))</x:f>
      </x:c>
    </x:row>
    <x:row r="1778">
      <x:c r="A1778" s="13" t="n">
        <x:v>1759</x:v>
      </x:c>
      <x:c r="B1778" s="14">
        <x:f>IF($B$12&lt;1759,"",$B$13+(1759-1)*($B$14-$B$13)/($B$12-1))</x:f>
      </x:c>
      <x:c r="C1778" s="14">
        <x:f>IF(B1778="","",$F$8*COS(B1778) + $B$7*COS($F$6*B1778))</x:f>
      </x:c>
      <x:c r="D1778" s="14">
        <x:f>IF(B1778="","",$F$8*SIN(B1778) - $B$7*SIN($F$6*B1778))</x:f>
      </x:c>
      <x:c r="E1778" s="14">
        <x:f>IF(B1778="","", C1778 + $F$12*$F$9*(-H1778)/IF(SQRT(G1778^2+H1778^2)=0,1,SQRT(G1778^2+H1778^2)))</x:f>
      </x:c>
      <x:c r="F1778" s="14">
        <x:f>IF(B1778="","", D1778 + $F$12*$F$9*(G1778)/IF(SQRT(G1778^2+H1778^2)=0,1,SQRT(G1778^2+H1778^2)))</x:f>
      </x:c>
      <x:c r="G1778" s="14">
        <x:f>IF(B1778="","", -$F$8*SIN(B1778) - $B$7*$F$6*SIN($F$6*B1778))</x:f>
      </x:c>
      <x:c r="H1778" s="14">
        <x:f>IF(B1778="","", $F$8*COS(B1778) - $B$7*$F$6*COS($F$6*B1778))</x:f>
      </x:c>
    </x:row>
    <x:row r="1779">
      <x:c r="A1779" s="13" t="n">
        <x:v>1760</x:v>
      </x:c>
      <x:c r="B1779" s="14">
        <x:f>IF($B$12&lt;1760,"",$B$13+(1760-1)*($B$14-$B$13)/($B$12-1))</x:f>
      </x:c>
      <x:c r="C1779" s="14">
        <x:f>IF(B1779="","",$F$8*COS(B1779) + $B$7*COS($F$6*B1779))</x:f>
      </x:c>
      <x:c r="D1779" s="14">
        <x:f>IF(B1779="","",$F$8*SIN(B1779) - $B$7*SIN($F$6*B1779))</x:f>
      </x:c>
      <x:c r="E1779" s="14">
        <x:f>IF(B1779="","", C1779 + $F$12*$F$9*(-H1779)/IF(SQRT(G1779^2+H1779^2)=0,1,SQRT(G1779^2+H1779^2)))</x:f>
      </x:c>
      <x:c r="F1779" s="14">
        <x:f>IF(B1779="","", D1779 + $F$12*$F$9*(G1779)/IF(SQRT(G1779^2+H1779^2)=0,1,SQRT(G1779^2+H1779^2)))</x:f>
      </x:c>
      <x:c r="G1779" s="14">
        <x:f>IF(B1779="","", -$F$8*SIN(B1779) - $B$7*$F$6*SIN($F$6*B1779))</x:f>
      </x:c>
      <x:c r="H1779" s="14">
        <x:f>IF(B1779="","", $F$8*COS(B1779) - $B$7*$F$6*COS($F$6*B1779))</x:f>
      </x:c>
    </x:row>
    <x:row r="1780">
      <x:c r="A1780" s="13" t="n">
        <x:v>1761</x:v>
      </x:c>
      <x:c r="B1780" s="14">
        <x:f>IF($B$12&lt;1761,"",$B$13+(1761-1)*($B$14-$B$13)/($B$12-1))</x:f>
      </x:c>
      <x:c r="C1780" s="14">
        <x:f>IF(B1780="","",$F$8*COS(B1780) + $B$7*COS($F$6*B1780))</x:f>
      </x:c>
      <x:c r="D1780" s="14">
        <x:f>IF(B1780="","",$F$8*SIN(B1780) - $B$7*SIN($F$6*B1780))</x:f>
      </x:c>
      <x:c r="E1780" s="14">
        <x:f>IF(B1780="","", C1780 + $F$12*$F$9*(-H1780)/IF(SQRT(G1780^2+H1780^2)=0,1,SQRT(G1780^2+H1780^2)))</x:f>
      </x:c>
      <x:c r="F1780" s="14">
        <x:f>IF(B1780="","", D1780 + $F$12*$F$9*(G1780)/IF(SQRT(G1780^2+H1780^2)=0,1,SQRT(G1780^2+H1780^2)))</x:f>
      </x:c>
      <x:c r="G1780" s="14">
        <x:f>IF(B1780="","", -$F$8*SIN(B1780) - $B$7*$F$6*SIN($F$6*B1780))</x:f>
      </x:c>
      <x:c r="H1780" s="14">
        <x:f>IF(B1780="","", $F$8*COS(B1780) - $B$7*$F$6*COS($F$6*B1780))</x:f>
      </x:c>
    </x:row>
    <x:row r="1781">
      <x:c r="A1781" s="13" t="n">
        <x:v>1762</x:v>
      </x:c>
      <x:c r="B1781" s="14">
        <x:f>IF($B$12&lt;1762,"",$B$13+(1762-1)*($B$14-$B$13)/($B$12-1))</x:f>
      </x:c>
      <x:c r="C1781" s="14">
        <x:f>IF(B1781="","",$F$8*COS(B1781) + $B$7*COS($F$6*B1781))</x:f>
      </x:c>
      <x:c r="D1781" s="14">
        <x:f>IF(B1781="","",$F$8*SIN(B1781) - $B$7*SIN($F$6*B1781))</x:f>
      </x:c>
      <x:c r="E1781" s="14">
        <x:f>IF(B1781="","", C1781 + $F$12*$F$9*(-H1781)/IF(SQRT(G1781^2+H1781^2)=0,1,SQRT(G1781^2+H1781^2)))</x:f>
      </x:c>
      <x:c r="F1781" s="14">
        <x:f>IF(B1781="","", D1781 + $F$12*$F$9*(G1781)/IF(SQRT(G1781^2+H1781^2)=0,1,SQRT(G1781^2+H1781^2)))</x:f>
      </x:c>
      <x:c r="G1781" s="14">
        <x:f>IF(B1781="","", -$F$8*SIN(B1781) - $B$7*$F$6*SIN($F$6*B1781))</x:f>
      </x:c>
      <x:c r="H1781" s="14">
        <x:f>IF(B1781="","", $F$8*COS(B1781) - $B$7*$F$6*COS($F$6*B1781))</x:f>
      </x:c>
    </x:row>
    <x:row r="1782">
      <x:c r="A1782" s="13" t="n">
        <x:v>1763</x:v>
      </x:c>
      <x:c r="B1782" s="14">
        <x:f>IF($B$12&lt;1763,"",$B$13+(1763-1)*($B$14-$B$13)/($B$12-1))</x:f>
      </x:c>
      <x:c r="C1782" s="14">
        <x:f>IF(B1782="","",$F$8*COS(B1782) + $B$7*COS($F$6*B1782))</x:f>
      </x:c>
      <x:c r="D1782" s="14">
        <x:f>IF(B1782="","",$F$8*SIN(B1782) - $B$7*SIN($F$6*B1782))</x:f>
      </x:c>
      <x:c r="E1782" s="14">
        <x:f>IF(B1782="","", C1782 + $F$12*$F$9*(-H1782)/IF(SQRT(G1782^2+H1782^2)=0,1,SQRT(G1782^2+H1782^2)))</x:f>
      </x:c>
      <x:c r="F1782" s="14">
        <x:f>IF(B1782="","", D1782 + $F$12*$F$9*(G1782)/IF(SQRT(G1782^2+H1782^2)=0,1,SQRT(G1782^2+H1782^2)))</x:f>
      </x:c>
      <x:c r="G1782" s="14">
        <x:f>IF(B1782="","", -$F$8*SIN(B1782) - $B$7*$F$6*SIN($F$6*B1782))</x:f>
      </x:c>
      <x:c r="H1782" s="14">
        <x:f>IF(B1782="","", $F$8*COS(B1782) - $B$7*$F$6*COS($F$6*B1782))</x:f>
      </x:c>
    </x:row>
    <x:row r="1783">
      <x:c r="A1783" s="13" t="n">
        <x:v>1764</x:v>
      </x:c>
      <x:c r="B1783" s="14">
        <x:f>IF($B$12&lt;1764,"",$B$13+(1764-1)*($B$14-$B$13)/($B$12-1))</x:f>
      </x:c>
      <x:c r="C1783" s="14">
        <x:f>IF(B1783="","",$F$8*COS(B1783) + $B$7*COS($F$6*B1783))</x:f>
      </x:c>
      <x:c r="D1783" s="14">
        <x:f>IF(B1783="","",$F$8*SIN(B1783) - $B$7*SIN($F$6*B1783))</x:f>
      </x:c>
      <x:c r="E1783" s="14">
        <x:f>IF(B1783="","", C1783 + $F$12*$F$9*(-H1783)/IF(SQRT(G1783^2+H1783^2)=0,1,SQRT(G1783^2+H1783^2)))</x:f>
      </x:c>
      <x:c r="F1783" s="14">
        <x:f>IF(B1783="","", D1783 + $F$12*$F$9*(G1783)/IF(SQRT(G1783^2+H1783^2)=0,1,SQRT(G1783^2+H1783^2)))</x:f>
      </x:c>
      <x:c r="G1783" s="14">
        <x:f>IF(B1783="","", -$F$8*SIN(B1783) - $B$7*$F$6*SIN($F$6*B1783))</x:f>
      </x:c>
      <x:c r="H1783" s="14">
        <x:f>IF(B1783="","", $F$8*COS(B1783) - $B$7*$F$6*COS($F$6*B1783))</x:f>
      </x:c>
    </x:row>
    <x:row r="1784">
      <x:c r="A1784" s="13" t="n">
        <x:v>1765</x:v>
      </x:c>
      <x:c r="B1784" s="14">
        <x:f>IF($B$12&lt;1765,"",$B$13+(1765-1)*($B$14-$B$13)/($B$12-1))</x:f>
      </x:c>
      <x:c r="C1784" s="14">
        <x:f>IF(B1784="","",$F$8*COS(B1784) + $B$7*COS($F$6*B1784))</x:f>
      </x:c>
      <x:c r="D1784" s="14">
        <x:f>IF(B1784="","",$F$8*SIN(B1784) - $B$7*SIN($F$6*B1784))</x:f>
      </x:c>
      <x:c r="E1784" s="14">
        <x:f>IF(B1784="","", C1784 + $F$12*$F$9*(-H1784)/IF(SQRT(G1784^2+H1784^2)=0,1,SQRT(G1784^2+H1784^2)))</x:f>
      </x:c>
      <x:c r="F1784" s="14">
        <x:f>IF(B1784="","", D1784 + $F$12*$F$9*(G1784)/IF(SQRT(G1784^2+H1784^2)=0,1,SQRT(G1784^2+H1784^2)))</x:f>
      </x:c>
      <x:c r="G1784" s="14">
        <x:f>IF(B1784="","", -$F$8*SIN(B1784) - $B$7*$F$6*SIN($F$6*B1784))</x:f>
      </x:c>
      <x:c r="H1784" s="14">
        <x:f>IF(B1784="","", $F$8*COS(B1784) - $B$7*$F$6*COS($F$6*B1784))</x:f>
      </x:c>
    </x:row>
    <x:row r="1785">
      <x:c r="A1785" s="13" t="n">
        <x:v>1766</x:v>
      </x:c>
      <x:c r="B1785" s="14">
        <x:f>IF($B$12&lt;1766,"",$B$13+(1766-1)*($B$14-$B$13)/($B$12-1))</x:f>
      </x:c>
      <x:c r="C1785" s="14">
        <x:f>IF(B1785="","",$F$8*COS(B1785) + $B$7*COS($F$6*B1785))</x:f>
      </x:c>
      <x:c r="D1785" s="14">
        <x:f>IF(B1785="","",$F$8*SIN(B1785) - $B$7*SIN($F$6*B1785))</x:f>
      </x:c>
      <x:c r="E1785" s="14">
        <x:f>IF(B1785="","", C1785 + $F$12*$F$9*(-H1785)/IF(SQRT(G1785^2+H1785^2)=0,1,SQRT(G1785^2+H1785^2)))</x:f>
      </x:c>
      <x:c r="F1785" s="14">
        <x:f>IF(B1785="","", D1785 + $F$12*$F$9*(G1785)/IF(SQRT(G1785^2+H1785^2)=0,1,SQRT(G1785^2+H1785^2)))</x:f>
      </x:c>
      <x:c r="G1785" s="14">
        <x:f>IF(B1785="","", -$F$8*SIN(B1785) - $B$7*$F$6*SIN($F$6*B1785))</x:f>
      </x:c>
      <x:c r="H1785" s="14">
        <x:f>IF(B1785="","", $F$8*COS(B1785) - $B$7*$F$6*COS($F$6*B1785))</x:f>
      </x:c>
    </x:row>
    <x:row r="1786">
      <x:c r="A1786" s="13" t="n">
        <x:v>1767</x:v>
      </x:c>
      <x:c r="B1786" s="14">
        <x:f>IF($B$12&lt;1767,"",$B$13+(1767-1)*($B$14-$B$13)/($B$12-1))</x:f>
      </x:c>
      <x:c r="C1786" s="14">
        <x:f>IF(B1786="","",$F$8*COS(B1786) + $B$7*COS($F$6*B1786))</x:f>
      </x:c>
      <x:c r="D1786" s="14">
        <x:f>IF(B1786="","",$F$8*SIN(B1786) - $B$7*SIN($F$6*B1786))</x:f>
      </x:c>
      <x:c r="E1786" s="14">
        <x:f>IF(B1786="","", C1786 + $F$12*$F$9*(-H1786)/IF(SQRT(G1786^2+H1786^2)=0,1,SQRT(G1786^2+H1786^2)))</x:f>
      </x:c>
      <x:c r="F1786" s="14">
        <x:f>IF(B1786="","", D1786 + $F$12*$F$9*(G1786)/IF(SQRT(G1786^2+H1786^2)=0,1,SQRT(G1786^2+H1786^2)))</x:f>
      </x:c>
      <x:c r="G1786" s="14">
        <x:f>IF(B1786="","", -$F$8*SIN(B1786) - $B$7*$F$6*SIN($F$6*B1786))</x:f>
      </x:c>
      <x:c r="H1786" s="14">
        <x:f>IF(B1786="","", $F$8*COS(B1786) - $B$7*$F$6*COS($F$6*B1786))</x:f>
      </x:c>
    </x:row>
    <x:row r="1787">
      <x:c r="A1787" s="13" t="n">
        <x:v>1768</x:v>
      </x:c>
      <x:c r="B1787" s="14">
        <x:f>IF($B$12&lt;1768,"",$B$13+(1768-1)*($B$14-$B$13)/($B$12-1))</x:f>
      </x:c>
      <x:c r="C1787" s="14">
        <x:f>IF(B1787="","",$F$8*COS(B1787) + $B$7*COS($F$6*B1787))</x:f>
      </x:c>
      <x:c r="D1787" s="14">
        <x:f>IF(B1787="","",$F$8*SIN(B1787) - $B$7*SIN($F$6*B1787))</x:f>
      </x:c>
      <x:c r="E1787" s="14">
        <x:f>IF(B1787="","", C1787 + $F$12*$F$9*(-H1787)/IF(SQRT(G1787^2+H1787^2)=0,1,SQRT(G1787^2+H1787^2)))</x:f>
      </x:c>
      <x:c r="F1787" s="14">
        <x:f>IF(B1787="","", D1787 + $F$12*$F$9*(G1787)/IF(SQRT(G1787^2+H1787^2)=0,1,SQRT(G1787^2+H1787^2)))</x:f>
      </x:c>
      <x:c r="G1787" s="14">
        <x:f>IF(B1787="","", -$F$8*SIN(B1787) - $B$7*$F$6*SIN($F$6*B1787))</x:f>
      </x:c>
      <x:c r="H1787" s="14">
        <x:f>IF(B1787="","", $F$8*COS(B1787) - $B$7*$F$6*COS($F$6*B1787))</x:f>
      </x:c>
    </x:row>
    <x:row r="1788">
      <x:c r="A1788" s="13" t="n">
        <x:v>1769</x:v>
      </x:c>
      <x:c r="B1788" s="14">
        <x:f>IF($B$12&lt;1769,"",$B$13+(1769-1)*($B$14-$B$13)/($B$12-1))</x:f>
      </x:c>
      <x:c r="C1788" s="14">
        <x:f>IF(B1788="","",$F$8*COS(B1788) + $B$7*COS($F$6*B1788))</x:f>
      </x:c>
      <x:c r="D1788" s="14">
        <x:f>IF(B1788="","",$F$8*SIN(B1788) - $B$7*SIN($F$6*B1788))</x:f>
      </x:c>
      <x:c r="E1788" s="14">
        <x:f>IF(B1788="","", C1788 + $F$12*$F$9*(-H1788)/IF(SQRT(G1788^2+H1788^2)=0,1,SQRT(G1788^2+H1788^2)))</x:f>
      </x:c>
      <x:c r="F1788" s="14">
        <x:f>IF(B1788="","", D1788 + $F$12*$F$9*(G1788)/IF(SQRT(G1788^2+H1788^2)=0,1,SQRT(G1788^2+H1788^2)))</x:f>
      </x:c>
      <x:c r="G1788" s="14">
        <x:f>IF(B1788="","", -$F$8*SIN(B1788) - $B$7*$F$6*SIN($F$6*B1788))</x:f>
      </x:c>
      <x:c r="H1788" s="14">
        <x:f>IF(B1788="","", $F$8*COS(B1788) - $B$7*$F$6*COS($F$6*B1788))</x:f>
      </x:c>
    </x:row>
    <x:row r="1789">
      <x:c r="A1789" s="13" t="n">
        <x:v>1770</x:v>
      </x:c>
      <x:c r="B1789" s="14">
        <x:f>IF($B$12&lt;1770,"",$B$13+(1770-1)*($B$14-$B$13)/($B$12-1))</x:f>
      </x:c>
      <x:c r="C1789" s="14">
        <x:f>IF(B1789="","",$F$8*COS(B1789) + $B$7*COS($F$6*B1789))</x:f>
      </x:c>
      <x:c r="D1789" s="14">
        <x:f>IF(B1789="","",$F$8*SIN(B1789) - $B$7*SIN($F$6*B1789))</x:f>
      </x:c>
      <x:c r="E1789" s="14">
        <x:f>IF(B1789="","", C1789 + $F$12*$F$9*(-H1789)/IF(SQRT(G1789^2+H1789^2)=0,1,SQRT(G1789^2+H1789^2)))</x:f>
      </x:c>
      <x:c r="F1789" s="14">
        <x:f>IF(B1789="","", D1789 + $F$12*$F$9*(G1789)/IF(SQRT(G1789^2+H1789^2)=0,1,SQRT(G1789^2+H1789^2)))</x:f>
      </x:c>
      <x:c r="G1789" s="14">
        <x:f>IF(B1789="","", -$F$8*SIN(B1789) - $B$7*$F$6*SIN($F$6*B1789))</x:f>
      </x:c>
      <x:c r="H1789" s="14">
        <x:f>IF(B1789="","", $F$8*COS(B1789) - $B$7*$F$6*COS($F$6*B1789))</x:f>
      </x:c>
    </x:row>
    <x:row r="1790">
      <x:c r="A1790" s="13" t="n">
        <x:v>1771</x:v>
      </x:c>
      <x:c r="B1790" s="14">
        <x:f>IF($B$12&lt;1771,"",$B$13+(1771-1)*($B$14-$B$13)/($B$12-1))</x:f>
      </x:c>
      <x:c r="C1790" s="14">
        <x:f>IF(B1790="","",$F$8*COS(B1790) + $B$7*COS($F$6*B1790))</x:f>
      </x:c>
      <x:c r="D1790" s="14">
        <x:f>IF(B1790="","",$F$8*SIN(B1790) - $B$7*SIN($F$6*B1790))</x:f>
      </x:c>
      <x:c r="E1790" s="14">
        <x:f>IF(B1790="","", C1790 + $F$12*$F$9*(-H1790)/IF(SQRT(G1790^2+H1790^2)=0,1,SQRT(G1790^2+H1790^2)))</x:f>
      </x:c>
      <x:c r="F1790" s="14">
        <x:f>IF(B1790="","", D1790 + $F$12*$F$9*(G1790)/IF(SQRT(G1790^2+H1790^2)=0,1,SQRT(G1790^2+H1790^2)))</x:f>
      </x:c>
      <x:c r="G1790" s="14">
        <x:f>IF(B1790="","", -$F$8*SIN(B1790) - $B$7*$F$6*SIN($F$6*B1790))</x:f>
      </x:c>
      <x:c r="H1790" s="14">
        <x:f>IF(B1790="","", $F$8*COS(B1790) - $B$7*$F$6*COS($F$6*B1790))</x:f>
      </x:c>
    </x:row>
    <x:row r="1791">
      <x:c r="A1791" s="13" t="n">
        <x:v>1772</x:v>
      </x:c>
      <x:c r="B1791" s="14">
        <x:f>IF($B$12&lt;1772,"",$B$13+(1772-1)*($B$14-$B$13)/($B$12-1))</x:f>
      </x:c>
      <x:c r="C1791" s="14">
        <x:f>IF(B1791="","",$F$8*COS(B1791) + $B$7*COS($F$6*B1791))</x:f>
      </x:c>
      <x:c r="D1791" s="14">
        <x:f>IF(B1791="","",$F$8*SIN(B1791) - $B$7*SIN($F$6*B1791))</x:f>
      </x:c>
      <x:c r="E1791" s="14">
        <x:f>IF(B1791="","", C1791 + $F$12*$F$9*(-H1791)/IF(SQRT(G1791^2+H1791^2)=0,1,SQRT(G1791^2+H1791^2)))</x:f>
      </x:c>
      <x:c r="F1791" s="14">
        <x:f>IF(B1791="","", D1791 + $F$12*$F$9*(G1791)/IF(SQRT(G1791^2+H1791^2)=0,1,SQRT(G1791^2+H1791^2)))</x:f>
      </x:c>
      <x:c r="G1791" s="14">
        <x:f>IF(B1791="","", -$F$8*SIN(B1791) - $B$7*$F$6*SIN($F$6*B1791))</x:f>
      </x:c>
      <x:c r="H1791" s="14">
        <x:f>IF(B1791="","", $F$8*COS(B1791) - $B$7*$F$6*COS($F$6*B1791))</x:f>
      </x:c>
    </x:row>
    <x:row r="1792">
      <x:c r="A1792" s="13" t="n">
        <x:v>1773</x:v>
      </x:c>
      <x:c r="B1792" s="14">
        <x:f>IF($B$12&lt;1773,"",$B$13+(1773-1)*($B$14-$B$13)/($B$12-1))</x:f>
      </x:c>
      <x:c r="C1792" s="14">
        <x:f>IF(B1792="","",$F$8*COS(B1792) + $B$7*COS($F$6*B1792))</x:f>
      </x:c>
      <x:c r="D1792" s="14">
        <x:f>IF(B1792="","",$F$8*SIN(B1792) - $B$7*SIN($F$6*B1792))</x:f>
      </x:c>
      <x:c r="E1792" s="14">
        <x:f>IF(B1792="","", C1792 + $F$12*$F$9*(-H1792)/IF(SQRT(G1792^2+H1792^2)=0,1,SQRT(G1792^2+H1792^2)))</x:f>
      </x:c>
      <x:c r="F1792" s="14">
        <x:f>IF(B1792="","", D1792 + $F$12*$F$9*(G1792)/IF(SQRT(G1792^2+H1792^2)=0,1,SQRT(G1792^2+H1792^2)))</x:f>
      </x:c>
      <x:c r="G1792" s="14">
        <x:f>IF(B1792="","", -$F$8*SIN(B1792) - $B$7*$F$6*SIN($F$6*B1792))</x:f>
      </x:c>
      <x:c r="H1792" s="14">
        <x:f>IF(B1792="","", $F$8*COS(B1792) - $B$7*$F$6*COS($F$6*B1792))</x:f>
      </x:c>
    </x:row>
    <x:row r="1793">
      <x:c r="A1793" s="13" t="n">
        <x:v>1774</x:v>
      </x:c>
      <x:c r="B1793" s="14">
        <x:f>IF($B$12&lt;1774,"",$B$13+(1774-1)*($B$14-$B$13)/($B$12-1))</x:f>
      </x:c>
      <x:c r="C1793" s="14">
        <x:f>IF(B1793="","",$F$8*COS(B1793) + $B$7*COS($F$6*B1793))</x:f>
      </x:c>
      <x:c r="D1793" s="14">
        <x:f>IF(B1793="","",$F$8*SIN(B1793) - $B$7*SIN($F$6*B1793))</x:f>
      </x:c>
      <x:c r="E1793" s="14">
        <x:f>IF(B1793="","", C1793 + $F$12*$F$9*(-H1793)/IF(SQRT(G1793^2+H1793^2)=0,1,SQRT(G1793^2+H1793^2)))</x:f>
      </x:c>
      <x:c r="F1793" s="14">
        <x:f>IF(B1793="","", D1793 + $F$12*$F$9*(G1793)/IF(SQRT(G1793^2+H1793^2)=0,1,SQRT(G1793^2+H1793^2)))</x:f>
      </x:c>
      <x:c r="G1793" s="14">
        <x:f>IF(B1793="","", -$F$8*SIN(B1793) - $B$7*$F$6*SIN($F$6*B1793))</x:f>
      </x:c>
      <x:c r="H1793" s="14">
        <x:f>IF(B1793="","", $F$8*COS(B1793) - $B$7*$F$6*COS($F$6*B1793))</x:f>
      </x:c>
    </x:row>
    <x:row r="1794">
      <x:c r="A1794" s="13" t="n">
        <x:v>1775</x:v>
      </x:c>
      <x:c r="B1794" s="14">
        <x:f>IF($B$12&lt;1775,"",$B$13+(1775-1)*($B$14-$B$13)/($B$12-1))</x:f>
      </x:c>
      <x:c r="C1794" s="14">
        <x:f>IF(B1794="","",$F$8*COS(B1794) + $B$7*COS($F$6*B1794))</x:f>
      </x:c>
      <x:c r="D1794" s="14">
        <x:f>IF(B1794="","",$F$8*SIN(B1794) - $B$7*SIN($F$6*B1794))</x:f>
      </x:c>
      <x:c r="E1794" s="14">
        <x:f>IF(B1794="","", C1794 + $F$12*$F$9*(-H1794)/IF(SQRT(G1794^2+H1794^2)=0,1,SQRT(G1794^2+H1794^2)))</x:f>
      </x:c>
      <x:c r="F1794" s="14">
        <x:f>IF(B1794="","", D1794 + $F$12*$F$9*(G1794)/IF(SQRT(G1794^2+H1794^2)=0,1,SQRT(G1794^2+H1794^2)))</x:f>
      </x:c>
      <x:c r="G1794" s="14">
        <x:f>IF(B1794="","", -$F$8*SIN(B1794) - $B$7*$F$6*SIN($F$6*B1794))</x:f>
      </x:c>
      <x:c r="H1794" s="14">
        <x:f>IF(B1794="","", $F$8*COS(B1794) - $B$7*$F$6*COS($F$6*B1794))</x:f>
      </x:c>
    </x:row>
    <x:row r="1795">
      <x:c r="A1795" s="13" t="n">
        <x:v>1776</x:v>
      </x:c>
      <x:c r="B1795" s="14">
        <x:f>IF($B$12&lt;1776,"",$B$13+(1776-1)*($B$14-$B$13)/($B$12-1))</x:f>
      </x:c>
      <x:c r="C1795" s="14">
        <x:f>IF(B1795="","",$F$8*COS(B1795) + $B$7*COS($F$6*B1795))</x:f>
      </x:c>
      <x:c r="D1795" s="14">
        <x:f>IF(B1795="","",$F$8*SIN(B1795) - $B$7*SIN($F$6*B1795))</x:f>
      </x:c>
      <x:c r="E1795" s="14">
        <x:f>IF(B1795="","", C1795 + $F$12*$F$9*(-H1795)/IF(SQRT(G1795^2+H1795^2)=0,1,SQRT(G1795^2+H1795^2)))</x:f>
      </x:c>
      <x:c r="F1795" s="14">
        <x:f>IF(B1795="","", D1795 + $F$12*$F$9*(G1795)/IF(SQRT(G1795^2+H1795^2)=0,1,SQRT(G1795^2+H1795^2)))</x:f>
      </x:c>
      <x:c r="G1795" s="14">
        <x:f>IF(B1795="","", -$F$8*SIN(B1795) - $B$7*$F$6*SIN($F$6*B1795))</x:f>
      </x:c>
      <x:c r="H1795" s="14">
        <x:f>IF(B1795="","", $F$8*COS(B1795) - $B$7*$F$6*COS($F$6*B1795))</x:f>
      </x:c>
    </x:row>
    <x:row r="1796">
      <x:c r="A1796" s="13" t="n">
        <x:v>1777</x:v>
      </x:c>
      <x:c r="B1796" s="14">
        <x:f>IF($B$12&lt;1777,"",$B$13+(1777-1)*($B$14-$B$13)/($B$12-1))</x:f>
      </x:c>
      <x:c r="C1796" s="14">
        <x:f>IF(B1796="","",$F$8*COS(B1796) + $B$7*COS($F$6*B1796))</x:f>
      </x:c>
      <x:c r="D1796" s="14">
        <x:f>IF(B1796="","",$F$8*SIN(B1796) - $B$7*SIN($F$6*B1796))</x:f>
      </x:c>
      <x:c r="E1796" s="14">
        <x:f>IF(B1796="","", C1796 + $F$12*$F$9*(-H1796)/IF(SQRT(G1796^2+H1796^2)=0,1,SQRT(G1796^2+H1796^2)))</x:f>
      </x:c>
      <x:c r="F1796" s="14">
        <x:f>IF(B1796="","", D1796 + $F$12*$F$9*(G1796)/IF(SQRT(G1796^2+H1796^2)=0,1,SQRT(G1796^2+H1796^2)))</x:f>
      </x:c>
      <x:c r="G1796" s="14">
        <x:f>IF(B1796="","", -$F$8*SIN(B1796) - $B$7*$F$6*SIN($F$6*B1796))</x:f>
      </x:c>
      <x:c r="H1796" s="14">
        <x:f>IF(B1796="","", $F$8*COS(B1796) - $B$7*$F$6*COS($F$6*B1796))</x:f>
      </x:c>
    </x:row>
    <x:row r="1797">
      <x:c r="A1797" s="13" t="n">
        <x:v>1778</x:v>
      </x:c>
      <x:c r="B1797" s="14">
        <x:f>IF($B$12&lt;1778,"",$B$13+(1778-1)*($B$14-$B$13)/($B$12-1))</x:f>
      </x:c>
      <x:c r="C1797" s="14">
        <x:f>IF(B1797="","",$F$8*COS(B1797) + $B$7*COS($F$6*B1797))</x:f>
      </x:c>
      <x:c r="D1797" s="14">
        <x:f>IF(B1797="","",$F$8*SIN(B1797) - $B$7*SIN($F$6*B1797))</x:f>
      </x:c>
      <x:c r="E1797" s="14">
        <x:f>IF(B1797="","", C1797 + $F$12*$F$9*(-H1797)/IF(SQRT(G1797^2+H1797^2)=0,1,SQRT(G1797^2+H1797^2)))</x:f>
      </x:c>
      <x:c r="F1797" s="14">
        <x:f>IF(B1797="","", D1797 + $F$12*$F$9*(G1797)/IF(SQRT(G1797^2+H1797^2)=0,1,SQRT(G1797^2+H1797^2)))</x:f>
      </x:c>
      <x:c r="G1797" s="14">
        <x:f>IF(B1797="","", -$F$8*SIN(B1797) - $B$7*$F$6*SIN($F$6*B1797))</x:f>
      </x:c>
      <x:c r="H1797" s="14">
        <x:f>IF(B1797="","", $F$8*COS(B1797) - $B$7*$F$6*COS($F$6*B1797))</x:f>
      </x:c>
    </x:row>
    <x:row r="1798">
      <x:c r="A1798" s="13" t="n">
        <x:v>1779</x:v>
      </x:c>
      <x:c r="B1798" s="14">
        <x:f>IF($B$12&lt;1779,"",$B$13+(1779-1)*($B$14-$B$13)/($B$12-1))</x:f>
      </x:c>
      <x:c r="C1798" s="14">
        <x:f>IF(B1798="","",$F$8*COS(B1798) + $B$7*COS($F$6*B1798))</x:f>
      </x:c>
      <x:c r="D1798" s="14">
        <x:f>IF(B1798="","",$F$8*SIN(B1798) - $B$7*SIN($F$6*B1798))</x:f>
      </x:c>
      <x:c r="E1798" s="14">
        <x:f>IF(B1798="","", C1798 + $F$12*$F$9*(-H1798)/IF(SQRT(G1798^2+H1798^2)=0,1,SQRT(G1798^2+H1798^2)))</x:f>
      </x:c>
      <x:c r="F1798" s="14">
        <x:f>IF(B1798="","", D1798 + $F$12*$F$9*(G1798)/IF(SQRT(G1798^2+H1798^2)=0,1,SQRT(G1798^2+H1798^2)))</x:f>
      </x:c>
      <x:c r="G1798" s="14">
        <x:f>IF(B1798="","", -$F$8*SIN(B1798) - $B$7*$F$6*SIN($F$6*B1798))</x:f>
      </x:c>
      <x:c r="H1798" s="14">
        <x:f>IF(B1798="","", $F$8*COS(B1798) - $B$7*$F$6*COS($F$6*B1798))</x:f>
      </x:c>
    </x:row>
    <x:row r="1799">
      <x:c r="A1799" s="13" t="n">
        <x:v>1780</x:v>
      </x:c>
      <x:c r="B1799" s="14">
        <x:f>IF($B$12&lt;1780,"",$B$13+(1780-1)*($B$14-$B$13)/($B$12-1))</x:f>
      </x:c>
      <x:c r="C1799" s="14">
        <x:f>IF(B1799="","",$F$8*COS(B1799) + $B$7*COS($F$6*B1799))</x:f>
      </x:c>
      <x:c r="D1799" s="14">
        <x:f>IF(B1799="","",$F$8*SIN(B1799) - $B$7*SIN($F$6*B1799))</x:f>
      </x:c>
      <x:c r="E1799" s="14">
        <x:f>IF(B1799="","", C1799 + $F$12*$F$9*(-H1799)/IF(SQRT(G1799^2+H1799^2)=0,1,SQRT(G1799^2+H1799^2)))</x:f>
      </x:c>
      <x:c r="F1799" s="14">
        <x:f>IF(B1799="","", D1799 + $F$12*$F$9*(G1799)/IF(SQRT(G1799^2+H1799^2)=0,1,SQRT(G1799^2+H1799^2)))</x:f>
      </x:c>
      <x:c r="G1799" s="14">
        <x:f>IF(B1799="","", -$F$8*SIN(B1799) - $B$7*$F$6*SIN($F$6*B1799))</x:f>
      </x:c>
      <x:c r="H1799" s="14">
        <x:f>IF(B1799="","", $F$8*COS(B1799) - $B$7*$F$6*COS($F$6*B1799))</x:f>
      </x:c>
    </x:row>
    <x:row r="1800">
      <x:c r="A1800" s="13" t="n">
        <x:v>1781</x:v>
      </x:c>
      <x:c r="B1800" s="14">
        <x:f>IF($B$12&lt;1781,"",$B$13+(1781-1)*($B$14-$B$13)/($B$12-1))</x:f>
      </x:c>
      <x:c r="C1800" s="14">
        <x:f>IF(B1800="","",$F$8*COS(B1800) + $B$7*COS($F$6*B1800))</x:f>
      </x:c>
      <x:c r="D1800" s="14">
        <x:f>IF(B1800="","",$F$8*SIN(B1800) - $B$7*SIN($F$6*B1800))</x:f>
      </x:c>
      <x:c r="E1800" s="14">
        <x:f>IF(B1800="","", C1800 + $F$12*$F$9*(-H1800)/IF(SQRT(G1800^2+H1800^2)=0,1,SQRT(G1800^2+H1800^2)))</x:f>
      </x:c>
      <x:c r="F1800" s="14">
        <x:f>IF(B1800="","", D1800 + $F$12*$F$9*(G1800)/IF(SQRT(G1800^2+H1800^2)=0,1,SQRT(G1800^2+H1800^2)))</x:f>
      </x:c>
      <x:c r="G1800" s="14">
        <x:f>IF(B1800="","", -$F$8*SIN(B1800) - $B$7*$F$6*SIN($F$6*B1800))</x:f>
      </x:c>
      <x:c r="H1800" s="14">
        <x:f>IF(B1800="","", $F$8*COS(B1800) - $B$7*$F$6*COS($F$6*B1800))</x:f>
      </x:c>
    </x:row>
    <x:row r="1801">
      <x:c r="A1801" s="13" t="n">
        <x:v>1782</x:v>
      </x:c>
      <x:c r="B1801" s="14">
        <x:f>IF($B$12&lt;1782,"",$B$13+(1782-1)*($B$14-$B$13)/($B$12-1))</x:f>
      </x:c>
      <x:c r="C1801" s="14">
        <x:f>IF(B1801="","",$F$8*COS(B1801) + $B$7*COS($F$6*B1801))</x:f>
      </x:c>
      <x:c r="D1801" s="14">
        <x:f>IF(B1801="","",$F$8*SIN(B1801) - $B$7*SIN($F$6*B1801))</x:f>
      </x:c>
      <x:c r="E1801" s="14">
        <x:f>IF(B1801="","", C1801 + $F$12*$F$9*(-H1801)/IF(SQRT(G1801^2+H1801^2)=0,1,SQRT(G1801^2+H1801^2)))</x:f>
      </x:c>
      <x:c r="F1801" s="14">
        <x:f>IF(B1801="","", D1801 + $F$12*$F$9*(G1801)/IF(SQRT(G1801^2+H1801^2)=0,1,SQRT(G1801^2+H1801^2)))</x:f>
      </x:c>
      <x:c r="G1801" s="14">
        <x:f>IF(B1801="","", -$F$8*SIN(B1801) - $B$7*$F$6*SIN($F$6*B1801))</x:f>
      </x:c>
      <x:c r="H1801" s="14">
        <x:f>IF(B1801="","", $F$8*COS(B1801) - $B$7*$F$6*COS($F$6*B1801))</x:f>
      </x:c>
    </x:row>
    <x:row r="1802">
      <x:c r="A1802" s="13" t="n">
        <x:v>1783</x:v>
      </x:c>
      <x:c r="B1802" s="14">
        <x:f>IF($B$12&lt;1783,"",$B$13+(1783-1)*($B$14-$B$13)/($B$12-1))</x:f>
      </x:c>
      <x:c r="C1802" s="14">
        <x:f>IF(B1802="","",$F$8*COS(B1802) + $B$7*COS($F$6*B1802))</x:f>
      </x:c>
      <x:c r="D1802" s="14">
        <x:f>IF(B1802="","",$F$8*SIN(B1802) - $B$7*SIN($F$6*B1802))</x:f>
      </x:c>
      <x:c r="E1802" s="14">
        <x:f>IF(B1802="","", C1802 + $F$12*$F$9*(-H1802)/IF(SQRT(G1802^2+H1802^2)=0,1,SQRT(G1802^2+H1802^2)))</x:f>
      </x:c>
      <x:c r="F1802" s="14">
        <x:f>IF(B1802="","", D1802 + $F$12*$F$9*(G1802)/IF(SQRT(G1802^2+H1802^2)=0,1,SQRT(G1802^2+H1802^2)))</x:f>
      </x:c>
      <x:c r="G1802" s="14">
        <x:f>IF(B1802="","", -$F$8*SIN(B1802) - $B$7*$F$6*SIN($F$6*B1802))</x:f>
      </x:c>
      <x:c r="H1802" s="14">
        <x:f>IF(B1802="","", $F$8*COS(B1802) - $B$7*$F$6*COS($F$6*B1802))</x:f>
      </x:c>
    </x:row>
    <x:row r="1803">
      <x:c r="A1803" s="13" t="n">
        <x:v>1784</x:v>
      </x:c>
      <x:c r="B1803" s="14">
        <x:f>IF($B$12&lt;1784,"",$B$13+(1784-1)*($B$14-$B$13)/($B$12-1))</x:f>
      </x:c>
      <x:c r="C1803" s="14">
        <x:f>IF(B1803="","",$F$8*COS(B1803) + $B$7*COS($F$6*B1803))</x:f>
      </x:c>
      <x:c r="D1803" s="14">
        <x:f>IF(B1803="","",$F$8*SIN(B1803) - $B$7*SIN($F$6*B1803))</x:f>
      </x:c>
      <x:c r="E1803" s="14">
        <x:f>IF(B1803="","", C1803 + $F$12*$F$9*(-H1803)/IF(SQRT(G1803^2+H1803^2)=0,1,SQRT(G1803^2+H1803^2)))</x:f>
      </x:c>
      <x:c r="F1803" s="14">
        <x:f>IF(B1803="","", D1803 + $F$12*$F$9*(G1803)/IF(SQRT(G1803^2+H1803^2)=0,1,SQRT(G1803^2+H1803^2)))</x:f>
      </x:c>
      <x:c r="G1803" s="14">
        <x:f>IF(B1803="","", -$F$8*SIN(B1803) - $B$7*$F$6*SIN($F$6*B1803))</x:f>
      </x:c>
      <x:c r="H1803" s="14">
        <x:f>IF(B1803="","", $F$8*COS(B1803) - $B$7*$F$6*COS($F$6*B1803))</x:f>
      </x:c>
    </x:row>
    <x:row r="1804">
      <x:c r="A1804" s="13" t="n">
        <x:v>1785</x:v>
      </x:c>
      <x:c r="B1804" s="14">
        <x:f>IF($B$12&lt;1785,"",$B$13+(1785-1)*($B$14-$B$13)/($B$12-1))</x:f>
      </x:c>
      <x:c r="C1804" s="14">
        <x:f>IF(B1804="","",$F$8*COS(B1804) + $B$7*COS($F$6*B1804))</x:f>
      </x:c>
      <x:c r="D1804" s="14">
        <x:f>IF(B1804="","",$F$8*SIN(B1804) - $B$7*SIN($F$6*B1804))</x:f>
      </x:c>
      <x:c r="E1804" s="14">
        <x:f>IF(B1804="","", C1804 + $F$12*$F$9*(-H1804)/IF(SQRT(G1804^2+H1804^2)=0,1,SQRT(G1804^2+H1804^2)))</x:f>
      </x:c>
      <x:c r="F1804" s="14">
        <x:f>IF(B1804="","", D1804 + $F$12*$F$9*(G1804)/IF(SQRT(G1804^2+H1804^2)=0,1,SQRT(G1804^2+H1804^2)))</x:f>
      </x:c>
      <x:c r="G1804" s="14">
        <x:f>IF(B1804="","", -$F$8*SIN(B1804) - $B$7*$F$6*SIN($F$6*B1804))</x:f>
      </x:c>
      <x:c r="H1804" s="14">
        <x:f>IF(B1804="","", $F$8*COS(B1804) - $B$7*$F$6*COS($F$6*B1804))</x:f>
      </x:c>
    </x:row>
    <x:row r="1805">
      <x:c r="A1805" s="13" t="n">
        <x:v>1786</x:v>
      </x:c>
      <x:c r="B1805" s="14">
        <x:f>IF($B$12&lt;1786,"",$B$13+(1786-1)*($B$14-$B$13)/($B$12-1))</x:f>
      </x:c>
      <x:c r="C1805" s="14">
        <x:f>IF(B1805="","",$F$8*COS(B1805) + $B$7*COS($F$6*B1805))</x:f>
      </x:c>
      <x:c r="D1805" s="14">
        <x:f>IF(B1805="","",$F$8*SIN(B1805) - $B$7*SIN($F$6*B1805))</x:f>
      </x:c>
      <x:c r="E1805" s="14">
        <x:f>IF(B1805="","", C1805 + $F$12*$F$9*(-H1805)/IF(SQRT(G1805^2+H1805^2)=0,1,SQRT(G1805^2+H1805^2)))</x:f>
      </x:c>
      <x:c r="F1805" s="14">
        <x:f>IF(B1805="","", D1805 + $F$12*$F$9*(G1805)/IF(SQRT(G1805^2+H1805^2)=0,1,SQRT(G1805^2+H1805^2)))</x:f>
      </x:c>
      <x:c r="G1805" s="14">
        <x:f>IF(B1805="","", -$F$8*SIN(B1805) - $B$7*$F$6*SIN($F$6*B1805))</x:f>
      </x:c>
      <x:c r="H1805" s="14">
        <x:f>IF(B1805="","", $F$8*COS(B1805) - $B$7*$F$6*COS($F$6*B1805))</x:f>
      </x:c>
    </x:row>
    <x:row r="1806">
      <x:c r="A1806" s="13" t="n">
        <x:v>1787</x:v>
      </x:c>
      <x:c r="B1806" s="14">
        <x:f>IF($B$12&lt;1787,"",$B$13+(1787-1)*($B$14-$B$13)/($B$12-1))</x:f>
      </x:c>
      <x:c r="C1806" s="14">
        <x:f>IF(B1806="","",$F$8*COS(B1806) + $B$7*COS($F$6*B1806))</x:f>
      </x:c>
      <x:c r="D1806" s="14">
        <x:f>IF(B1806="","",$F$8*SIN(B1806) - $B$7*SIN($F$6*B1806))</x:f>
      </x:c>
      <x:c r="E1806" s="14">
        <x:f>IF(B1806="","", C1806 + $F$12*$F$9*(-H1806)/IF(SQRT(G1806^2+H1806^2)=0,1,SQRT(G1806^2+H1806^2)))</x:f>
      </x:c>
      <x:c r="F1806" s="14">
        <x:f>IF(B1806="","", D1806 + $F$12*$F$9*(G1806)/IF(SQRT(G1806^2+H1806^2)=0,1,SQRT(G1806^2+H1806^2)))</x:f>
      </x:c>
      <x:c r="G1806" s="14">
        <x:f>IF(B1806="","", -$F$8*SIN(B1806) - $B$7*$F$6*SIN($F$6*B1806))</x:f>
      </x:c>
      <x:c r="H1806" s="14">
        <x:f>IF(B1806="","", $F$8*COS(B1806) - $B$7*$F$6*COS($F$6*B1806))</x:f>
      </x:c>
    </x:row>
    <x:row r="1807">
      <x:c r="A1807" s="13" t="n">
        <x:v>1788</x:v>
      </x:c>
      <x:c r="B1807" s="14">
        <x:f>IF($B$12&lt;1788,"",$B$13+(1788-1)*($B$14-$B$13)/($B$12-1))</x:f>
      </x:c>
      <x:c r="C1807" s="14">
        <x:f>IF(B1807="","",$F$8*COS(B1807) + $B$7*COS($F$6*B1807))</x:f>
      </x:c>
      <x:c r="D1807" s="14">
        <x:f>IF(B1807="","",$F$8*SIN(B1807) - $B$7*SIN($F$6*B1807))</x:f>
      </x:c>
      <x:c r="E1807" s="14">
        <x:f>IF(B1807="","", C1807 + $F$12*$F$9*(-H1807)/IF(SQRT(G1807^2+H1807^2)=0,1,SQRT(G1807^2+H1807^2)))</x:f>
      </x:c>
      <x:c r="F1807" s="14">
        <x:f>IF(B1807="","", D1807 + $F$12*$F$9*(G1807)/IF(SQRT(G1807^2+H1807^2)=0,1,SQRT(G1807^2+H1807^2)))</x:f>
      </x:c>
      <x:c r="G1807" s="14">
        <x:f>IF(B1807="","", -$F$8*SIN(B1807) - $B$7*$F$6*SIN($F$6*B1807))</x:f>
      </x:c>
      <x:c r="H1807" s="14">
        <x:f>IF(B1807="","", $F$8*COS(B1807) - $B$7*$F$6*COS($F$6*B1807))</x:f>
      </x:c>
    </x:row>
    <x:row r="1808">
      <x:c r="A1808" s="13" t="n">
        <x:v>1789</x:v>
      </x:c>
      <x:c r="B1808" s="14">
        <x:f>IF($B$12&lt;1789,"",$B$13+(1789-1)*($B$14-$B$13)/($B$12-1))</x:f>
      </x:c>
      <x:c r="C1808" s="14">
        <x:f>IF(B1808="","",$F$8*COS(B1808) + $B$7*COS($F$6*B1808))</x:f>
      </x:c>
      <x:c r="D1808" s="14">
        <x:f>IF(B1808="","",$F$8*SIN(B1808) - $B$7*SIN($F$6*B1808))</x:f>
      </x:c>
      <x:c r="E1808" s="14">
        <x:f>IF(B1808="","", C1808 + $F$12*$F$9*(-H1808)/IF(SQRT(G1808^2+H1808^2)=0,1,SQRT(G1808^2+H1808^2)))</x:f>
      </x:c>
      <x:c r="F1808" s="14">
        <x:f>IF(B1808="","", D1808 + $F$12*$F$9*(G1808)/IF(SQRT(G1808^2+H1808^2)=0,1,SQRT(G1808^2+H1808^2)))</x:f>
      </x:c>
      <x:c r="G1808" s="14">
        <x:f>IF(B1808="","", -$F$8*SIN(B1808) - $B$7*$F$6*SIN($F$6*B1808))</x:f>
      </x:c>
      <x:c r="H1808" s="14">
        <x:f>IF(B1808="","", $F$8*COS(B1808) - $B$7*$F$6*COS($F$6*B1808))</x:f>
      </x:c>
    </x:row>
    <x:row r="1809">
      <x:c r="A1809" s="13" t="n">
        <x:v>1790</x:v>
      </x:c>
      <x:c r="B1809" s="14">
        <x:f>IF($B$12&lt;1790,"",$B$13+(1790-1)*($B$14-$B$13)/($B$12-1))</x:f>
      </x:c>
      <x:c r="C1809" s="14">
        <x:f>IF(B1809="","",$F$8*COS(B1809) + $B$7*COS($F$6*B1809))</x:f>
      </x:c>
      <x:c r="D1809" s="14">
        <x:f>IF(B1809="","",$F$8*SIN(B1809) - $B$7*SIN($F$6*B1809))</x:f>
      </x:c>
      <x:c r="E1809" s="14">
        <x:f>IF(B1809="","", C1809 + $F$12*$F$9*(-H1809)/IF(SQRT(G1809^2+H1809^2)=0,1,SQRT(G1809^2+H1809^2)))</x:f>
      </x:c>
      <x:c r="F1809" s="14">
        <x:f>IF(B1809="","", D1809 + $F$12*$F$9*(G1809)/IF(SQRT(G1809^2+H1809^2)=0,1,SQRT(G1809^2+H1809^2)))</x:f>
      </x:c>
      <x:c r="G1809" s="14">
        <x:f>IF(B1809="","", -$F$8*SIN(B1809) - $B$7*$F$6*SIN($F$6*B1809))</x:f>
      </x:c>
      <x:c r="H1809" s="14">
        <x:f>IF(B1809="","", $F$8*COS(B1809) - $B$7*$F$6*COS($F$6*B1809))</x:f>
      </x:c>
    </x:row>
    <x:row r="1810">
      <x:c r="A1810" s="13" t="n">
        <x:v>1791</x:v>
      </x:c>
      <x:c r="B1810" s="14">
        <x:f>IF($B$12&lt;1791,"",$B$13+(1791-1)*($B$14-$B$13)/($B$12-1))</x:f>
      </x:c>
      <x:c r="C1810" s="14">
        <x:f>IF(B1810="","",$F$8*COS(B1810) + $B$7*COS($F$6*B1810))</x:f>
      </x:c>
      <x:c r="D1810" s="14">
        <x:f>IF(B1810="","",$F$8*SIN(B1810) - $B$7*SIN($F$6*B1810))</x:f>
      </x:c>
      <x:c r="E1810" s="14">
        <x:f>IF(B1810="","", C1810 + $F$12*$F$9*(-H1810)/IF(SQRT(G1810^2+H1810^2)=0,1,SQRT(G1810^2+H1810^2)))</x:f>
      </x:c>
      <x:c r="F1810" s="14">
        <x:f>IF(B1810="","", D1810 + $F$12*$F$9*(G1810)/IF(SQRT(G1810^2+H1810^2)=0,1,SQRT(G1810^2+H1810^2)))</x:f>
      </x:c>
      <x:c r="G1810" s="14">
        <x:f>IF(B1810="","", -$F$8*SIN(B1810) - $B$7*$F$6*SIN($F$6*B1810))</x:f>
      </x:c>
      <x:c r="H1810" s="14">
        <x:f>IF(B1810="","", $F$8*COS(B1810) - $B$7*$F$6*COS($F$6*B1810))</x:f>
      </x:c>
    </x:row>
    <x:row r="1811">
      <x:c r="A1811" s="13" t="n">
        <x:v>1792</x:v>
      </x:c>
      <x:c r="B1811" s="14">
        <x:f>IF($B$12&lt;1792,"",$B$13+(1792-1)*($B$14-$B$13)/($B$12-1))</x:f>
      </x:c>
      <x:c r="C1811" s="14">
        <x:f>IF(B1811="","",$F$8*COS(B1811) + $B$7*COS($F$6*B1811))</x:f>
      </x:c>
      <x:c r="D1811" s="14">
        <x:f>IF(B1811="","",$F$8*SIN(B1811) - $B$7*SIN($F$6*B1811))</x:f>
      </x:c>
      <x:c r="E1811" s="14">
        <x:f>IF(B1811="","", C1811 + $F$12*$F$9*(-H1811)/IF(SQRT(G1811^2+H1811^2)=0,1,SQRT(G1811^2+H1811^2)))</x:f>
      </x:c>
      <x:c r="F1811" s="14">
        <x:f>IF(B1811="","", D1811 + $F$12*$F$9*(G1811)/IF(SQRT(G1811^2+H1811^2)=0,1,SQRT(G1811^2+H1811^2)))</x:f>
      </x:c>
      <x:c r="G1811" s="14">
        <x:f>IF(B1811="","", -$F$8*SIN(B1811) - $B$7*$F$6*SIN($F$6*B1811))</x:f>
      </x:c>
      <x:c r="H1811" s="14">
        <x:f>IF(B1811="","", $F$8*COS(B1811) - $B$7*$F$6*COS($F$6*B1811))</x:f>
      </x:c>
    </x:row>
    <x:row r="1812">
      <x:c r="A1812" s="13" t="n">
        <x:v>1793</x:v>
      </x:c>
      <x:c r="B1812" s="14">
        <x:f>IF($B$12&lt;1793,"",$B$13+(1793-1)*($B$14-$B$13)/($B$12-1))</x:f>
      </x:c>
      <x:c r="C1812" s="14">
        <x:f>IF(B1812="","",$F$8*COS(B1812) + $B$7*COS($F$6*B1812))</x:f>
      </x:c>
      <x:c r="D1812" s="14">
        <x:f>IF(B1812="","",$F$8*SIN(B1812) - $B$7*SIN($F$6*B1812))</x:f>
      </x:c>
      <x:c r="E1812" s="14">
        <x:f>IF(B1812="","", C1812 + $F$12*$F$9*(-H1812)/IF(SQRT(G1812^2+H1812^2)=0,1,SQRT(G1812^2+H1812^2)))</x:f>
      </x:c>
      <x:c r="F1812" s="14">
        <x:f>IF(B1812="","", D1812 + $F$12*$F$9*(G1812)/IF(SQRT(G1812^2+H1812^2)=0,1,SQRT(G1812^2+H1812^2)))</x:f>
      </x:c>
      <x:c r="G1812" s="14">
        <x:f>IF(B1812="","", -$F$8*SIN(B1812) - $B$7*$F$6*SIN($F$6*B1812))</x:f>
      </x:c>
      <x:c r="H1812" s="14">
        <x:f>IF(B1812="","", $F$8*COS(B1812) - $B$7*$F$6*COS($F$6*B1812))</x:f>
      </x:c>
    </x:row>
    <x:row r="1813">
      <x:c r="A1813" s="13" t="n">
        <x:v>1794</x:v>
      </x:c>
      <x:c r="B1813" s="14">
        <x:f>IF($B$12&lt;1794,"",$B$13+(1794-1)*($B$14-$B$13)/($B$12-1))</x:f>
      </x:c>
      <x:c r="C1813" s="14">
        <x:f>IF(B1813="","",$F$8*COS(B1813) + $B$7*COS($F$6*B1813))</x:f>
      </x:c>
      <x:c r="D1813" s="14">
        <x:f>IF(B1813="","",$F$8*SIN(B1813) - $B$7*SIN($F$6*B1813))</x:f>
      </x:c>
      <x:c r="E1813" s="14">
        <x:f>IF(B1813="","", C1813 + $F$12*$F$9*(-H1813)/IF(SQRT(G1813^2+H1813^2)=0,1,SQRT(G1813^2+H1813^2)))</x:f>
      </x:c>
      <x:c r="F1813" s="14">
        <x:f>IF(B1813="","", D1813 + $F$12*$F$9*(G1813)/IF(SQRT(G1813^2+H1813^2)=0,1,SQRT(G1813^2+H1813^2)))</x:f>
      </x:c>
      <x:c r="G1813" s="14">
        <x:f>IF(B1813="","", -$F$8*SIN(B1813) - $B$7*$F$6*SIN($F$6*B1813))</x:f>
      </x:c>
      <x:c r="H1813" s="14">
        <x:f>IF(B1813="","", $F$8*COS(B1813) - $B$7*$F$6*COS($F$6*B1813))</x:f>
      </x:c>
    </x:row>
    <x:row r="1814">
      <x:c r="A1814" s="13" t="n">
        <x:v>1795</x:v>
      </x:c>
      <x:c r="B1814" s="14">
        <x:f>IF($B$12&lt;1795,"",$B$13+(1795-1)*($B$14-$B$13)/($B$12-1))</x:f>
      </x:c>
      <x:c r="C1814" s="14">
        <x:f>IF(B1814="","",$F$8*COS(B1814) + $B$7*COS($F$6*B1814))</x:f>
      </x:c>
      <x:c r="D1814" s="14">
        <x:f>IF(B1814="","",$F$8*SIN(B1814) - $B$7*SIN($F$6*B1814))</x:f>
      </x:c>
      <x:c r="E1814" s="14">
        <x:f>IF(B1814="","", C1814 + $F$12*$F$9*(-H1814)/IF(SQRT(G1814^2+H1814^2)=0,1,SQRT(G1814^2+H1814^2)))</x:f>
      </x:c>
      <x:c r="F1814" s="14">
        <x:f>IF(B1814="","", D1814 + $F$12*$F$9*(G1814)/IF(SQRT(G1814^2+H1814^2)=0,1,SQRT(G1814^2+H1814^2)))</x:f>
      </x:c>
      <x:c r="G1814" s="14">
        <x:f>IF(B1814="","", -$F$8*SIN(B1814) - $B$7*$F$6*SIN($F$6*B1814))</x:f>
      </x:c>
      <x:c r="H1814" s="14">
        <x:f>IF(B1814="","", $F$8*COS(B1814) - $B$7*$F$6*COS($F$6*B1814))</x:f>
      </x:c>
    </x:row>
    <x:row r="1815">
      <x:c r="A1815" s="13" t="n">
        <x:v>1796</x:v>
      </x:c>
      <x:c r="B1815" s="14">
        <x:f>IF($B$12&lt;1796,"",$B$13+(1796-1)*($B$14-$B$13)/($B$12-1))</x:f>
      </x:c>
      <x:c r="C1815" s="14">
        <x:f>IF(B1815="","",$F$8*COS(B1815) + $B$7*COS($F$6*B1815))</x:f>
      </x:c>
      <x:c r="D1815" s="14">
        <x:f>IF(B1815="","",$F$8*SIN(B1815) - $B$7*SIN($F$6*B1815))</x:f>
      </x:c>
      <x:c r="E1815" s="14">
        <x:f>IF(B1815="","", C1815 + $F$12*$F$9*(-H1815)/IF(SQRT(G1815^2+H1815^2)=0,1,SQRT(G1815^2+H1815^2)))</x:f>
      </x:c>
      <x:c r="F1815" s="14">
        <x:f>IF(B1815="","", D1815 + $F$12*$F$9*(G1815)/IF(SQRT(G1815^2+H1815^2)=0,1,SQRT(G1815^2+H1815^2)))</x:f>
      </x:c>
      <x:c r="G1815" s="14">
        <x:f>IF(B1815="","", -$F$8*SIN(B1815) - $B$7*$F$6*SIN($F$6*B1815))</x:f>
      </x:c>
      <x:c r="H1815" s="14">
        <x:f>IF(B1815="","", $F$8*COS(B1815) - $B$7*$F$6*COS($F$6*B1815))</x:f>
      </x:c>
    </x:row>
    <x:row r="1816">
      <x:c r="A1816" s="13" t="n">
        <x:v>1797</x:v>
      </x:c>
      <x:c r="B1816" s="14">
        <x:f>IF($B$12&lt;1797,"",$B$13+(1797-1)*($B$14-$B$13)/($B$12-1))</x:f>
      </x:c>
      <x:c r="C1816" s="14">
        <x:f>IF(B1816="","",$F$8*COS(B1816) + $B$7*COS($F$6*B1816))</x:f>
      </x:c>
      <x:c r="D1816" s="14">
        <x:f>IF(B1816="","",$F$8*SIN(B1816) - $B$7*SIN($F$6*B1816))</x:f>
      </x:c>
      <x:c r="E1816" s="14">
        <x:f>IF(B1816="","", C1816 + $F$12*$F$9*(-H1816)/IF(SQRT(G1816^2+H1816^2)=0,1,SQRT(G1816^2+H1816^2)))</x:f>
      </x:c>
      <x:c r="F1816" s="14">
        <x:f>IF(B1816="","", D1816 + $F$12*$F$9*(G1816)/IF(SQRT(G1816^2+H1816^2)=0,1,SQRT(G1816^2+H1816^2)))</x:f>
      </x:c>
      <x:c r="G1816" s="14">
        <x:f>IF(B1816="","", -$F$8*SIN(B1816) - $B$7*$F$6*SIN($F$6*B1816))</x:f>
      </x:c>
      <x:c r="H1816" s="14">
        <x:f>IF(B1816="","", $F$8*COS(B1816) - $B$7*$F$6*COS($F$6*B1816))</x:f>
      </x:c>
    </x:row>
    <x:row r="1817">
      <x:c r="A1817" s="13" t="n">
        <x:v>1798</x:v>
      </x:c>
      <x:c r="B1817" s="14">
        <x:f>IF($B$12&lt;1798,"",$B$13+(1798-1)*($B$14-$B$13)/($B$12-1))</x:f>
      </x:c>
      <x:c r="C1817" s="14">
        <x:f>IF(B1817="","",$F$8*COS(B1817) + $B$7*COS($F$6*B1817))</x:f>
      </x:c>
      <x:c r="D1817" s="14">
        <x:f>IF(B1817="","",$F$8*SIN(B1817) - $B$7*SIN($F$6*B1817))</x:f>
      </x:c>
      <x:c r="E1817" s="14">
        <x:f>IF(B1817="","", C1817 + $F$12*$F$9*(-H1817)/IF(SQRT(G1817^2+H1817^2)=0,1,SQRT(G1817^2+H1817^2)))</x:f>
      </x:c>
      <x:c r="F1817" s="14">
        <x:f>IF(B1817="","", D1817 + $F$12*$F$9*(G1817)/IF(SQRT(G1817^2+H1817^2)=0,1,SQRT(G1817^2+H1817^2)))</x:f>
      </x:c>
      <x:c r="G1817" s="14">
        <x:f>IF(B1817="","", -$F$8*SIN(B1817) - $B$7*$F$6*SIN($F$6*B1817))</x:f>
      </x:c>
      <x:c r="H1817" s="14">
        <x:f>IF(B1817="","", $F$8*COS(B1817) - $B$7*$F$6*COS($F$6*B1817))</x:f>
      </x:c>
    </x:row>
    <x:row r="1818">
      <x:c r="A1818" s="13" t="n">
        <x:v>1799</x:v>
      </x:c>
      <x:c r="B1818" s="14">
        <x:f>IF($B$12&lt;1799,"",$B$13+(1799-1)*($B$14-$B$13)/($B$12-1))</x:f>
      </x:c>
      <x:c r="C1818" s="14">
        <x:f>IF(B1818="","",$F$8*COS(B1818) + $B$7*COS($F$6*B1818))</x:f>
      </x:c>
      <x:c r="D1818" s="14">
        <x:f>IF(B1818="","",$F$8*SIN(B1818) - $B$7*SIN($F$6*B1818))</x:f>
      </x:c>
      <x:c r="E1818" s="14">
        <x:f>IF(B1818="","", C1818 + $F$12*$F$9*(-H1818)/IF(SQRT(G1818^2+H1818^2)=0,1,SQRT(G1818^2+H1818^2)))</x:f>
      </x:c>
      <x:c r="F1818" s="14">
        <x:f>IF(B1818="","", D1818 + $F$12*$F$9*(G1818)/IF(SQRT(G1818^2+H1818^2)=0,1,SQRT(G1818^2+H1818^2)))</x:f>
      </x:c>
      <x:c r="G1818" s="14">
        <x:f>IF(B1818="","", -$F$8*SIN(B1818) - $B$7*$F$6*SIN($F$6*B1818))</x:f>
      </x:c>
      <x:c r="H1818" s="14">
        <x:f>IF(B1818="","", $F$8*COS(B1818) - $B$7*$F$6*COS($F$6*B1818))</x:f>
      </x:c>
    </x:row>
    <x:row r="1819">
      <x:c r="A1819" s="13" t="n">
        <x:v>1800</x:v>
      </x:c>
      <x:c r="B1819" s="14">
        <x:f>IF($B$12&lt;1800,"",$B$13+(1800-1)*($B$14-$B$13)/($B$12-1))</x:f>
      </x:c>
      <x:c r="C1819" s="14">
        <x:f>IF(B1819="","",$F$8*COS(B1819) + $B$7*COS($F$6*B1819))</x:f>
      </x:c>
      <x:c r="D1819" s="14">
        <x:f>IF(B1819="","",$F$8*SIN(B1819) - $B$7*SIN($F$6*B1819))</x:f>
      </x:c>
      <x:c r="E1819" s="14">
        <x:f>IF(B1819="","", C1819 + $F$12*$F$9*(-H1819)/IF(SQRT(G1819^2+H1819^2)=0,1,SQRT(G1819^2+H1819^2)))</x:f>
      </x:c>
      <x:c r="F1819" s="14">
        <x:f>IF(B1819="","", D1819 + $F$12*$F$9*(G1819)/IF(SQRT(G1819^2+H1819^2)=0,1,SQRT(G1819^2+H1819^2)))</x:f>
      </x:c>
      <x:c r="G1819" s="14">
        <x:f>IF(B1819="","", -$F$8*SIN(B1819) - $B$7*$F$6*SIN($F$6*B1819))</x:f>
      </x:c>
      <x:c r="H1819" s="14">
        <x:f>IF(B1819="","", $F$8*COS(B1819) - $B$7*$F$6*COS($F$6*B1819))</x:f>
      </x:c>
    </x:row>
    <x:row r="1820">
      <x:c r="A1820" s="13" t="n">
        <x:v>1801</x:v>
      </x:c>
      <x:c r="B1820" s="14">
        <x:f>IF($B$12&lt;1801,"",$B$13+(1801-1)*($B$14-$B$13)/($B$12-1))</x:f>
      </x:c>
      <x:c r="C1820" s="14">
        <x:f>IF(B1820="","",$F$8*COS(B1820) + $B$7*COS($F$6*B1820))</x:f>
      </x:c>
      <x:c r="D1820" s="14">
        <x:f>IF(B1820="","",$F$8*SIN(B1820) - $B$7*SIN($F$6*B1820))</x:f>
      </x:c>
      <x:c r="E1820" s="14">
        <x:f>IF(B1820="","", C1820 + $F$12*$F$9*(-H1820)/IF(SQRT(G1820^2+H1820^2)=0,1,SQRT(G1820^2+H1820^2)))</x:f>
      </x:c>
      <x:c r="F1820" s="14">
        <x:f>IF(B1820="","", D1820 + $F$12*$F$9*(G1820)/IF(SQRT(G1820^2+H1820^2)=0,1,SQRT(G1820^2+H1820^2)))</x:f>
      </x:c>
      <x:c r="G1820" s="14">
        <x:f>IF(B1820="","", -$F$8*SIN(B1820) - $B$7*$F$6*SIN($F$6*B1820))</x:f>
      </x:c>
      <x:c r="H1820" s="14">
        <x:f>IF(B1820="","", $F$8*COS(B1820) - $B$7*$F$6*COS($F$6*B1820))</x:f>
      </x:c>
    </x:row>
    <x:row r="1821">
      <x:c r="A1821" s="13" t="n">
        <x:v>1802</x:v>
      </x:c>
      <x:c r="B1821" s="14">
        <x:f>IF($B$12&lt;1802,"",$B$13+(1802-1)*($B$14-$B$13)/($B$12-1))</x:f>
      </x:c>
      <x:c r="C1821" s="14">
        <x:f>IF(B1821="","",$F$8*COS(B1821) + $B$7*COS($F$6*B1821))</x:f>
      </x:c>
      <x:c r="D1821" s="14">
        <x:f>IF(B1821="","",$F$8*SIN(B1821) - $B$7*SIN($F$6*B1821))</x:f>
      </x:c>
      <x:c r="E1821" s="14">
        <x:f>IF(B1821="","", C1821 + $F$12*$F$9*(-H1821)/IF(SQRT(G1821^2+H1821^2)=0,1,SQRT(G1821^2+H1821^2)))</x:f>
      </x:c>
      <x:c r="F1821" s="14">
        <x:f>IF(B1821="","", D1821 + $F$12*$F$9*(G1821)/IF(SQRT(G1821^2+H1821^2)=0,1,SQRT(G1821^2+H1821^2)))</x:f>
      </x:c>
      <x:c r="G1821" s="14">
        <x:f>IF(B1821="","", -$F$8*SIN(B1821) - $B$7*$F$6*SIN($F$6*B1821))</x:f>
      </x:c>
      <x:c r="H1821" s="14">
        <x:f>IF(B1821="","", $F$8*COS(B1821) - $B$7*$F$6*COS($F$6*B1821))</x:f>
      </x:c>
    </x:row>
    <x:row r="1822">
      <x:c r="A1822" s="13" t="n">
        <x:v>1803</x:v>
      </x:c>
      <x:c r="B1822" s="14">
        <x:f>IF($B$12&lt;1803,"",$B$13+(1803-1)*($B$14-$B$13)/($B$12-1))</x:f>
      </x:c>
      <x:c r="C1822" s="14">
        <x:f>IF(B1822="","",$F$8*COS(B1822) + $B$7*COS($F$6*B1822))</x:f>
      </x:c>
      <x:c r="D1822" s="14">
        <x:f>IF(B1822="","",$F$8*SIN(B1822) - $B$7*SIN($F$6*B1822))</x:f>
      </x:c>
      <x:c r="E1822" s="14">
        <x:f>IF(B1822="","", C1822 + $F$12*$F$9*(-H1822)/IF(SQRT(G1822^2+H1822^2)=0,1,SQRT(G1822^2+H1822^2)))</x:f>
      </x:c>
      <x:c r="F1822" s="14">
        <x:f>IF(B1822="","", D1822 + $F$12*$F$9*(G1822)/IF(SQRT(G1822^2+H1822^2)=0,1,SQRT(G1822^2+H1822^2)))</x:f>
      </x:c>
      <x:c r="G1822" s="14">
        <x:f>IF(B1822="","", -$F$8*SIN(B1822) - $B$7*$F$6*SIN($F$6*B1822))</x:f>
      </x:c>
      <x:c r="H1822" s="14">
        <x:f>IF(B1822="","", $F$8*COS(B1822) - $B$7*$F$6*COS($F$6*B1822))</x:f>
      </x:c>
    </x:row>
    <x:row r="1823">
      <x:c r="A1823" s="13" t="n">
        <x:v>1804</x:v>
      </x:c>
      <x:c r="B1823" s="14">
        <x:f>IF($B$12&lt;1804,"",$B$13+(1804-1)*($B$14-$B$13)/($B$12-1))</x:f>
      </x:c>
      <x:c r="C1823" s="14">
        <x:f>IF(B1823="","",$F$8*COS(B1823) + $B$7*COS($F$6*B1823))</x:f>
      </x:c>
      <x:c r="D1823" s="14">
        <x:f>IF(B1823="","",$F$8*SIN(B1823) - $B$7*SIN($F$6*B1823))</x:f>
      </x:c>
      <x:c r="E1823" s="14">
        <x:f>IF(B1823="","", C1823 + $F$12*$F$9*(-H1823)/IF(SQRT(G1823^2+H1823^2)=0,1,SQRT(G1823^2+H1823^2)))</x:f>
      </x:c>
      <x:c r="F1823" s="14">
        <x:f>IF(B1823="","", D1823 + $F$12*$F$9*(G1823)/IF(SQRT(G1823^2+H1823^2)=0,1,SQRT(G1823^2+H1823^2)))</x:f>
      </x:c>
      <x:c r="G1823" s="14">
        <x:f>IF(B1823="","", -$F$8*SIN(B1823) - $B$7*$F$6*SIN($F$6*B1823))</x:f>
      </x:c>
      <x:c r="H1823" s="14">
        <x:f>IF(B1823="","", $F$8*COS(B1823) - $B$7*$F$6*COS($F$6*B1823))</x:f>
      </x:c>
    </x:row>
    <x:row r="1824">
      <x:c r="A1824" s="13" t="n">
        <x:v>1805</x:v>
      </x:c>
      <x:c r="B1824" s="14">
        <x:f>IF($B$12&lt;1805,"",$B$13+(1805-1)*($B$14-$B$13)/($B$12-1))</x:f>
      </x:c>
      <x:c r="C1824" s="14">
        <x:f>IF(B1824="","",$F$8*COS(B1824) + $B$7*COS($F$6*B1824))</x:f>
      </x:c>
      <x:c r="D1824" s="14">
        <x:f>IF(B1824="","",$F$8*SIN(B1824) - $B$7*SIN($F$6*B1824))</x:f>
      </x:c>
      <x:c r="E1824" s="14">
        <x:f>IF(B1824="","", C1824 + $F$12*$F$9*(-H1824)/IF(SQRT(G1824^2+H1824^2)=0,1,SQRT(G1824^2+H1824^2)))</x:f>
      </x:c>
      <x:c r="F1824" s="14">
        <x:f>IF(B1824="","", D1824 + $F$12*$F$9*(G1824)/IF(SQRT(G1824^2+H1824^2)=0,1,SQRT(G1824^2+H1824^2)))</x:f>
      </x:c>
      <x:c r="G1824" s="14">
        <x:f>IF(B1824="","", -$F$8*SIN(B1824) - $B$7*$F$6*SIN($F$6*B1824))</x:f>
      </x:c>
      <x:c r="H1824" s="14">
        <x:f>IF(B1824="","", $F$8*COS(B1824) - $B$7*$F$6*COS($F$6*B1824))</x:f>
      </x:c>
    </x:row>
    <x:row r="1825">
      <x:c r="A1825" s="13" t="n">
        <x:v>1806</x:v>
      </x:c>
      <x:c r="B1825" s="14">
        <x:f>IF($B$12&lt;1806,"",$B$13+(1806-1)*($B$14-$B$13)/($B$12-1))</x:f>
      </x:c>
      <x:c r="C1825" s="14">
        <x:f>IF(B1825="","",$F$8*COS(B1825) + $B$7*COS($F$6*B1825))</x:f>
      </x:c>
      <x:c r="D1825" s="14">
        <x:f>IF(B1825="","",$F$8*SIN(B1825) - $B$7*SIN($F$6*B1825))</x:f>
      </x:c>
      <x:c r="E1825" s="14">
        <x:f>IF(B1825="","", C1825 + $F$12*$F$9*(-H1825)/IF(SQRT(G1825^2+H1825^2)=0,1,SQRT(G1825^2+H1825^2)))</x:f>
      </x:c>
      <x:c r="F1825" s="14">
        <x:f>IF(B1825="","", D1825 + $F$12*$F$9*(G1825)/IF(SQRT(G1825^2+H1825^2)=0,1,SQRT(G1825^2+H1825^2)))</x:f>
      </x:c>
      <x:c r="G1825" s="14">
        <x:f>IF(B1825="","", -$F$8*SIN(B1825) - $B$7*$F$6*SIN($F$6*B1825))</x:f>
      </x:c>
      <x:c r="H1825" s="14">
        <x:f>IF(B1825="","", $F$8*COS(B1825) - $B$7*$F$6*COS($F$6*B1825))</x:f>
      </x:c>
    </x:row>
    <x:row r="1826">
      <x:c r="A1826" s="13" t="n">
        <x:v>1807</x:v>
      </x:c>
      <x:c r="B1826" s="14">
        <x:f>IF($B$12&lt;1807,"",$B$13+(1807-1)*($B$14-$B$13)/($B$12-1))</x:f>
      </x:c>
      <x:c r="C1826" s="14">
        <x:f>IF(B1826="","",$F$8*COS(B1826) + $B$7*COS($F$6*B1826))</x:f>
      </x:c>
      <x:c r="D1826" s="14">
        <x:f>IF(B1826="","",$F$8*SIN(B1826) - $B$7*SIN($F$6*B1826))</x:f>
      </x:c>
      <x:c r="E1826" s="14">
        <x:f>IF(B1826="","", C1826 + $F$12*$F$9*(-H1826)/IF(SQRT(G1826^2+H1826^2)=0,1,SQRT(G1826^2+H1826^2)))</x:f>
      </x:c>
      <x:c r="F1826" s="14">
        <x:f>IF(B1826="","", D1826 + $F$12*$F$9*(G1826)/IF(SQRT(G1826^2+H1826^2)=0,1,SQRT(G1826^2+H1826^2)))</x:f>
      </x:c>
      <x:c r="G1826" s="14">
        <x:f>IF(B1826="","", -$F$8*SIN(B1826) - $B$7*$F$6*SIN($F$6*B1826))</x:f>
      </x:c>
      <x:c r="H1826" s="14">
        <x:f>IF(B1826="","", $F$8*COS(B1826) - $B$7*$F$6*COS($F$6*B1826))</x:f>
      </x:c>
    </x:row>
    <x:row r="1827">
      <x:c r="A1827" s="13" t="n">
        <x:v>1808</x:v>
      </x:c>
      <x:c r="B1827" s="14">
        <x:f>IF($B$12&lt;1808,"",$B$13+(1808-1)*($B$14-$B$13)/($B$12-1))</x:f>
      </x:c>
      <x:c r="C1827" s="14">
        <x:f>IF(B1827="","",$F$8*COS(B1827) + $B$7*COS($F$6*B1827))</x:f>
      </x:c>
      <x:c r="D1827" s="14">
        <x:f>IF(B1827="","",$F$8*SIN(B1827) - $B$7*SIN($F$6*B1827))</x:f>
      </x:c>
      <x:c r="E1827" s="14">
        <x:f>IF(B1827="","", C1827 + $F$12*$F$9*(-H1827)/IF(SQRT(G1827^2+H1827^2)=0,1,SQRT(G1827^2+H1827^2)))</x:f>
      </x:c>
      <x:c r="F1827" s="14">
        <x:f>IF(B1827="","", D1827 + $F$12*$F$9*(G1827)/IF(SQRT(G1827^2+H1827^2)=0,1,SQRT(G1827^2+H1827^2)))</x:f>
      </x:c>
      <x:c r="G1827" s="14">
        <x:f>IF(B1827="","", -$F$8*SIN(B1827) - $B$7*$F$6*SIN($F$6*B1827))</x:f>
      </x:c>
      <x:c r="H1827" s="14">
        <x:f>IF(B1827="","", $F$8*COS(B1827) - $B$7*$F$6*COS($F$6*B1827))</x:f>
      </x:c>
    </x:row>
    <x:row r="1828">
      <x:c r="A1828" s="13" t="n">
        <x:v>1809</x:v>
      </x:c>
      <x:c r="B1828" s="14">
        <x:f>IF($B$12&lt;1809,"",$B$13+(1809-1)*($B$14-$B$13)/($B$12-1))</x:f>
      </x:c>
      <x:c r="C1828" s="14">
        <x:f>IF(B1828="","",$F$8*COS(B1828) + $B$7*COS($F$6*B1828))</x:f>
      </x:c>
      <x:c r="D1828" s="14">
        <x:f>IF(B1828="","",$F$8*SIN(B1828) - $B$7*SIN($F$6*B1828))</x:f>
      </x:c>
      <x:c r="E1828" s="14">
        <x:f>IF(B1828="","", C1828 + $F$12*$F$9*(-H1828)/IF(SQRT(G1828^2+H1828^2)=0,1,SQRT(G1828^2+H1828^2)))</x:f>
      </x:c>
      <x:c r="F1828" s="14">
        <x:f>IF(B1828="","", D1828 + $F$12*$F$9*(G1828)/IF(SQRT(G1828^2+H1828^2)=0,1,SQRT(G1828^2+H1828^2)))</x:f>
      </x:c>
      <x:c r="G1828" s="14">
        <x:f>IF(B1828="","", -$F$8*SIN(B1828) - $B$7*$F$6*SIN($F$6*B1828))</x:f>
      </x:c>
      <x:c r="H1828" s="14">
        <x:f>IF(B1828="","", $F$8*COS(B1828) - $B$7*$F$6*COS($F$6*B1828))</x:f>
      </x:c>
    </x:row>
    <x:row r="1829">
      <x:c r="A1829" s="13" t="n">
        <x:v>1810</x:v>
      </x:c>
      <x:c r="B1829" s="14">
        <x:f>IF($B$12&lt;1810,"",$B$13+(1810-1)*($B$14-$B$13)/($B$12-1))</x:f>
      </x:c>
      <x:c r="C1829" s="14">
        <x:f>IF(B1829="","",$F$8*COS(B1829) + $B$7*COS($F$6*B1829))</x:f>
      </x:c>
      <x:c r="D1829" s="14">
        <x:f>IF(B1829="","",$F$8*SIN(B1829) - $B$7*SIN($F$6*B1829))</x:f>
      </x:c>
      <x:c r="E1829" s="14">
        <x:f>IF(B1829="","", C1829 + $F$12*$F$9*(-H1829)/IF(SQRT(G1829^2+H1829^2)=0,1,SQRT(G1829^2+H1829^2)))</x:f>
      </x:c>
      <x:c r="F1829" s="14">
        <x:f>IF(B1829="","", D1829 + $F$12*$F$9*(G1829)/IF(SQRT(G1829^2+H1829^2)=0,1,SQRT(G1829^2+H1829^2)))</x:f>
      </x:c>
      <x:c r="G1829" s="14">
        <x:f>IF(B1829="","", -$F$8*SIN(B1829) - $B$7*$F$6*SIN($F$6*B1829))</x:f>
      </x:c>
      <x:c r="H1829" s="14">
        <x:f>IF(B1829="","", $F$8*COS(B1829) - $B$7*$F$6*COS($F$6*B1829))</x:f>
      </x:c>
    </x:row>
    <x:row r="1830">
      <x:c r="A1830" s="13" t="n">
        <x:v>1811</x:v>
      </x:c>
      <x:c r="B1830" s="14">
        <x:f>IF($B$12&lt;1811,"",$B$13+(1811-1)*($B$14-$B$13)/($B$12-1))</x:f>
      </x:c>
      <x:c r="C1830" s="14">
        <x:f>IF(B1830="","",$F$8*COS(B1830) + $B$7*COS($F$6*B1830))</x:f>
      </x:c>
      <x:c r="D1830" s="14">
        <x:f>IF(B1830="","",$F$8*SIN(B1830) - $B$7*SIN($F$6*B1830))</x:f>
      </x:c>
      <x:c r="E1830" s="14">
        <x:f>IF(B1830="","", C1830 + $F$12*$F$9*(-H1830)/IF(SQRT(G1830^2+H1830^2)=0,1,SQRT(G1830^2+H1830^2)))</x:f>
      </x:c>
      <x:c r="F1830" s="14">
        <x:f>IF(B1830="","", D1830 + $F$12*$F$9*(G1830)/IF(SQRT(G1830^2+H1830^2)=0,1,SQRT(G1830^2+H1830^2)))</x:f>
      </x:c>
      <x:c r="G1830" s="14">
        <x:f>IF(B1830="","", -$F$8*SIN(B1830) - $B$7*$F$6*SIN($F$6*B1830))</x:f>
      </x:c>
      <x:c r="H1830" s="14">
        <x:f>IF(B1830="","", $F$8*COS(B1830) - $B$7*$F$6*COS($F$6*B1830))</x:f>
      </x:c>
    </x:row>
    <x:row r="1831">
      <x:c r="A1831" s="13" t="n">
        <x:v>1812</x:v>
      </x:c>
      <x:c r="B1831" s="14">
        <x:f>IF($B$12&lt;1812,"",$B$13+(1812-1)*($B$14-$B$13)/($B$12-1))</x:f>
      </x:c>
      <x:c r="C1831" s="14">
        <x:f>IF(B1831="","",$F$8*COS(B1831) + $B$7*COS($F$6*B1831))</x:f>
      </x:c>
      <x:c r="D1831" s="14">
        <x:f>IF(B1831="","",$F$8*SIN(B1831) - $B$7*SIN($F$6*B1831))</x:f>
      </x:c>
      <x:c r="E1831" s="14">
        <x:f>IF(B1831="","", C1831 + $F$12*$F$9*(-H1831)/IF(SQRT(G1831^2+H1831^2)=0,1,SQRT(G1831^2+H1831^2)))</x:f>
      </x:c>
      <x:c r="F1831" s="14">
        <x:f>IF(B1831="","", D1831 + $F$12*$F$9*(G1831)/IF(SQRT(G1831^2+H1831^2)=0,1,SQRT(G1831^2+H1831^2)))</x:f>
      </x:c>
      <x:c r="G1831" s="14">
        <x:f>IF(B1831="","", -$F$8*SIN(B1831) - $B$7*$F$6*SIN($F$6*B1831))</x:f>
      </x:c>
      <x:c r="H1831" s="14">
        <x:f>IF(B1831="","", $F$8*COS(B1831) - $B$7*$F$6*COS($F$6*B1831))</x:f>
      </x:c>
    </x:row>
    <x:row r="1832">
      <x:c r="A1832" s="13" t="n">
        <x:v>1813</x:v>
      </x:c>
      <x:c r="B1832" s="14">
        <x:f>IF($B$12&lt;1813,"",$B$13+(1813-1)*($B$14-$B$13)/($B$12-1))</x:f>
      </x:c>
      <x:c r="C1832" s="14">
        <x:f>IF(B1832="","",$F$8*COS(B1832) + $B$7*COS($F$6*B1832))</x:f>
      </x:c>
      <x:c r="D1832" s="14">
        <x:f>IF(B1832="","",$F$8*SIN(B1832) - $B$7*SIN($F$6*B1832))</x:f>
      </x:c>
      <x:c r="E1832" s="14">
        <x:f>IF(B1832="","", C1832 + $F$12*$F$9*(-H1832)/IF(SQRT(G1832^2+H1832^2)=0,1,SQRT(G1832^2+H1832^2)))</x:f>
      </x:c>
      <x:c r="F1832" s="14">
        <x:f>IF(B1832="","", D1832 + $F$12*$F$9*(G1832)/IF(SQRT(G1832^2+H1832^2)=0,1,SQRT(G1832^2+H1832^2)))</x:f>
      </x:c>
      <x:c r="G1832" s="14">
        <x:f>IF(B1832="","", -$F$8*SIN(B1832) - $B$7*$F$6*SIN($F$6*B1832))</x:f>
      </x:c>
      <x:c r="H1832" s="14">
        <x:f>IF(B1832="","", $F$8*COS(B1832) - $B$7*$F$6*COS($F$6*B1832))</x:f>
      </x:c>
    </x:row>
    <x:row r="1833">
      <x:c r="A1833" s="13" t="n">
        <x:v>1814</x:v>
      </x:c>
      <x:c r="B1833" s="14">
        <x:f>IF($B$12&lt;1814,"",$B$13+(1814-1)*($B$14-$B$13)/($B$12-1))</x:f>
      </x:c>
      <x:c r="C1833" s="14">
        <x:f>IF(B1833="","",$F$8*COS(B1833) + $B$7*COS($F$6*B1833))</x:f>
      </x:c>
      <x:c r="D1833" s="14">
        <x:f>IF(B1833="","",$F$8*SIN(B1833) - $B$7*SIN($F$6*B1833))</x:f>
      </x:c>
      <x:c r="E1833" s="14">
        <x:f>IF(B1833="","", C1833 + $F$12*$F$9*(-H1833)/IF(SQRT(G1833^2+H1833^2)=0,1,SQRT(G1833^2+H1833^2)))</x:f>
      </x:c>
      <x:c r="F1833" s="14">
        <x:f>IF(B1833="","", D1833 + $F$12*$F$9*(G1833)/IF(SQRT(G1833^2+H1833^2)=0,1,SQRT(G1833^2+H1833^2)))</x:f>
      </x:c>
      <x:c r="G1833" s="14">
        <x:f>IF(B1833="","", -$F$8*SIN(B1833) - $B$7*$F$6*SIN($F$6*B1833))</x:f>
      </x:c>
      <x:c r="H1833" s="14">
        <x:f>IF(B1833="","", $F$8*COS(B1833) - $B$7*$F$6*COS($F$6*B1833))</x:f>
      </x:c>
    </x:row>
    <x:row r="1834">
      <x:c r="A1834" s="13" t="n">
        <x:v>1815</x:v>
      </x:c>
      <x:c r="B1834" s="14">
        <x:f>IF($B$12&lt;1815,"",$B$13+(1815-1)*($B$14-$B$13)/($B$12-1))</x:f>
      </x:c>
      <x:c r="C1834" s="14">
        <x:f>IF(B1834="","",$F$8*COS(B1834) + $B$7*COS($F$6*B1834))</x:f>
      </x:c>
      <x:c r="D1834" s="14">
        <x:f>IF(B1834="","",$F$8*SIN(B1834) - $B$7*SIN($F$6*B1834))</x:f>
      </x:c>
      <x:c r="E1834" s="14">
        <x:f>IF(B1834="","", C1834 + $F$12*$F$9*(-H1834)/IF(SQRT(G1834^2+H1834^2)=0,1,SQRT(G1834^2+H1834^2)))</x:f>
      </x:c>
      <x:c r="F1834" s="14">
        <x:f>IF(B1834="","", D1834 + $F$12*$F$9*(G1834)/IF(SQRT(G1834^2+H1834^2)=0,1,SQRT(G1834^2+H1834^2)))</x:f>
      </x:c>
      <x:c r="G1834" s="14">
        <x:f>IF(B1834="","", -$F$8*SIN(B1834) - $B$7*$F$6*SIN($F$6*B1834))</x:f>
      </x:c>
      <x:c r="H1834" s="14">
        <x:f>IF(B1834="","", $F$8*COS(B1834) - $B$7*$F$6*COS($F$6*B1834))</x:f>
      </x:c>
    </x:row>
    <x:row r="1835">
      <x:c r="A1835" s="13" t="n">
        <x:v>1816</x:v>
      </x:c>
      <x:c r="B1835" s="14">
        <x:f>IF($B$12&lt;1816,"",$B$13+(1816-1)*($B$14-$B$13)/($B$12-1))</x:f>
      </x:c>
      <x:c r="C1835" s="14">
        <x:f>IF(B1835="","",$F$8*COS(B1835) + $B$7*COS($F$6*B1835))</x:f>
      </x:c>
      <x:c r="D1835" s="14">
        <x:f>IF(B1835="","",$F$8*SIN(B1835) - $B$7*SIN($F$6*B1835))</x:f>
      </x:c>
      <x:c r="E1835" s="14">
        <x:f>IF(B1835="","", C1835 + $F$12*$F$9*(-H1835)/IF(SQRT(G1835^2+H1835^2)=0,1,SQRT(G1835^2+H1835^2)))</x:f>
      </x:c>
      <x:c r="F1835" s="14">
        <x:f>IF(B1835="","", D1835 + $F$12*$F$9*(G1835)/IF(SQRT(G1835^2+H1835^2)=0,1,SQRT(G1835^2+H1835^2)))</x:f>
      </x:c>
      <x:c r="G1835" s="14">
        <x:f>IF(B1835="","", -$F$8*SIN(B1835) - $B$7*$F$6*SIN($F$6*B1835))</x:f>
      </x:c>
      <x:c r="H1835" s="14">
        <x:f>IF(B1835="","", $F$8*COS(B1835) - $B$7*$F$6*COS($F$6*B1835))</x:f>
      </x:c>
    </x:row>
    <x:row r="1836">
      <x:c r="A1836" s="13" t="n">
        <x:v>1817</x:v>
      </x:c>
      <x:c r="B1836" s="14">
        <x:f>IF($B$12&lt;1817,"",$B$13+(1817-1)*($B$14-$B$13)/($B$12-1))</x:f>
      </x:c>
      <x:c r="C1836" s="14">
        <x:f>IF(B1836="","",$F$8*COS(B1836) + $B$7*COS($F$6*B1836))</x:f>
      </x:c>
      <x:c r="D1836" s="14">
        <x:f>IF(B1836="","",$F$8*SIN(B1836) - $B$7*SIN($F$6*B1836))</x:f>
      </x:c>
      <x:c r="E1836" s="14">
        <x:f>IF(B1836="","", C1836 + $F$12*$F$9*(-H1836)/IF(SQRT(G1836^2+H1836^2)=0,1,SQRT(G1836^2+H1836^2)))</x:f>
      </x:c>
      <x:c r="F1836" s="14">
        <x:f>IF(B1836="","", D1836 + $F$12*$F$9*(G1836)/IF(SQRT(G1836^2+H1836^2)=0,1,SQRT(G1836^2+H1836^2)))</x:f>
      </x:c>
      <x:c r="G1836" s="14">
        <x:f>IF(B1836="","", -$F$8*SIN(B1836) - $B$7*$F$6*SIN($F$6*B1836))</x:f>
      </x:c>
      <x:c r="H1836" s="14">
        <x:f>IF(B1836="","", $F$8*COS(B1836) - $B$7*$F$6*COS($F$6*B1836))</x:f>
      </x:c>
    </x:row>
    <x:row r="1837">
      <x:c r="A1837" s="13" t="n">
        <x:v>1818</x:v>
      </x:c>
      <x:c r="B1837" s="14">
        <x:f>IF($B$12&lt;1818,"",$B$13+(1818-1)*($B$14-$B$13)/($B$12-1))</x:f>
      </x:c>
      <x:c r="C1837" s="14">
        <x:f>IF(B1837="","",$F$8*COS(B1837) + $B$7*COS($F$6*B1837))</x:f>
      </x:c>
      <x:c r="D1837" s="14">
        <x:f>IF(B1837="","",$F$8*SIN(B1837) - $B$7*SIN($F$6*B1837))</x:f>
      </x:c>
      <x:c r="E1837" s="14">
        <x:f>IF(B1837="","", C1837 + $F$12*$F$9*(-H1837)/IF(SQRT(G1837^2+H1837^2)=0,1,SQRT(G1837^2+H1837^2)))</x:f>
      </x:c>
      <x:c r="F1837" s="14">
        <x:f>IF(B1837="","", D1837 + $F$12*$F$9*(G1837)/IF(SQRT(G1837^2+H1837^2)=0,1,SQRT(G1837^2+H1837^2)))</x:f>
      </x:c>
      <x:c r="G1837" s="14">
        <x:f>IF(B1837="","", -$F$8*SIN(B1837) - $B$7*$F$6*SIN($F$6*B1837))</x:f>
      </x:c>
      <x:c r="H1837" s="14">
        <x:f>IF(B1837="","", $F$8*COS(B1837) - $B$7*$F$6*COS($F$6*B1837))</x:f>
      </x:c>
    </x:row>
    <x:row r="1838">
      <x:c r="A1838" s="13" t="n">
        <x:v>1819</x:v>
      </x:c>
      <x:c r="B1838" s="14">
        <x:f>IF($B$12&lt;1819,"",$B$13+(1819-1)*($B$14-$B$13)/($B$12-1))</x:f>
      </x:c>
      <x:c r="C1838" s="14">
        <x:f>IF(B1838="","",$F$8*COS(B1838) + $B$7*COS($F$6*B1838))</x:f>
      </x:c>
      <x:c r="D1838" s="14">
        <x:f>IF(B1838="","",$F$8*SIN(B1838) - $B$7*SIN($F$6*B1838))</x:f>
      </x:c>
      <x:c r="E1838" s="14">
        <x:f>IF(B1838="","", C1838 + $F$12*$F$9*(-H1838)/IF(SQRT(G1838^2+H1838^2)=0,1,SQRT(G1838^2+H1838^2)))</x:f>
      </x:c>
      <x:c r="F1838" s="14">
        <x:f>IF(B1838="","", D1838 + $F$12*$F$9*(G1838)/IF(SQRT(G1838^2+H1838^2)=0,1,SQRT(G1838^2+H1838^2)))</x:f>
      </x:c>
      <x:c r="G1838" s="14">
        <x:f>IF(B1838="","", -$F$8*SIN(B1838) - $B$7*$F$6*SIN($F$6*B1838))</x:f>
      </x:c>
      <x:c r="H1838" s="14">
        <x:f>IF(B1838="","", $F$8*COS(B1838) - $B$7*$F$6*COS($F$6*B1838))</x:f>
      </x:c>
    </x:row>
    <x:row r="1839">
      <x:c r="A1839" s="13" t="n">
        <x:v>1820</x:v>
      </x:c>
      <x:c r="B1839" s="14">
        <x:f>IF($B$12&lt;1820,"",$B$13+(1820-1)*($B$14-$B$13)/($B$12-1))</x:f>
      </x:c>
      <x:c r="C1839" s="14">
        <x:f>IF(B1839="","",$F$8*COS(B1839) + $B$7*COS($F$6*B1839))</x:f>
      </x:c>
      <x:c r="D1839" s="14">
        <x:f>IF(B1839="","",$F$8*SIN(B1839) - $B$7*SIN($F$6*B1839))</x:f>
      </x:c>
      <x:c r="E1839" s="14">
        <x:f>IF(B1839="","", C1839 + $F$12*$F$9*(-H1839)/IF(SQRT(G1839^2+H1839^2)=0,1,SQRT(G1839^2+H1839^2)))</x:f>
      </x:c>
      <x:c r="F1839" s="14">
        <x:f>IF(B1839="","", D1839 + $F$12*$F$9*(G1839)/IF(SQRT(G1839^2+H1839^2)=0,1,SQRT(G1839^2+H1839^2)))</x:f>
      </x:c>
      <x:c r="G1839" s="14">
        <x:f>IF(B1839="","", -$F$8*SIN(B1839) - $B$7*$F$6*SIN($F$6*B1839))</x:f>
      </x:c>
      <x:c r="H1839" s="14">
        <x:f>IF(B1839="","", $F$8*COS(B1839) - $B$7*$F$6*COS($F$6*B1839))</x:f>
      </x:c>
    </x:row>
    <x:row r="1840">
      <x:c r="A1840" s="13" t="n">
        <x:v>1821</x:v>
      </x:c>
      <x:c r="B1840" s="14">
        <x:f>IF($B$12&lt;1821,"",$B$13+(1821-1)*($B$14-$B$13)/($B$12-1))</x:f>
      </x:c>
      <x:c r="C1840" s="14">
        <x:f>IF(B1840="","",$F$8*COS(B1840) + $B$7*COS($F$6*B1840))</x:f>
      </x:c>
      <x:c r="D1840" s="14">
        <x:f>IF(B1840="","",$F$8*SIN(B1840) - $B$7*SIN($F$6*B1840))</x:f>
      </x:c>
      <x:c r="E1840" s="14">
        <x:f>IF(B1840="","", C1840 + $F$12*$F$9*(-H1840)/IF(SQRT(G1840^2+H1840^2)=0,1,SQRT(G1840^2+H1840^2)))</x:f>
      </x:c>
      <x:c r="F1840" s="14">
        <x:f>IF(B1840="","", D1840 + $F$12*$F$9*(G1840)/IF(SQRT(G1840^2+H1840^2)=0,1,SQRT(G1840^2+H1840^2)))</x:f>
      </x:c>
      <x:c r="G1840" s="14">
        <x:f>IF(B1840="","", -$F$8*SIN(B1840) - $B$7*$F$6*SIN($F$6*B1840))</x:f>
      </x:c>
      <x:c r="H1840" s="14">
        <x:f>IF(B1840="","", $F$8*COS(B1840) - $B$7*$F$6*COS($F$6*B1840))</x:f>
      </x:c>
    </x:row>
    <x:row r="1841">
      <x:c r="A1841" s="13" t="n">
        <x:v>1822</x:v>
      </x:c>
      <x:c r="B1841" s="14">
        <x:f>IF($B$12&lt;1822,"",$B$13+(1822-1)*($B$14-$B$13)/($B$12-1))</x:f>
      </x:c>
      <x:c r="C1841" s="14">
        <x:f>IF(B1841="","",$F$8*COS(B1841) + $B$7*COS($F$6*B1841))</x:f>
      </x:c>
      <x:c r="D1841" s="14">
        <x:f>IF(B1841="","",$F$8*SIN(B1841) - $B$7*SIN($F$6*B1841))</x:f>
      </x:c>
      <x:c r="E1841" s="14">
        <x:f>IF(B1841="","", C1841 + $F$12*$F$9*(-H1841)/IF(SQRT(G1841^2+H1841^2)=0,1,SQRT(G1841^2+H1841^2)))</x:f>
      </x:c>
      <x:c r="F1841" s="14">
        <x:f>IF(B1841="","", D1841 + $F$12*$F$9*(G1841)/IF(SQRT(G1841^2+H1841^2)=0,1,SQRT(G1841^2+H1841^2)))</x:f>
      </x:c>
      <x:c r="G1841" s="14">
        <x:f>IF(B1841="","", -$F$8*SIN(B1841) - $B$7*$F$6*SIN($F$6*B1841))</x:f>
      </x:c>
      <x:c r="H1841" s="14">
        <x:f>IF(B1841="","", $F$8*COS(B1841) - $B$7*$F$6*COS($F$6*B1841))</x:f>
      </x:c>
    </x:row>
    <x:row r="1842">
      <x:c r="A1842" s="13" t="n">
        <x:v>1823</x:v>
      </x:c>
      <x:c r="B1842" s="14">
        <x:f>IF($B$12&lt;1823,"",$B$13+(1823-1)*($B$14-$B$13)/($B$12-1))</x:f>
      </x:c>
      <x:c r="C1842" s="14">
        <x:f>IF(B1842="","",$F$8*COS(B1842) + $B$7*COS($F$6*B1842))</x:f>
      </x:c>
      <x:c r="D1842" s="14">
        <x:f>IF(B1842="","",$F$8*SIN(B1842) - $B$7*SIN($F$6*B1842))</x:f>
      </x:c>
      <x:c r="E1842" s="14">
        <x:f>IF(B1842="","", C1842 + $F$12*$F$9*(-H1842)/IF(SQRT(G1842^2+H1842^2)=0,1,SQRT(G1842^2+H1842^2)))</x:f>
      </x:c>
      <x:c r="F1842" s="14">
        <x:f>IF(B1842="","", D1842 + $F$12*$F$9*(G1842)/IF(SQRT(G1842^2+H1842^2)=0,1,SQRT(G1842^2+H1842^2)))</x:f>
      </x:c>
      <x:c r="G1842" s="14">
        <x:f>IF(B1842="","", -$F$8*SIN(B1842) - $B$7*$F$6*SIN($F$6*B1842))</x:f>
      </x:c>
      <x:c r="H1842" s="14">
        <x:f>IF(B1842="","", $F$8*COS(B1842) - $B$7*$F$6*COS($F$6*B1842))</x:f>
      </x:c>
    </x:row>
    <x:row r="1843">
      <x:c r="A1843" s="13" t="n">
        <x:v>1824</x:v>
      </x:c>
      <x:c r="B1843" s="14">
        <x:f>IF($B$12&lt;1824,"",$B$13+(1824-1)*($B$14-$B$13)/($B$12-1))</x:f>
      </x:c>
      <x:c r="C1843" s="14">
        <x:f>IF(B1843="","",$F$8*COS(B1843) + $B$7*COS($F$6*B1843))</x:f>
      </x:c>
      <x:c r="D1843" s="14">
        <x:f>IF(B1843="","",$F$8*SIN(B1843) - $B$7*SIN($F$6*B1843))</x:f>
      </x:c>
      <x:c r="E1843" s="14">
        <x:f>IF(B1843="","", C1843 + $F$12*$F$9*(-H1843)/IF(SQRT(G1843^2+H1843^2)=0,1,SQRT(G1843^2+H1843^2)))</x:f>
      </x:c>
      <x:c r="F1843" s="14">
        <x:f>IF(B1843="","", D1843 + $F$12*$F$9*(G1843)/IF(SQRT(G1843^2+H1843^2)=0,1,SQRT(G1843^2+H1843^2)))</x:f>
      </x:c>
      <x:c r="G1843" s="14">
        <x:f>IF(B1843="","", -$F$8*SIN(B1843) - $B$7*$F$6*SIN($F$6*B1843))</x:f>
      </x:c>
      <x:c r="H1843" s="14">
        <x:f>IF(B1843="","", $F$8*COS(B1843) - $B$7*$F$6*COS($F$6*B1843))</x:f>
      </x:c>
    </x:row>
    <x:row r="1844">
      <x:c r="A1844" s="13" t="n">
        <x:v>1825</x:v>
      </x:c>
      <x:c r="B1844" s="14">
        <x:f>IF($B$12&lt;1825,"",$B$13+(1825-1)*($B$14-$B$13)/($B$12-1))</x:f>
      </x:c>
      <x:c r="C1844" s="14">
        <x:f>IF(B1844="","",$F$8*COS(B1844) + $B$7*COS($F$6*B1844))</x:f>
      </x:c>
      <x:c r="D1844" s="14">
        <x:f>IF(B1844="","",$F$8*SIN(B1844) - $B$7*SIN($F$6*B1844))</x:f>
      </x:c>
      <x:c r="E1844" s="14">
        <x:f>IF(B1844="","", C1844 + $F$12*$F$9*(-H1844)/IF(SQRT(G1844^2+H1844^2)=0,1,SQRT(G1844^2+H1844^2)))</x:f>
      </x:c>
      <x:c r="F1844" s="14">
        <x:f>IF(B1844="","", D1844 + $F$12*$F$9*(G1844)/IF(SQRT(G1844^2+H1844^2)=0,1,SQRT(G1844^2+H1844^2)))</x:f>
      </x:c>
      <x:c r="G1844" s="14">
        <x:f>IF(B1844="","", -$F$8*SIN(B1844) - $B$7*$F$6*SIN($F$6*B1844))</x:f>
      </x:c>
      <x:c r="H1844" s="14">
        <x:f>IF(B1844="","", $F$8*COS(B1844) - $B$7*$F$6*COS($F$6*B1844))</x:f>
      </x:c>
    </x:row>
    <x:row r="1845">
      <x:c r="A1845" s="13" t="n">
        <x:v>1826</x:v>
      </x:c>
      <x:c r="B1845" s="14">
        <x:f>IF($B$12&lt;1826,"",$B$13+(1826-1)*($B$14-$B$13)/($B$12-1))</x:f>
      </x:c>
      <x:c r="C1845" s="14">
        <x:f>IF(B1845="","",$F$8*COS(B1845) + $B$7*COS($F$6*B1845))</x:f>
      </x:c>
      <x:c r="D1845" s="14">
        <x:f>IF(B1845="","",$F$8*SIN(B1845) - $B$7*SIN($F$6*B1845))</x:f>
      </x:c>
      <x:c r="E1845" s="14">
        <x:f>IF(B1845="","", C1845 + $F$12*$F$9*(-H1845)/IF(SQRT(G1845^2+H1845^2)=0,1,SQRT(G1845^2+H1845^2)))</x:f>
      </x:c>
      <x:c r="F1845" s="14">
        <x:f>IF(B1845="","", D1845 + $F$12*$F$9*(G1845)/IF(SQRT(G1845^2+H1845^2)=0,1,SQRT(G1845^2+H1845^2)))</x:f>
      </x:c>
      <x:c r="G1845" s="14">
        <x:f>IF(B1845="","", -$F$8*SIN(B1845) - $B$7*$F$6*SIN($F$6*B1845))</x:f>
      </x:c>
      <x:c r="H1845" s="14">
        <x:f>IF(B1845="","", $F$8*COS(B1845) - $B$7*$F$6*COS($F$6*B1845))</x:f>
      </x:c>
    </x:row>
    <x:row r="1846">
      <x:c r="A1846" s="13" t="n">
        <x:v>1827</x:v>
      </x:c>
      <x:c r="B1846" s="14">
        <x:f>IF($B$12&lt;1827,"",$B$13+(1827-1)*($B$14-$B$13)/($B$12-1))</x:f>
      </x:c>
      <x:c r="C1846" s="14">
        <x:f>IF(B1846="","",$F$8*COS(B1846) + $B$7*COS($F$6*B1846))</x:f>
      </x:c>
      <x:c r="D1846" s="14">
        <x:f>IF(B1846="","",$F$8*SIN(B1846) - $B$7*SIN($F$6*B1846))</x:f>
      </x:c>
      <x:c r="E1846" s="14">
        <x:f>IF(B1846="","", C1846 + $F$12*$F$9*(-H1846)/IF(SQRT(G1846^2+H1846^2)=0,1,SQRT(G1846^2+H1846^2)))</x:f>
      </x:c>
      <x:c r="F1846" s="14">
        <x:f>IF(B1846="","", D1846 + $F$12*$F$9*(G1846)/IF(SQRT(G1846^2+H1846^2)=0,1,SQRT(G1846^2+H1846^2)))</x:f>
      </x:c>
      <x:c r="G1846" s="14">
        <x:f>IF(B1846="","", -$F$8*SIN(B1846) - $B$7*$F$6*SIN($F$6*B1846))</x:f>
      </x:c>
      <x:c r="H1846" s="14">
        <x:f>IF(B1846="","", $F$8*COS(B1846) - $B$7*$F$6*COS($F$6*B1846))</x:f>
      </x:c>
    </x:row>
    <x:row r="1847">
      <x:c r="A1847" s="13" t="n">
        <x:v>1828</x:v>
      </x:c>
      <x:c r="B1847" s="14">
        <x:f>IF($B$12&lt;1828,"",$B$13+(1828-1)*($B$14-$B$13)/($B$12-1))</x:f>
      </x:c>
      <x:c r="C1847" s="14">
        <x:f>IF(B1847="","",$F$8*COS(B1847) + $B$7*COS($F$6*B1847))</x:f>
      </x:c>
      <x:c r="D1847" s="14">
        <x:f>IF(B1847="","",$F$8*SIN(B1847) - $B$7*SIN($F$6*B1847))</x:f>
      </x:c>
      <x:c r="E1847" s="14">
        <x:f>IF(B1847="","", C1847 + $F$12*$F$9*(-H1847)/IF(SQRT(G1847^2+H1847^2)=0,1,SQRT(G1847^2+H1847^2)))</x:f>
      </x:c>
      <x:c r="F1847" s="14">
        <x:f>IF(B1847="","", D1847 + $F$12*$F$9*(G1847)/IF(SQRT(G1847^2+H1847^2)=0,1,SQRT(G1847^2+H1847^2)))</x:f>
      </x:c>
      <x:c r="G1847" s="14">
        <x:f>IF(B1847="","", -$F$8*SIN(B1847) - $B$7*$F$6*SIN($F$6*B1847))</x:f>
      </x:c>
      <x:c r="H1847" s="14">
        <x:f>IF(B1847="","", $F$8*COS(B1847) - $B$7*$F$6*COS($F$6*B1847))</x:f>
      </x:c>
    </x:row>
    <x:row r="1848">
      <x:c r="A1848" s="13" t="n">
        <x:v>1829</x:v>
      </x:c>
      <x:c r="B1848" s="14">
        <x:f>IF($B$12&lt;1829,"",$B$13+(1829-1)*($B$14-$B$13)/($B$12-1))</x:f>
      </x:c>
      <x:c r="C1848" s="14">
        <x:f>IF(B1848="","",$F$8*COS(B1848) + $B$7*COS($F$6*B1848))</x:f>
      </x:c>
      <x:c r="D1848" s="14">
        <x:f>IF(B1848="","",$F$8*SIN(B1848) - $B$7*SIN($F$6*B1848))</x:f>
      </x:c>
      <x:c r="E1848" s="14">
        <x:f>IF(B1848="","", C1848 + $F$12*$F$9*(-H1848)/IF(SQRT(G1848^2+H1848^2)=0,1,SQRT(G1848^2+H1848^2)))</x:f>
      </x:c>
      <x:c r="F1848" s="14">
        <x:f>IF(B1848="","", D1848 + $F$12*$F$9*(G1848)/IF(SQRT(G1848^2+H1848^2)=0,1,SQRT(G1848^2+H1848^2)))</x:f>
      </x:c>
      <x:c r="G1848" s="14">
        <x:f>IF(B1848="","", -$F$8*SIN(B1848) - $B$7*$F$6*SIN($F$6*B1848))</x:f>
      </x:c>
      <x:c r="H1848" s="14">
        <x:f>IF(B1848="","", $F$8*COS(B1848) - $B$7*$F$6*COS($F$6*B1848))</x:f>
      </x:c>
    </x:row>
    <x:row r="1849">
      <x:c r="A1849" s="13" t="n">
        <x:v>1830</x:v>
      </x:c>
      <x:c r="B1849" s="14">
        <x:f>IF($B$12&lt;1830,"",$B$13+(1830-1)*($B$14-$B$13)/($B$12-1))</x:f>
      </x:c>
      <x:c r="C1849" s="14">
        <x:f>IF(B1849="","",$F$8*COS(B1849) + $B$7*COS($F$6*B1849))</x:f>
      </x:c>
      <x:c r="D1849" s="14">
        <x:f>IF(B1849="","",$F$8*SIN(B1849) - $B$7*SIN($F$6*B1849))</x:f>
      </x:c>
      <x:c r="E1849" s="14">
        <x:f>IF(B1849="","", C1849 + $F$12*$F$9*(-H1849)/IF(SQRT(G1849^2+H1849^2)=0,1,SQRT(G1849^2+H1849^2)))</x:f>
      </x:c>
      <x:c r="F1849" s="14">
        <x:f>IF(B1849="","", D1849 + $F$12*$F$9*(G1849)/IF(SQRT(G1849^2+H1849^2)=0,1,SQRT(G1849^2+H1849^2)))</x:f>
      </x:c>
      <x:c r="G1849" s="14">
        <x:f>IF(B1849="","", -$F$8*SIN(B1849) - $B$7*$F$6*SIN($F$6*B1849))</x:f>
      </x:c>
      <x:c r="H1849" s="14">
        <x:f>IF(B1849="","", $F$8*COS(B1849) - $B$7*$F$6*COS($F$6*B1849))</x:f>
      </x:c>
    </x:row>
    <x:row r="1850">
      <x:c r="A1850" s="13" t="n">
        <x:v>1831</x:v>
      </x:c>
      <x:c r="B1850" s="14">
        <x:f>IF($B$12&lt;1831,"",$B$13+(1831-1)*($B$14-$B$13)/($B$12-1))</x:f>
      </x:c>
      <x:c r="C1850" s="14">
        <x:f>IF(B1850="","",$F$8*COS(B1850) + $B$7*COS($F$6*B1850))</x:f>
      </x:c>
      <x:c r="D1850" s="14">
        <x:f>IF(B1850="","",$F$8*SIN(B1850) - $B$7*SIN($F$6*B1850))</x:f>
      </x:c>
      <x:c r="E1850" s="14">
        <x:f>IF(B1850="","", C1850 + $F$12*$F$9*(-H1850)/IF(SQRT(G1850^2+H1850^2)=0,1,SQRT(G1850^2+H1850^2)))</x:f>
      </x:c>
      <x:c r="F1850" s="14">
        <x:f>IF(B1850="","", D1850 + $F$12*$F$9*(G1850)/IF(SQRT(G1850^2+H1850^2)=0,1,SQRT(G1850^2+H1850^2)))</x:f>
      </x:c>
      <x:c r="G1850" s="14">
        <x:f>IF(B1850="","", -$F$8*SIN(B1850) - $B$7*$F$6*SIN($F$6*B1850))</x:f>
      </x:c>
      <x:c r="H1850" s="14">
        <x:f>IF(B1850="","", $F$8*COS(B1850) - $B$7*$F$6*COS($F$6*B1850))</x:f>
      </x:c>
    </x:row>
    <x:row r="1851">
      <x:c r="A1851" s="13" t="n">
        <x:v>1832</x:v>
      </x:c>
      <x:c r="B1851" s="14">
        <x:f>IF($B$12&lt;1832,"",$B$13+(1832-1)*($B$14-$B$13)/($B$12-1))</x:f>
      </x:c>
      <x:c r="C1851" s="14">
        <x:f>IF(B1851="","",$F$8*COS(B1851) + $B$7*COS($F$6*B1851))</x:f>
      </x:c>
      <x:c r="D1851" s="14">
        <x:f>IF(B1851="","",$F$8*SIN(B1851) - $B$7*SIN($F$6*B1851))</x:f>
      </x:c>
      <x:c r="E1851" s="14">
        <x:f>IF(B1851="","", C1851 + $F$12*$F$9*(-H1851)/IF(SQRT(G1851^2+H1851^2)=0,1,SQRT(G1851^2+H1851^2)))</x:f>
      </x:c>
      <x:c r="F1851" s="14">
        <x:f>IF(B1851="","", D1851 + $F$12*$F$9*(G1851)/IF(SQRT(G1851^2+H1851^2)=0,1,SQRT(G1851^2+H1851^2)))</x:f>
      </x:c>
      <x:c r="G1851" s="14">
        <x:f>IF(B1851="","", -$F$8*SIN(B1851) - $B$7*$F$6*SIN($F$6*B1851))</x:f>
      </x:c>
      <x:c r="H1851" s="14">
        <x:f>IF(B1851="","", $F$8*COS(B1851) - $B$7*$F$6*COS($F$6*B1851))</x:f>
      </x:c>
    </x:row>
    <x:row r="1852">
      <x:c r="A1852" s="13" t="n">
        <x:v>1833</x:v>
      </x:c>
      <x:c r="B1852" s="14">
        <x:f>IF($B$12&lt;1833,"",$B$13+(1833-1)*($B$14-$B$13)/($B$12-1))</x:f>
      </x:c>
      <x:c r="C1852" s="14">
        <x:f>IF(B1852="","",$F$8*COS(B1852) + $B$7*COS($F$6*B1852))</x:f>
      </x:c>
      <x:c r="D1852" s="14">
        <x:f>IF(B1852="","",$F$8*SIN(B1852) - $B$7*SIN($F$6*B1852))</x:f>
      </x:c>
      <x:c r="E1852" s="14">
        <x:f>IF(B1852="","", C1852 + $F$12*$F$9*(-H1852)/IF(SQRT(G1852^2+H1852^2)=0,1,SQRT(G1852^2+H1852^2)))</x:f>
      </x:c>
      <x:c r="F1852" s="14">
        <x:f>IF(B1852="","", D1852 + $F$12*$F$9*(G1852)/IF(SQRT(G1852^2+H1852^2)=0,1,SQRT(G1852^2+H1852^2)))</x:f>
      </x:c>
      <x:c r="G1852" s="14">
        <x:f>IF(B1852="","", -$F$8*SIN(B1852) - $B$7*$F$6*SIN($F$6*B1852))</x:f>
      </x:c>
      <x:c r="H1852" s="14">
        <x:f>IF(B1852="","", $F$8*COS(B1852) - $B$7*$F$6*COS($F$6*B1852))</x:f>
      </x:c>
    </x:row>
    <x:row r="1853">
      <x:c r="A1853" s="13" t="n">
        <x:v>1834</x:v>
      </x:c>
      <x:c r="B1853" s="14">
        <x:f>IF($B$12&lt;1834,"",$B$13+(1834-1)*($B$14-$B$13)/($B$12-1))</x:f>
      </x:c>
      <x:c r="C1853" s="14">
        <x:f>IF(B1853="","",$F$8*COS(B1853) + $B$7*COS($F$6*B1853))</x:f>
      </x:c>
      <x:c r="D1853" s="14">
        <x:f>IF(B1853="","",$F$8*SIN(B1853) - $B$7*SIN($F$6*B1853))</x:f>
      </x:c>
      <x:c r="E1853" s="14">
        <x:f>IF(B1853="","", C1853 + $F$12*$F$9*(-H1853)/IF(SQRT(G1853^2+H1853^2)=0,1,SQRT(G1853^2+H1853^2)))</x:f>
      </x:c>
      <x:c r="F1853" s="14">
        <x:f>IF(B1853="","", D1853 + $F$12*$F$9*(G1853)/IF(SQRT(G1853^2+H1853^2)=0,1,SQRT(G1853^2+H1853^2)))</x:f>
      </x:c>
      <x:c r="G1853" s="14">
        <x:f>IF(B1853="","", -$F$8*SIN(B1853) - $B$7*$F$6*SIN($F$6*B1853))</x:f>
      </x:c>
      <x:c r="H1853" s="14">
        <x:f>IF(B1853="","", $F$8*COS(B1853) - $B$7*$F$6*COS($F$6*B1853))</x:f>
      </x:c>
    </x:row>
    <x:row r="1854">
      <x:c r="A1854" s="13" t="n">
        <x:v>1835</x:v>
      </x:c>
      <x:c r="B1854" s="14">
        <x:f>IF($B$12&lt;1835,"",$B$13+(1835-1)*($B$14-$B$13)/($B$12-1))</x:f>
      </x:c>
      <x:c r="C1854" s="14">
        <x:f>IF(B1854="","",$F$8*COS(B1854) + $B$7*COS($F$6*B1854))</x:f>
      </x:c>
      <x:c r="D1854" s="14">
        <x:f>IF(B1854="","",$F$8*SIN(B1854) - $B$7*SIN($F$6*B1854))</x:f>
      </x:c>
      <x:c r="E1854" s="14">
        <x:f>IF(B1854="","", C1854 + $F$12*$F$9*(-H1854)/IF(SQRT(G1854^2+H1854^2)=0,1,SQRT(G1854^2+H1854^2)))</x:f>
      </x:c>
      <x:c r="F1854" s="14">
        <x:f>IF(B1854="","", D1854 + $F$12*$F$9*(G1854)/IF(SQRT(G1854^2+H1854^2)=0,1,SQRT(G1854^2+H1854^2)))</x:f>
      </x:c>
      <x:c r="G1854" s="14">
        <x:f>IF(B1854="","", -$F$8*SIN(B1854) - $B$7*$F$6*SIN($F$6*B1854))</x:f>
      </x:c>
      <x:c r="H1854" s="14">
        <x:f>IF(B1854="","", $F$8*COS(B1854) - $B$7*$F$6*COS($F$6*B1854))</x:f>
      </x:c>
    </x:row>
    <x:row r="1855">
      <x:c r="A1855" s="13" t="n">
        <x:v>1836</x:v>
      </x:c>
      <x:c r="B1855" s="14">
        <x:f>IF($B$12&lt;1836,"",$B$13+(1836-1)*($B$14-$B$13)/($B$12-1))</x:f>
      </x:c>
      <x:c r="C1855" s="14">
        <x:f>IF(B1855="","",$F$8*COS(B1855) + $B$7*COS($F$6*B1855))</x:f>
      </x:c>
      <x:c r="D1855" s="14">
        <x:f>IF(B1855="","",$F$8*SIN(B1855) - $B$7*SIN($F$6*B1855))</x:f>
      </x:c>
      <x:c r="E1855" s="14">
        <x:f>IF(B1855="","", C1855 + $F$12*$F$9*(-H1855)/IF(SQRT(G1855^2+H1855^2)=0,1,SQRT(G1855^2+H1855^2)))</x:f>
      </x:c>
      <x:c r="F1855" s="14">
        <x:f>IF(B1855="","", D1855 + $F$12*$F$9*(G1855)/IF(SQRT(G1855^2+H1855^2)=0,1,SQRT(G1855^2+H1855^2)))</x:f>
      </x:c>
      <x:c r="G1855" s="14">
        <x:f>IF(B1855="","", -$F$8*SIN(B1855) - $B$7*$F$6*SIN($F$6*B1855))</x:f>
      </x:c>
      <x:c r="H1855" s="14">
        <x:f>IF(B1855="","", $F$8*COS(B1855) - $B$7*$F$6*COS($F$6*B1855))</x:f>
      </x:c>
    </x:row>
    <x:row r="1856">
      <x:c r="A1856" s="13" t="n">
        <x:v>1837</x:v>
      </x:c>
      <x:c r="B1856" s="14">
        <x:f>IF($B$12&lt;1837,"",$B$13+(1837-1)*($B$14-$B$13)/($B$12-1))</x:f>
      </x:c>
      <x:c r="C1856" s="14">
        <x:f>IF(B1856="","",$F$8*COS(B1856) + $B$7*COS($F$6*B1856))</x:f>
      </x:c>
      <x:c r="D1856" s="14">
        <x:f>IF(B1856="","",$F$8*SIN(B1856) - $B$7*SIN($F$6*B1856))</x:f>
      </x:c>
      <x:c r="E1856" s="14">
        <x:f>IF(B1856="","", C1856 + $F$12*$F$9*(-H1856)/IF(SQRT(G1856^2+H1856^2)=0,1,SQRT(G1856^2+H1856^2)))</x:f>
      </x:c>
      <x:c r="F1856" s="14">
        <x:f>IF(B1856="","", D1856 + $F$12*$F$9*(G1856)/IF(SQRT(G1856^2+H1856^2)=0,1,SQRT(G1856^2+H1856^2)))</x:f>
      </x:c>
      <x:c r="G1856" s="14">
        <x:f>IF(B1856="","", -$F$8*SIN(B1856) - $B$7*$F$6*SIN($F$6*B1856))</x:f>
      </x:c>
      <x:c r="H1856" s="14">
        <x:f>IF(B1856="","", $F$8*COS(B1856) - $B$7*$F$6*COS($F$6*B1856))</x:f>
      </x:c>
    </x:row>
    <x:row r="1857">
      <x:c r="A1857" s="13" t="n">
        <x:v>1838</x:v>
      </x:c>
      <x:c r="B1857" s="14">
        <x:f>IF($B$12&lt;1838,"",$B$13+(1838-1)*($B$14-$B$13)/($B$12-1))</x:f>
      </x:c>
      <x:c r="C1857" s="14">
        <x:f>IF(B1857="","",$F$8*COS(B1857) + $B$7*COS($F$6*B1857))</x:f>
      </x:c>
      <x:c r="D1857" s="14">
        <x:f>IF(B1857="","",$F$8*SIN(B1857) - $B$7*SIN($F$6*B1857))</x:f>
      </x:c>
      <x:c r="E1857" s="14">
        <x:f>IF(B1857="","", C1857 + $F$12*$F$9*(-H1857)/IF(SQRT(G1857^2+H1857^2)=0,1,SQRT(G1857^2+H1857^2)))</x:f>
      </x:c>
      <x:c r="F1857" s="14">
        <x:f>IF(B1857="","", D1857 + $F$12*$F$9*(G1857)/IF(SQRT(G1857^2+H1857^2)=0,1,SQRT(G1857^2+H1857^2)))</x:f>
      </x:c>
      <x:c r="G1857" s="14">
        <x:f>IF(B1857="","", -$F$8*SIN(B1857) - $B$7*$F$6*SIN($F$6*B1857))</x:f>
      </x:c>
      <x:c r="H1857" s="14">
        <x:f>IF(B1857="","", $F$8*COS(B1857) - $B$7*$F$6*COS($F$6*B1857))</x:f>
      </x:c>
    </x:row>
    <x:row r="1858">
      <x:c r="A1858" s="13" t="n">
        <x:v>1839</x:v>
      </x:c>
      <x:c r="B1858" s="14">
        <x:f>IF($B$12&lt;1839,"",$B$13+(1839-1)*($B$14-$B$13)/($B$12-1))</x:f>
      </x:c>
      <x:c r="C1858" s="14">
        <x:f>IF(B1858="","",$F$8*COS(B1858) + $B$7*COS($F$6*B1858))</x:f>
      </x:c>
      <x:c r="D1858" s="14">
        <x:f>IF(B1858="","",$F$8*SIN(B1858) - $B$7*SIN($F$6*B1858))</x:f>
      </x:c>
      <x:c r="E1858" s="14">
        <x:f>IF(B1858="","", C1858 + $F$12*$F$9*(-H1858)/IF(SQRT(G1858^2+H1858^2)=0,1,SQRT(G1858^2+H1858^2)))</x:f>
      </x:c>
      <x:c r="F1858" s="14">
        <x:f>IF(B1858="","", D1858 + $F$12*$F$9*(G1858)/IF(SQRT(G1858^2+H1858^2)=0,1,SQRT(G1858^2+H1858^2)))</x:f>
      </x:c>
      <x:c r="G1858" s="14">
        <x:f>IF(B1858="","", -$F$8*SIN(B1858) - $B$7*$F$6*SIN($F$6*B1858))</x:f>
      </x:c>
      <x:c r="H1858" s="14">
        <x:f>IF(B1858="","", $F$8*COS(B1858) - $B$7*$F$6*COS($F$6*B1858))</x:f>
      </x:c>
    </x:row>
    <x:row r="1859">
      <x:c r="A1859" s="13" t="n">
        <x:v>1840</x:v>
      </x:c>
      <x:c r="B1859" s="14">
        <x:f>IF($B$12&lt;1840,"",$B$13+(1840-1)*($B$14-$B$13)/($B$12-1))</x:f>
      </x:c>
      <x:c r="C1859" s="14">
        <x:f>IF(B1859="","",$F$8*COS(B1859) + $B$7*COS($F$6*B1859))</x:f>
      </x:c>
      <x:c r="D1859" s="14">
        <x:f>IF(B1859="","",$F$8*SIN(B1859) - $B$7*SIN($F$6*B1859))</x:f>
      </x:c>
      <x:c r="E1859" s="14">
        <x:f>IF(B1859="","", C1859 + $F$12*$F$9*(-H1859)/IF(SQRT(G1859^2+H1859^2)=0,1,SQRT(G1859^2+H1859^2)))</x:f>
      </x:c>
      <x:c r="F1859" s="14">
        <x:f>IF(B1859="","", D1859 + $F$12*$F$9*(G1859)/IF(SQRT(G1859^2+H1859^2)=0,1,SQRT(G1859^2+H1859^2)))</x:f>
      </x:c>
      <x:c r="G1859" s="14">
        <x:f>IF(B1859="","", -$F$8*SIN(B1859) - $B$7*$F$6*SIN($F$6*B1859))</x:f>
      </x:c>
      <x:c r="H1859" s="14">
        <x:f>IF(B1859="","", $F$8*COS(B1859) - $B$7*$F$6*COS($F$6*B1859))</x:f>
      </x:c>
    </x:row>
    <x:row r="1860">
      <x:c r="A1860" s="13" t="n">
        <x:v>1841</x:v>
      </x:c>
      <x:c r="B1860" s="14">
        <x:f>IF($B$12&lt;1841,"",$B$13+(1841-1)*($B$14-$B$13)/($B$12-1))</x:f>
      </x:c>
      <x:c r="C1860" s="14">
        <x:f>IF(B1860="","",$F$8*COS(B1860) + $B$7*COS($F$6*B1860))</x:f>
      </x:c>
      <x:c r="D1860" s="14">
        <x:f>IF(B1860="","",$F$8*SIN(B1860) - $B$7*SIN($F$6*B1860))</x:f>
      </x:c>
      <x:c r="E1860" s="14">
        <x:f>IF(B1860="","", C1860 + $F$12*$F$9*(-H1860)/IF(SQRT(G1860^2+H1860^2)=0,1,SQRT(G1860^2+H1860^2)))</x:f>
      </x:c>
      <x:c r="F1860" s="14">
        <x:f>IF(B1860="","", D1860 + $F$12*$F$9*(G1860)/IF(SQRT(G1860^2+H1860^2)=0,1,SQRT(G1860^2+H1860^2)))</x:f>
      </x:c>
      <x:c r="G1860" s="14">
        <x:f>IF(B1860="","", -$F$8*SIN(B1860) - $B$7*$F$6*SIN($F$6*B1860))</x:f>
      </x:c>
      <x:c r="H1860" s="14">
        <x:f>IF(B1860="","", $F$8*COS(B1860) - $B$7*$F$6*COS($F$6*B1860))</x:f>
      </x:c>
    </x:row>
    <x:row r="1861">
      <x:c r="A1861" s="13" t="n">
        <x:v>1842</x:v>
      </x:c>
      <x:c r="B1861" s="14">
        <x:f>IF($B$12&lt;1842,"",$B$13+(1842-1)*($B$14-$B$13)/($B$12-1))</x:f>
      </x:c>
      <x:c r="C1861" s="14">
        <x:f>IF(B1861="","",$F$8*COS(B1861) + $B$7*COS($F$6*B1861))</x:f>
      </x:c>
      <x:c r="D1861" s="14">
        <x:f>IF(B1861="","",$F$8*SIN(B1861) - $B$7*SIN($F$6*B1861))</x:f>
      </x:c>
      <x:c r="E1861" s="14">
        <x:f>IF(B1861="","", C1861 + $F$12*$F$9*(-H1861)/IF(SQRT(G1861^2+H1861^2)=0,1,SQRT(G1861^2+H1861^2)))</x:f>
      </x:c>
      <x:c r="F1861" s="14">
        <x:f>IF(B1861="","", D1861 + $F$12*$F$9*(G1861)/IF(SQRT(G1861^2+H1861^2)=0,1,SQRT(G1861^2+H1861^2)))</x:f>
      </x:c>
      <x:c r="G1861" s="14">
        <x:f>IF(B1861="","", -$F$8*SIN(B1861) - $B$7*$F$6*SIN($F$6*B1861))</x:f>
      </x:c>
      <x:c r="H1861" s="14">
        <x:f>IF(B1861="","", $F$8*COS(B1861) - $B$7*$F$6*COS($F$6*B1861))</x:f>
      </x:c>
    </x:row>
    <x:row r="1862">
      <x:c r="A1862" s="13" t="n">
        <x:v>1843</x:v>
      </x:c>
      <x:c r="B1862" s="14">
        <x:f>IF($B$12&lt;1843,"",$B$13+(1843-1)*($B$14-$B$13)/($B$12-1))</x:f>
      </x:c>
      <x:c r="C1862" s="14">
        <x:f>IF(B1862="","",$F$8*COS(B1862) + $B$7*COS($F$6*B1862))</x:f>
      </x:c>
      <x:c r="D1862" s="14">
        <x:f>IF(B1862="","",$F$8*SIN(B1862) - $B$7*SIN($F$6*B1862))</x:f>
      </x:c>
      <x:c r="E1862" s="14">
        <x:f>IF(B1862="","", C1862 + $F$12*$F$9*(-H1862)/IF(SQRT(G1862^2+H1862^2)=0,1,SQRT(G1862^2+H1862^2)))</x:f>
      </x:c>
      <x:c r="F1862" s="14">
        <x:f>IF(B1862="","", D1862 + $F$12*$F$9*(G1862)/IF(SQRT(G1862^2+H1862^2)=0,1,SQRT(G1862^2+H1862^2)))</x:f>
      </x:c>
      <x:c r="G1862" s="14">
        <x:f>IF(B1862="","", -$F$8*SIN(B1862) - $B$7*$F$6*SIN($F$6*B1862))</x:f>
      </x:c>
      <x:c r="H1862" s="14">
        <x:f>IF(B1862="","", $F$8*COS(B1862) - $B$7*$F$6*COS($F$6*B1862))</x:f>
      </x:c>
    </x:row>
    <x:row r="1863">
      <x:c r="A1863" s="13" t="n">
        <x:v>1844</x:v>
      </x:c>
      <x:c r="B1863" s="14">
        <x:f>IF($B$12&lt;1844,"",$B$13+(1844-1)*($B$14-$B$13)/($B$12-1))</x:f>
      </x:c>
      <x:c r="C1863" s="14">
        <x:f>IF(B1863="","",$F$8*COS(B1863) + $B$7*COS($F$6*B1863))</x:f>
      </x:c>
      <x:c r="D1863" s="14">
        <x:f>IF(B1863="","",$F$8*SIN(B1863) - $B$7*SIN($F$6*B1863))</x:f>
      </x:c>
      <x:c r="E1863" s="14">
        <x:f>IF(B1863="","", C1863 + $F$12*$F$9*(-H1863)/IF(SQRT(G1863^2+H1863^2)=0,1,SQRT(G1863^2+H1863^2)))</x:f>
      </x:c>
      <x:c r="F1863" s="14">
        <x:f>IF(B1863="","", D1863 + $F$12*$F$9*(G1863)/IF(SQRT(G1863^2+H1863^2)=0,1,SQRT(G1863^2+H1863^2)))</x:f>
      </x:c>
      <x:c r="G1863" s="14">
        <x:f>IF(B1863="","", -$F$8*SIN(B1863) - $B$7*$F$6*SIN($F$6*B1863))</x:f>
      </x:c>
      <x:c r="H1863" s="14">
        <x:f>IF(B1863="","", $F$8*COS(B1863) - $B$7*$F$6*COS($F$6*B1863))</x:f>
      </x:c>
    </x:row>
    <x:row r="1864">
      <x:c r="A1864" s="13" t="n">
        <x:v>1845</x:v>
      </x:c>
      <x:c r="B1864" s="14">
        <x:f>IF($B$12&lt;1845,"",$B$13+(1845-1)*($B$14-$B$13)/($B$12-1))</x:f>
      </x:c>
      <x:c r="C1864" s="14">
        <x:f>IF(B1864="","",$F$8*COS(B1864) + $B$7*COS($F$6*B1864))</x:f>
      </x:c>
      <x:c r="D1864" s="14">
        <x:f>IF(B1864="","",$F$8*SIN(B1864) - $B$7*SIN($F$6*B1864))</x:f>
      </x:c>
      <x:c r="E1864" s="14">
        <x:f>IF(B1864="","", C1864 + $F$12*$F$9*(-H1864)/IF(SQRT(G1864^2+H1864^2)=0,1,SQRT(G1864^2+H1864^2)))</x:f>
      </x:c>
      <x:c r="F1864" s="14">
        <x:f>IF(B1864="","", D1864 + $F$12*$F$9*(G1864)/IF(SQRT(G1864^2+H1864^2)=0,1,SQRT(G1864^2+H1864^2)))</x:f>
      </x:c>
      <x:c r="G1864" s="14">
        <x:f>IF(B1864="","", -$F$8*SIN(B1864) - $B$7*$F$6*SIN($F$6*B1864))</x:f>
      </x:c>
      <x:c r="H1864" s="14">
        <x:f>IF(B1864="","", $F$8*COS(B1864) - $B$7*$F$6*COS($F$6*B1864))</x:f>
      </x:c>
    </x:row>
    <x:row r="1865">
      <x:c r="A1865" s="13" t="n">
        <x:v>1846</x:v>
      </x:c>
      <x:c r="B1865" s="14">
        <x:f>IF($B$12&lt;1846,"",$B$13+(1846-1)*($B$14-$B$13)/($B$12-1))</x:f>
      </x:c>
      <x:c r="C1865" s="14">
        <x:f>IF(B1865="","",$F$8*COS(B1865) + $B$7*COS($F$6*B1865))</x:f>
      </x:c>
      <x:c r="D1865" s="14">
        <x:f>IF(B1865="","",$F$8*SIN(B1865) - $B$7*SIN($F$6*B1865))</x:f>
      </x:c>
      <x:c r="E1865" s="14">
        <x:f>IF(B1865="","", C1865 + $F$12*$F$9*(-H1865)/IF(SQRT(G1865^2+H1865^2)=0,1,SQRT(G1865^2+H1865^2)))</x:f>
      </x:c>
      <x:c r="F1865" s="14">
        <x:f>IF(B1865="","", D1865 + $F$12*$F$9*(G1865)/IF(SQRT(G1865^2+H1865^2)=0,1,SQRT(G1865^2+H1865^2)))</x:f>
      </x:c>
      <x:c r="G1865" s="14">
        <x:f>IF(B1865="","", -$F$8*SIN(B1865) - $B$7*$F$6*SIN($F$6*B1865))</x:f>
      </x:c>
      <x:c r="H1865" s="14">
        <x:f>IF(B1865="","", $F$8*COS(B1865) - $B$7*$F$6*COS($F$6*B1865))</x:f>
      </x:c>
    </x:row>
    <x:row r="1866">
      <x:c r="A1866" s="13" t="n">
        <x:v>1847</x:v>
      </x:c>
      <x:c r="B1866" s="14">
        <x:f>IF($B$12&lt;1847,"",$B$13+(1847-1)*($B$14-$B$13)/($B$12-1))</x:f>
      </x:c>
      <x:c r="C1866" s="14">
        <x:f>IF(B1866="","",$F$8*COS(B1866) + $B$7*COS($F$6*B1866))</x:f>
      </x:c>
      <x:c r="D1866" s="14">
        <x:f>IF(B1866="","",$F$8*SIN(B1866) - $B$7*SIN($F$6*B1866))</x:f>
      </x:c>
      <x:c r="E1866" s="14">
        <x:f>IF(B1866="","", C1866 + $F$12*$F$9*(-H1866)/IF(SQRT(G1866^2+H1866^2)=0,1,SQRT(G1866^2+H1866^2)))</x:f>
      </x:c>
      <x:c r="F1866" s="14">
        <x:f>IF(B1866="","", D1866 + $F$12*$F$9*(G1866)/IF(SQRT(G1866^2+H1866^2)=0,1,SQRT(G1866^2+H1866^2)))</x:f>
      </x:c>
      <x:c r="G1866" s="14">
        <x:f>IF(B1866="","", -$F$8*SIN(B1866) - $B$7*$F$6*SIN($F$6*B1866))</x:f>
      </x:c>
      <x:c r="H1866" s="14">
        <x:f>IF(B1866="","", $F$8*COS(B1866) - $B$7*$F$6*COS($F$6*B1866))</x:f>
      </x:c>
    </x:row>
    <x:row r="1867">
      <x:c r="A1867" s="13" t="n">
        <x:v>1848</x:v>
      </x:c>
      <x:c r="B1867" s="14">
        <x:f>IF($B$12&lt;1848,"",$B$13+(1848-1)*($B$14-$B$13)/($B$12-1))</x:f>
      </x:c>
      <x:c r="C1867" s="14">
        <x:f>IF(B1867="","",$F$8*COS(B1867) + $B$7*COS($F$6*B1867))</x:f>
      </x:c>
      <x:c r="D1867" s="14">
        <x:f>IF(B1867="","",$F$8*SIN(B1867) - $B$7*SIN($F$6*B1867))</x:f>
      </x:c>
      <x:c r="E1867" s="14">
        <x:f>IF(B1867="","", C1867 + $F$12*$F$9*(-H1867)/IF(SQRT(G1867^2+H1867^2)=0,1,SQRT(G1867^2+H1867^2)))</x:f>
      </x:c>
      <x:c r="F1867" s="14">
        <x:f>IF(B1867="","", D1867 + $F$12*$F$9*(G1867)/IF(SQRT(G1867^2+H1867^2)=0,1,SQRT(G1867^2+H1867^2)))</x:f>
      </x:c>
      <x:c r="G1867" s="14">
        <x:f>IF(B1867="","", -$F$8*SIN(B1867) - $B$7*$F$6*SIN($F$6*B1867))</x:f>
      </x:c>
      <x:c r="H1867" s="14">
        <x:f>IF(B1867="","", $F$8*COS(B1867) - $B$7*$F$6*COS($F$6*B1867))</x:f>
      </x:c>
    </x:row>
    <x:row r="1868">
      <x:c r="A1868" s="13" t="n">
        <x:v>1849</x:v>
      </x:c>
      <x:c r="B1868" s="14">
        <x:f>IF($B$12&lt;1849,"",$B$13+(1849-1)*($B$14-$B$13)/($B$12-1))</x:f>
      </x:c>
      <x:c r="C1868" s="14">
        <x:f>IF(B1868="","",$F$8*COS(B1868) + $B$7*COS($F$6*B1868))</x:f>
      </x:c>
      <x:c r="D1868" s="14">
        <x:f>IF(B1868="","",$F$8*SIN(B1868) - $B$7*SIN($F$6*B1868))</x:f>
      </x:c>
      <x:c r="E1868" s="14">
        <x:f>IF(B1868="","", C1868 + $F$12*$F$9*(-H1868)/IF(SQRT(G1868^2+H1868^2)=0,1,SQRT(G1868^2+H1868^2)))</x:f>
      </x:c>
      <x:c r="F1868" s="14">
        <x:f>IF(B1868="","", D1868 + $F$12*$F$9*(G1868)/IF(SQRT(G1868^2+H1868^2)=0,1,SQRT(G1868^2+H1868^2)))</x:f>
      </x:c>
      <x:c r="G1868" s="14">
        <x:f>IF(B1868="","", -$F$8*SIN(B1868) - $B$7*$F$6*SIN($F$6*B1868))</x:f>
      </x:c>
      <x:c r="H1868" s="14">
        <x:f>IF(B1868="","", $F$8*COS(B1868) - $B$7*$F$6*COS($F$6*B1868))</x:f>
      </x:c>
    </x:row>
    <x:row r="1869">
      <x:c r="A1869" s="13" t="n">
        <x:v>1850</x:v>
      </x:c>
      <x:c r="B1869" s="14">
        <x:f>IF($B$12&lt;1850,"",$B$13+(1850-1)*($B$14-$B$13)/($B$12-1))</x:f>
      </x:c>
      <x:c r="C1869" s="14">
        <x:f>IF(B1869="","",$F$8*COS(B1869) + $B$7*COS($F$6*B1869))</x:f>
      </x:c>
      <x:c r="D1869" s="14">
        <x:f>IF(B1869="","",$F$8*SIN(B1869) - $B$7*SIN($F$6*B1869))</x:f>
      </x:c>
      <x:c r="E1869" s="14">
        <x:f>IF(B1869="","", C1869 + $F$12*$F$9*(-H1869)/IF(SQRT(G1869^2+H1869^2)=0,1,SQRT(G1869^2+H1869^2)))</x:f>
      </x:c>
      <x:c r="F1869" s="14">
        <x:f>IF(B1869="","", D1869 + $F$12*$F$9*(G1869)/IF(SQRT(G1869^2+H1869^2)=0,1,SQRT(G1869^2+H1869^2)))</x:f>
      </x:c>
      <x:c r="G1869" s="14">
        <x:f>IF(B1869="","", -$F$8*SIN(B1869) - $B$7*$F$6*SIN($F$6*B1869))</x:f>
      </x:c>
      <x:c r="H1869" s="14">
        <x:f>IF(B1869="","", $F$8*COS(B1869) - $B$7*$F$6*COS($F$6*B1869))</x:f>
      </x:c>
    </x:row>
    <x:row r="1870">
      <x:c r="A1870" s="13" t="n">
        <x:v>1851</x:v>
      </x:c>
      <x:c r="B1870" s="14">
        <x:f>IF($B$12&lt;1851,"",$B$13+(1851-1)*($B$14-$B$13)/($B$12-1))</x:f>
      </x:c>
      <x:c r="C1870" s="14">
        <x:f>IF(B1870="","",$F$8*COS(B1870) + $B$7*COS($F$6*B1870))</x:f>
      </x:c>
      <x:c r="D1870" s="14">
        <x:f>IF(B1870="","",$F$8*SIN(B1870) - $B$7*SIN($F$6*B1870))</x:f>
      </x:c>
      <x:c r="E1870" s="14">
        <x:f>IF(B1870="","", C1870 + $F$12*$F$9*(-H1870)/IF(SQRT(G1870^2+H1870^2)=0,1,SQRT(G1870^2+H1870^2)))</x:f>
      </x:c>
      <x:c r="F1870" s="14">
        <x:f>IF(B1870="","", D1870 + $F$12*$F$9*(G1870)/IF(SQRT(G1870^2+H1870^2)=0,1,SQRT(G1870^2+H1870^2)))</x:f>
      </x:c>
      <x:c r="G1870" s="14">
        <x:f>IF(B1870="","", -$F$8*SIN(B1870) - $B$7*$F$6*SIN($F$6*B1870))</x:f>
      </x:c>
      <x:c r="H1870" s="14">
        <x:f>IF(B1870="","", $F$8*COS(B1870) - $B$7*$F$6*COS($F$6*B1870))</x:f>
      </x:c>
    </x:row>
    <x:row r="1871">
      <x:c r="A1871" s="13" t="n">
        <x:v>1852</x:v>
      </x:c>
      <x:c r="B1871" s="14">
        <x:f>IF($B$12&lt;1852,"",$B$13+(1852-1)*($B$14-$B$13)/($B$12-1))</x:f>
      </x:c>
      <x:c r="C1871" s="14">
        <x:f>IF(B1871="","",$F$8*COS(B1871) + $B$7*COS($F$6*B1871))</x:f>
      </x:c>
      <x:c r="D1871" s="14">
        <x:f>IF(B1871="","",$F$8*SIN(B1871) - $B$7*SIN($F$6*B1871))</x:f>
      </x:c>
      <x:c r="E1871" s="14">
        <x:f>IF(B1871="","", C1871 + $F$12*$F$9*(-H1871)/IF(SQRT(G1871^2+H1871^2)=0,1,SQRT(G1871^2+H1871^2)))</x:f>
      </x:c>
      <x:c r="F1871" s="14">
        <x:f>IF(B1871="","", D1871 + $F$12*$F$9*(G1871)/IF(SQRT(G1871^2+H1871^2)=0,1,SQRT(G1871^2+H1871^2)))</x:f>
      </x:c>
      <x:c r="G1871" s="14">
        <x:f>IF(B1871="","", -$F$8*SIN(B1871) - $B$7*$F$6*SIN($F$6*B1871))</x:f>
      </x:c>
      <x:c r="H1871" s="14">
        <x:f>IF(B1871="","", $F$8*COS(B1871) - $B$7*$F$6*COS($F$6*B1871))</x:f>
      </x:c>
    </x:row>
    <x:row r="1872">
      <x:c r="A1872" s="13" t="n">
        <x:v>1853</x:v>
      </x:c>
      <x:c r="B1872" s="14">
        <x:f>IF($B$12&lt;1853,"",$B$13+(1853-1)*($B$14-$B$13)/($B$12-1))</x:f>
      </x:c>
      <x:c r="C1872" s="14">
        <x:f>IF(B1872="","",$F$8*COS(B1872) + $B$7*COS($F$6*B1872))</x:f>
      </x:c>
      <x:c r="D1872" s="14">
        <x:f>IF(B1872="","",$F$8*SIN(B1872) - $B$7*SIN($F$6*B1872))</x:f>
      </x:c>
      <x:c r="E1872" s="14">
        <x:f>IF(B1872="","", C1872 + $F$12*$F$9*(-H1872)/IF(SQRT(G1872^2+H1872^2)=0,1,SQRT(G1872^2+H1872^2)))</x:f>
      </x:c>
      <x:c r="F1872" s="14">
        <x:f>IF(B1872="","", D1872 + $F$12*$F$9*(G1872)/IF(SQRT(G1872^2+H1872^2)=0,1,SQRT(G1872^2+H1872^2)))</x:f>
      </x:c>
      <x:c r="G1872" s="14">
        <x:f>IF(B1872="","", -$F$8*SIN(B1872) - $B$7*$F$6*SIN($F$6*B1872))</x:f>
      </x:c>
      <x:c r="H1872" s="14">
        <x:f>IF(B1872="","", $F$8*COS(B1872) - $B$7*$F$6*COS($F$6*B1872))</x:f>
      </x:c>
    </x:row>
    <x:row r="1873">
      <x:c r="A1873" s="13" t="n">
        <x:v>1854</x:v>
      </x:c>
      <x:c r="B1873" s="14">
        <x:f>IF($B$12&lt;1854,"",$B$13+(1854-1)*($B$14-$B$13)/($B$12-1))</x:f>
      </x:c>
      <x:c r="C1873" s="14">
        <x:f>IF(B1873="","",$F$8*COS(B1873) + $B$7*COS($F$6*B1873))</x:f>
      </x:c>
      <x:c r="D1873" s="14">
        <x:f>IF(B1873="","",$F$8*SIN(B1873) - $B$7*SIN($F$6*B1873))</x:f>
      </x:c>
      <x:c r="E1873" s="14">
        <x:f>IF(B1873="","", C1873 + $F$12*$F$9*(-H1873)/IF(SQRT(G1873^2+H1873^2)=0,1,SQRT(G1873^2+H1873^2)))</x:f>
      </x:c>
      <x:c r="F1873" s="14">
        <x:f>IF(B1873="","", D1873 + $F$12*$F$9*(G1873)/IF(SQRT(G1873^2+H1873^2)=0,1,SQRT(G1873^2+H1873^2)))</x:f>
      </x:c>
      <x:c r="G1873" s="14">
        <x:f>IF(B1873="","", -$F$8*SIN(B1873) - $B$7*$F$6*SIN($F$6*B1873))</x:f>
      </x:c>
      <x:c r="H1873" s="14">
        <x:f>IF(B1873="","", $F$8*COS(B1873) - $B$7*$F$6*COS($F$6*B1873))</x:f>
      </x:c>
    </x:row>
    <x:row r="1874">
      <x:c r="A1874" s="13" t="n">
        <x:v>1855</x:v>
      </x:c>
      <x:c r="B1874" s="14">
        <x:f>IF($B$12&lt;1855,"",$B$13+(1855-1)*($B$14-$B$13)/($B$12-1))</x:f>
      </x:c>
      <x:c r="C1874" s="14">
        <x:f>IF(B1874="","",$F$8*COS(B1874) + $B$7*COS($F$6*B1874))</x:f>
      </x:c>
      <x:c r="D1874" s="14">
        <x:f>IF(B1874="","",$F$8*SIN(B1874) - $B$7*SIN($F$6*B1874))</x:f>
      </x:c>
      <x:c r="E1874" s="14">
        <x:f>IF(B1874="","", C1874 + $F$12*$F$9*(-H1874)/IF(SQRT(G1874^2+H1874^2)=0,1,SQRT(G1874^2+H1874^2)))</x:f>
      </x:c>
      <x:c r="F1874" s="14">
        <x:f>IF(B1874="","", D1874 + $F$12*$F$9*(G1874)/IF(SQRT(G1874^2+H1874^2)=0,1,SQRT(G1874^2+H1874^2)))</x:f>
      </x:c>
      <x:c r="G1874" s="14">
        <x:f>IF(B1874="","", -$F$8*SIN(B1874) - $B$7*$F$6*SIN($F$6*B1874))</x:f>
      </x:c>
      <x:c r="H1874" s="14">
        <x:f>IF(B1874="","", $F$8*COS(B1874) - $B$7*$F$6*COS($F$6*B1874))</x:f>
      </x:c>
    </x:row>
    <x:row r="1875">
      <x:c r="A1875" s="13" t="n">
        <x:v>1856</x:v>
      </x:c>
      <x:c r="B1875" s="14">
        <x:f>IF($B$12&lt;1856,"",$B$13+(1856-1)*($B$14-$B$13)/($B$12-1))</x:f>
      </x:c>
      <x:c r="C1875" s="14">
        <x:f>IF(B1875="","",$F$8*COS(B1875) + $B$7*COS($F$6*B1875))</x:f>
      </x:c>
      <x:c r="D1875" s="14">
        <x:f>IF(B1875="","",$F$8*SIN(B1875) - $B$7*SIN($F$6*B1875))</x:f>
      </x:c>
      <x:c r="E1875" s="14">
        <x:f>IF(B1875="","", C1875 + $F$12*$F$9*(-H1875)/IF(SQRT(G1875^2+H1875^2)=0,1,SQRT(G1875^2+H1875^2)))</x:f>
      </x:c>
      <x:c r="F1875" s="14">
        <x:f>IF(B1875="","", D1875 + $F$12*$F$9*(G1875)/IF(SQRT(G1875^2+H1875^2)=0,1,SQRT(G1875^2+H1875^2)))</x:f>
      </x:c>
      <x:c r="G1875" s="14">
        <x:f>IF(B1875="","", -$F$8*SIN(B1875) - $B$7*$F$6*SIN($F$6*B1875))</x:f>
      </x:c>
      <x:c r="H1875" s="14">
        <x:f>IF(B1875="","", $F$8*COS(B1875) - $B$7*$F$6*COS($F$6*B1875))</x:f>
      </x:c>
    </x:row>
    <x:row r="1876">
      <x:c r="A1876" s="13" t="n">
        <x:v>1857</x:v>
      </x:c>
      <x:c r="B1876" s="14">
        <x:f>IF($B$12&lt;1857,"",$B$13+(1857-1)*($B$14-$B$13)/($B$12-1))</x:f>
      </x:c>
      <x:c r="C1876" s="14">
        <x:f>IF(B1876="","",$F$8*COS(B1876) + $B$7*COS($F$6*B1876))</x:f>
      </x:c>
      <x:c r="D1876" s="14">
        <x:f>IF(B1876="","",$F$8*SIN(B1876) - $B$7*SIN($F$6*B1876))</x:f>
      </x:c>
      <x:c r="E1876" s="14">
        <x:f>IF(B1876="","", C1876 + $F$12*$F$9*(-H1876)/IF(SQRT(G1876^2+H1876^2)=0,1,SQRT(G1876^2+H1876^2)))</x:f>
      </x:c>
      <x:c r="F1876" s="14">
        <x:f>IF(B1876="","", D1876 + $F$12*$F$9*(G1876)/IF(SQRT(G1876^2+H1876^2)=0,1,SQRT(G1876^2+H1876^2)))</x:f>
      </x:c>
      <x:c r="G1876" s="14">
        <x:f>IF(B1876="","", -$F$8*SIN(B1876) - $B$7*$F$6*SIN($F$6*B1876))</x:f>
      </x:c>
      <x:c r="H1876" s="14">
        <x:f>IF(B1876="","", $F$8*COS(B1876) - $B$7*$F$6*COS($F$6*B1876))</x:f>
      </x:c>
    </x:row>
    <x:row r="1877">
      <x:c r="A1877" s="13" t="n">
        <x:v>1858</x:v>
      </x:c>
      <x:c r="B1877" s="14">
        <x:f>IF($B$12&lt;1858,"",$B$13+(1858-1)*($B$14-$B$13)/($B$12-1))</x:f>
      </x:c>
      <x:c r="C1877" s="14">
        <x:f>IF(B1877="","",$F$8*COS(B1877) + $B$7*COS($F$6*B1877))</x:f>
      </x:c>
      <x:c r="D1877" s="14">
        <x:f>IF(B1877="","",$F$8*SIN(B1877) - $B$7*SIN($F$6*B1877))</x:f>
      </x:c>
      <x:c r="E1877" s="14">
        <x:f>IF(B1877="","", C1877 + $F$12*$F$9*(-H1877)/IF(SQRT(G1877^2+H1877^2)=0,1,SQRT(G1877^2+H1877^2)))</x:f>
      </x:c>
      <x:c r="F1877" s="14">
        <x:f>IF(B1877="","", D1877 + $F$12*$F$9*(G1877)/IF(SQRT(G1877^2+H1877^2)=0,1,SQRT(G1877^2+H1877^2)))</x:f>
      </x:c>
      <x:c r="G1877" s="14">
        <x:f>IF(B1877="","", -$F$8*SIN(B1877) - $B$7*$F$6*SIN($F$6*B1877))</x:f>
      </x:c>
      <x:c r="H1877" s="14">
        <x:f>IF(B1877="","", $F$8*COS(B1877) - $B$7*$F$6*COS($F$6*B1877))</x:f>
      </x:c>
    </x:row>
    <x:row r="1878">
      <x:c r="A1878" s="13" t="n">
        <x:v>1859</x:v>
      </x:c>
      <x:c r="B1878" s="14">
        <x:f>IF($B$12&lt;1859,"",$B$13+(1859-1)*($B$14-$B$13)/($B$12-1))</x:f>
      </x:c>
      <x:c r="C1878" s="14">
        <x:f>IF(B1878="","",$F$8*COS(B1878) + $B$7*COS($F$6*B1878))</x:f>
      </x:c>
      <x:c r="D1878" s="14">
        <x:f>IF(B1878="","",$F$8*SIN(B1878) - $B$7*SIN($F$6*B1878))</x:f>
      </x:c>
      <x:c r="E1878" s="14">
        <x:f>IF(B1878="","", C1878 + $F$12*$F$9*(-H1878)/IF(SQRT(G1878^2+H1878^2)=0,1,SQRT(G1878^2+H1878^2)))</x:f>
      </x:c>
      <x:c r="F1878" s="14">
        <x:f>IF(B1878="","", D1878 + $F$12*$F$9*(G1878)/IF(SQRT(G1878^2+H1878^2)=0,1,SQRT(G1878^2+H1878^2)))</x:f>
      </x:c>
      <x:c r="G1878" s="14">
        <x:f>IF(B1878="","", -$F$8*SIN(B1878) - $B$7*$F$6*SIN($F$6*B1878))</x:f>
      </x:c>
      <x:c r="H1878" s="14">
        <x:f>IF(B1878="","", $F$8*COS(B1878) - $B$7*$F$6*COS($F$6*B1878))</x:f>
      </x:c>
    </x:row>
    <x:row r="1879">
      <x:c r="A1879" s="13" t="n">
        <x:v>1860</x:v>
      </x:c>
      <x:c r="B1879" s="14">
        <x:f>IF($B$12&lt;1860,"",$B$13+(1860-1)*($B$14-$B$13)/($B$12-1))</x:f>
      </x:c>
      <x:c r="C1879" s="14">
        <x:f>IF(B1879="","",$F$8*COS(B1879) + $B$7*COS($F$6*B1879))</x:f>
      </x:c>
      <x:c r="D1879" s="14">
        <x:f>IF(B1879="","",$F$8*SIN(B1879) - $B$7*SIN($F$6*B1879))</x:f>
      </x:c>
      <x:c r="E1879" s="14">
        <x:f>IF(B1879="","", C1879 + $F$12*$F$9*(-H1879)/IF(SQRT(G1879^2+H1879^2)=0,1,SQRT(G1879^2+H1879^2)))</x:f>
      </x:c>
      <x:c r="F1879" s="14">
        <x:f>IF(B1879="","", D1879 + $F$12*$F$9*(G1879)/IF(SQRT(G1879^2+H1879^2)=0,1,SQRT(G1879^2+H1879^2)))</x:f>
      </x:c>
      <x:c r="G1879" s="14">
        <x:f>IF(B1879="","", -$F$8*SIN(B1879) - $B$7*$F$6*SIN($F$6*B1879))</x:f>
      </x:c>
      <x:c r="H1879" s="14">
        <x:f>IF(B1879="","", $F$8*COS(B1879) - $B$7*$F$6*COS($F$6*B1879))</x:f>
      </x:c>
    </x:row>
    <x:row r="1880">
      <x:c r="A1880" s="13" t="n">
        <x:v>1861</x:v>
      </x:c>
      <x:c r="B1880" s="14">
        <x:f>IF($B$12&lt;1861,"",$B$13+(1861-1)*($B$14-$B$13)/($B$12-1))</x:f>
      </x:c>
      <x:c r="C1880" s="14">
        <x:f>IF(B1880="","",$F$8*COS(B1880) + $B$7*COS($F$6*B1880))</x:f>
      </x:c>
      <x:c r="D1880" s="14">
        <x:f>IF(B1880="","",$F$8*SIN(B1880) - $B$7*SIN($F$6*B1880))</x:f>
      </x:c>
      <x:c r="E1880" s="14">
        <x:f>IF(B1880="","", C1880 + $F$12*$F$9*(-H1880)/IF(SQRT(G1880^2+H1880^2)=0,1,SQRT(G1880^2+H1880^2)))</x:f>
      </x:c>
      <x:c r="F1880" s="14">
        <x:f>IF(B1880="","", D1880 + $F$12*$F$9*(G1880)/IF(SQRT(G1880^2+H1880^2)=0,1,SQRT(G1880^2+H1880^2)))</x:f>
      </x:c>
      <x:c r="G1880" s="14">
        <x:f>IF(B1880="","", -$F$8*SIN(B1880) - $B$7*$F$6*SIN($F$6*B1880))</x:f>
      </x:c>
      <x:c r="H1880" s="14">
        <x:f>IF(B1880="","", $F$8*COS(B1880) - $B$7*$F$6*COS($F$6*B1880))</x:f>
      </x:c>
    </x:row>
    <x:row r="1881">
      <x:c r="A1881" s="13" t="n">
        <x:v>1862</x:v>
      </x:c>
      <x:c r="B1881" s="14">
        <x:f>IF($B$12&lt;1862,"",$B$13+(1862-1)*($B$14-$B$13)/($B$12-1))</x:f>
      </x:c>
      <x:c r="C1881" s="14">
        <x:f>IF(B1881="","",$F$8*COS(B1881) + $B$7*COS($F$6*B1881))</x:f>
      </x:c>
      <x:c r="D1881" s="14">
        <x:f>IF(B1881="","",$F$8*SIN(B1881) - $B$7*SIN($F$6*B1881))</x:f>
      </x:c>
      <x:c r="E1881" s="14">
        <x:f>IF(B1881="","", C1881 + $F$12*$F$9*(-H1881)/IF(SQRT(G1881^2+H1881^2)=0,1,SQRT(G1881^2+H1881^2)))</x:f>
      </x:c>
      <x:c r="F1881" s="14">
        <x:f>IF(B1881="","", D1881 + $F$12*$F$9*(G1881)/IF(SQRT(G1881^2+H1881^2)=0,1,SQRT(G1881^2+H1881^2)))</x:f>
      </x:c>
      <x:c r="G1881" s="14">
        <x:f>IF(B1881="","", -$F$8*SIN(B1881) - $B$7*$F$6*SIN($F$6*B1881))</x:f>
      </x:c>
      <x:c r="H1881" s="14">
        <x:f>IF(B1881="","", $F$8*COS(B1881) - $B$7*$F$6*COS($F$6*B1881))</x:f>
      </x:c>
    </x:row>
    <x:row r="1882">
      <x:c r="A1882" s="13" t="n">
        <x:v>1863</x:v>
      </x:c>
      <x:c r="B1882" s="14">
        <x:f>IF($B$12&lt;1863,"",$B$13+(1863-1)*($B$14-$B$13)/($B$12-1))</x:f>
      </x:c>
      <x:c r="C1882" s="14">
        <x:f>IF(B1882="","",$F$8*COS(B1882) + $B$7*COS($F$6*B1882))</x:f>
      </x:c>
      <x:c r="D1882" s="14">
        <x:f>IF(B1882="","",$F$8*SIN(B1882) - $B$7*SIN($F$6*B1882))</x:f>
      </x:c>
      <x:c r="E1882" s="14">
        <x:f>IF(B1882="","", C1882 + $F$12*$F$9*(-H1882)/IF(SQRT(G1882^2+H1882^2)=0,1,SQRT(G1882^2+H1882^2)))</x:f>
      </x:c>
      <x:c r="F1882" s="14">
        <x:f>IF(B1882="","", D1882 + $F$12*$F$9*(G1882)/IF(SQRT(G1882^2+H1882^2)=0,1,SQRT(G1882^2+H1882^2)))</x:f>
      </x:c>
      <x:c r="G1882" s="14">
        <x:f>IF(B1882="","", -$F$8*SIN(B1882) - $B$7*$F$6*SIN($F$6*B1882))</x:f>
      </x:c>
      <x:c r="H1882" s="14">
        <x:f>IF(B1882="","", $F$8*COS(B1882) - $B$7*$F$6*COS($F$6*B1882))</x:f>
      </x:c>
    </x:row>
    <x:row r="1883">
      <x:c r="A1883" s="13" t="n">
        <x:v>1864</x:v>
      </x:c>
      <x:c r="B1883" s="14">
        <x:f>IF($B$12&lt;1864,"",$B$13+(1864-1)*($B$14-$B$13)/($B$12-1))</x:f>
      </x:c>
      <x:c r="C1883" s="14">
        <x:f>IF(B1883="","",$F$8*COS(B1883) + $B$7*COS($F$6*B1883))</x:f>
      </x:c>
      <x:c r="D1883" s="14">
        <x:f>IF(B1883="","",$F$8*SIN(B1883) - $B$7*SIN($F$6*B1883))</x:f>
      </x:c>
      <x:c r="E1883" s="14">
        <x:f>IF(B1883="","", C1883 + $F$12*$F$9*(-H1883)/IF(SQRT(G1883^2+H1883^2)=0,1,SQRT(G1883^2+H1883^2)))</x:f>
      </x:c>
      <x:c r="F1883" s="14">
        <x:f>IF(B1883="","", D1883 + $F$12*$F$9*(G1883)/IF(SQRT(G1883^2+H1883^2)=0,1,SQRT(G1883^2+H1883^2)))</x:f>
      </x:c>
      <x:c r="G1883" s="14">
        <x:f>IF(B1883="","", -$F$8*SIN(B1883) - $B$7*$F$6*SIN($F$6*B1883))</x:f>
      </x:c>
      <x:c r="H1883" s="14">
        <x:f>IF(B1883="","", $F$8*COS(B1883) - $B$7*$F$6*COS($F$6*B1883))</x:f>
      </x:c>
    </x:row>
    <x:row r="1884">
      <x:c r="A1884" s="13" t="n">
        <x:v>1865</x:v>
      </x:c>
      <x:c r="B1884" s="14">
        <x:f>IF($B$12&lt;1865,"",$B$13+(1865-1)*($B$14-$B$13)/($B$12-1))</x:f>
      </x:c>
      <x:c r="C1884" s="14">
        <x:f>IF(B1884="","",$F$8*COS(B1884) + $B$7*COS($F$6*B1884))</x:f>
      </x:c>
      <x:c r="D1884" s="14">
        <x:f>IF(B1884="","",$F$8*SIN(B1884) - $B$7*SIN($F$6*B1884))</x:f>
      </x:c>
      <x:c r="E1884" s="14">
        <x:f>IF(B1884="","", C1884 + $F$12*$F$9*(-H1884)/IF(SQRT(G1884^2+H1884^2)=0,1,SQRT(G1884^2+H1884^2)))</x:f>
      </x:c>
      <x:c r="F1884" s="14">
        <x:f>IF(B1884="","", D1884 + $F$12*$F$9*(G1884)/IF(SQRT(G1884^2+H1884^2)=0,1,SQRT(G1884^2+H1884^2)))</x:f>
      </x:c>
      <x:c r="G1884" s="14">
        <x:f>IF(B1884="","", -$F$8*SIN(B1884) - $B$7*$F$6*SIN($F$6*B1884))</x:f>
      </x:c>
      <x:c r="H1884" s="14">
        <x:f>IF(B1884="","", $F$8*COS(B1884) - $B$7*$F$6*COS($F$6*B1884))</x:f>
      </x:c>
    </x:row>
    <x:row r="1885">
      <x:c r="A1885" s="13" t="n">
        <x:v>1866</x:v>
      </x:c>
      <x:c r="B1885" s="14">
        <x:f>IF($B$12&lt;1866,"",$B$13+(1866-1)*($B$14-$B$13)/($B$12-1))</x:f>
      </x:c>
      <x:c r="C1885" s="14">
        <x:f>IF(B1885="","",$F$8*COS(B1885) + $B$7*COS($F$6*B1885))</x:f>
      </x:c>
      <x:c r="D1885" s="14">
        <x:f>IF(B1885="","",$F$8*SIN(B1885) - $B$7*SIN($F$6*B1885))</x:f>
      </x:c>
      <x:c r="E1885" s="14">
        <x:f>IF(B1885="","", C1885 + $F$12*$F$9*(-H1885)/IF(SQRT(G1885^2+H1885^2)=0,1,SQRT(G1885^2+H1885^2)))</x:f>
      </x:c>
      <x:c r="F1885" s="14">
        <x:f>IF(B1885="","", D1885 + $F$12*$F$9*(G1885)/IF(SQRT(G1885^2+H1885^2)=0,1,SQRT(G1885^2+H1885^2)))</x:f>
      </x:c>
      <x:c r="G1885" s="14">
        <x:f>IF(B1885="","", -$F$8*SIN(B1885) - $B$7*$F$6*SIN($F$6*B1885))</x:f>
      </x:c>
      <x:c r="H1885" s="14">
        <x:f>IF(B1885="","", $F$8*COS(B1885) - $B$7*$F$6*COS($F$6*B1885))</x:f>
      </x:c>
    </x:row>
    <x:row r="1886">
      <x:c r="A1886" s="13" t="n">
        <x:v>1867</x:v>
      </x:c>
      <x:c r="B1886" s="14">
        <x:f>IF($B$12&lt;1867,"",$B$13+(1867-1)*($B$14-$B$13)/($B$12-1))</x:f>
      </x:c>
      <x:c r="C1886" s="14">
        <x:f>IF(B1886="","",$F$8*COS(B1886) + $B$7*COS($F$6*B1886))</x:f>
      </x:c>
      <x:c r="D1886" s="14">
        <x:f>IF(B1886="","",$F$8*SIN(B1886) - $B$7*SIN($F$6*B1886))</x:f>
      </x:c>
      <x:c r="E1886" s="14">
        <x:f>IF(B1886="","", C1886 + $F$12*$F$9*(-H1886)/IF(SQRT(G1886^2+H1886^2)=0,1,SQRT(G1886^2+H1886^2)))</x:f>
      </x:c>
      <x:c r="F1886" s="14">
        <x:f>IF(B1886="","", D1886 + $F$12*$F$9*(G1886)/IF(SQRT(G1886^2+H1886^2)=0,1,SQRT(G1886^2+H1886^2)))</x:f>
      </x:c>
      <x:c r="G1886" s="14">
        <x:f>IF(B1886="","", -$F$8*SIN(B1886) - $B$7*$F$6*SIN($F$6*B1886))</x:f>
      </x:c>
      <x:c r="H1886" s="14">
        <x:f>IF(B1886="","", $F$8*COS(B1886) - $B$7*$F$6*COS($F$6*B1886))</x:f>
      </x:c>
    </x:row>
    <x:row r="1887">
      <x:c r="A1887" s="13" t="n">
        <x:v>1868</x:v>
      </x:c>
      <x:c r="B1887" s="14">
        <x:f>IF($B$12&lt;1868,"",$B$13+(1868-1)*($B$14-$B$13)/($B$12-1))</x:f>
      </x:c>
      <x:c r="C1887" s="14">
        <x:f>IF(B1887="","",$F$8*COS(B1887) + $B$7*COS($F$6*B1887))</x:f>
      </x:c>
      <x:c r="D1887" s="14">
        <x:f>IF(B1887="","",$F$8*SIN(B1887) - $B$7*SIN($F$6*B1887))</x:f>
      </x:c>
      <x:c r="E1887" s="14">
        <x:f>IF(B1887="","", C1887 + $F$12*$F$9*(-H1887)/IF(SQRT(G1887^2+H1887^2)=0,1,SQRT(G1887^2+H1887^2)))</x:f>
      </x:c>
      <x:c r="F1887" s="14">
        <x:f>IF(B1887="","", D1887 + $F$12*$F$9*(G1887)/IF(SQRT(G1887^2+H1887^2)=0,1,SQRT(G1887^2+H1887^2)))</x:f>
      </x:c>
      <x:c r="G1887" s="14">
        <x:f>IF(B1887="","", -$F$8*SIN(B1887) - $B$7*$F$6*SIN($F$6*B1887))</x:f>
      </x:c>
      <x:c r="H1887" s="14">
        <x:f>IF(B1887="","", $F$8*COS(B1887) - $B$7*$F$6*COS($F$6*B1887))</x:f>
      </x:c>
    </x:row>
    <x:row r="1888">
      <x:c r="A1888" s="13" t="n">
        <x:v>1869</x:v>
      </x:c>
      <x:c r="B1888" s="14">
        <x:f>IF($B$12&lt;1869,"",$B$13+(1869-1)*($B$14-$B$13)/($B$12-1))</x:f>
      </x:c>
      <x:c r="C1888" s="14">
        <x:f>IF(B1888="","",$F$8*COS(B1888) + $B$7*COS($F$6*B1888))</x:f>
      </x:c>
      <x:c r="D1888" s="14">
        <x:f>IF(B1888="","",$F$8*SIN(B1888) - $B$7*SIN($F$6*B1888))</x:f>
      </x:c>
      <x:c r="E1888" s="14">
        <x:f>IF(B1888="","", C1888 + $F$12*$F$9*(-H1888)/IF(SQRT(G1888^2+H1888^2)=0,1,SQRT(G1888^2+H1888^2)))</x:f>
      </x:c>
      <x:c r="F1888" s="14">
        <x:f>IF(B1888="","", D1888 + $F$12*$F$9*(G1888)/IF(SQRT(G1888^2+H1888^2)=0,1,SQRT(G1888^2+H1888^2)))</x:f>
      </x:c>
      <x:c r="G1888" s="14">
        <x:f>IF(B1888="","", -$F$8*SIN(B1888) - $B$7*$F$6*SIN($F$6*B1888))</x:f>
      </x:c>
      <x:c r="H1888" s="14">
        <x:f>IF(B1888="","", $F$8*COS(B1888) - $B$7*$F$6*COS($F$6*B1888))</x:f>
      </x:c>
    </x:row>
    <x:row r="1889">
      <x:c r="A1889" s="13" t="n">
        <x:v>1870</x:v>
      </x:c>
      <x:c r="B1889" s="14">
        <x:f>IF($B$12&lt;1870,"",$B$13+(1870-1)*($B$14-$B$13)/($B$12-1))</x:f>
      </x:c>
      <x:c r="C1889" s="14">
        <x:f>IF(B1889="","",$F$8*COS(B1889) + $B$7*COS($F$6*B1889))</x:f>
      </x:c>
      <x:c r="D1889" s="14">
        <x:f>IF(B1889="","",$F$8*SIN(B1889) - $B$7*SIN($F$6*B1889))</x:f>
      </x:c>
      <x:c r="E1889" s="14">
        <x:f>IF(B1889="","", C1889 + $F$12*$F$9*(-H1889)/IF(SQRT(G1889^2+H1889^2)=0,1,SQRT(G1889^2+H1889^2)))</x:f>
      </x:c>
      <x:c r="F1889" s="14">
        <x:f>IF(B1889="","", D1889 + $F$12*$F$9*(G1889)/IF(SQRT(G1889^2+H1889^2)=0,1,SQRT(G1889^2+H1889^2)))</x:f>
      </x:c>
      <x:c r="G1889" s="14">
        <x:f>IF(B1889="","", -$F$8*SIN(B1889) - $B$7*$F$6*SIN($F$6*B1889))</x:f>
      </x:c>
      <x:c r="H1889" s="14">
        <x:f>IF(B1889="","", $F$8*COS(B1889) - $B$7*$F$6*COS($F$6*B1889))</x:f>
      </x:c>
    </x:row>
    <x:row r="1890">
      <x:c r="A1890" s="13" t="n">
        <x:v>1871</x:v>
      </x:c>
      <x:c r="B1890" s="14">
        <x:f>IF($B$12&lt;1871,"",$B$13+(1871-1)*($B$14-$B$13)/($B$12-1))</x:f>
      </x:c>
      <x:c r="C1890" s="14">
        <x:f>IF(B1890="","",$F$8*COS(B1890) + $B$7*COS($F$6*B1890))</x:f>
      </x:c>
      <x:c r="D1890" s="14">
        <x:f>IF(B1890="","",$F$8*SIN(B1890) - $B$7*SIN($F$6*B1890))</x:f>
      </x:c>
      <x:c r="E1890" s="14">
        <x:f>IF(B1890="","", C1890 + $F$12*$F$9*(-H1890)/IF(SQRT(G1890^2+H1890^2)=0,1,SQRT(G1890^2+H1890^2)))</x:f>
      </x:c>
      <x:c r="F1890" s="14">
        <x:f>IF(B1890="","", D1890 + $F$12*$F$9*(G1890)/IF(SQRT(G1890^2+H1890^2)=0,1,SQRT(G1890^2+H1890^2)))</x:f>
      </x:c>
      <x:c r="G1890" s="14">
        <x:f>IF(B1890="","", -$F$8*SIN(B1890) - $B$7*$F$6*SIN($F$6*B1890))</x:f>
      </x:c>
      <x:c r="H1890" s="14">
        <x:f>IF(B1890="","", $F$8*COS(B1890) - $B$7*$F$6*COS($F$6*B1890))</x:f>
      </x:c>
    </x:row>
    <x:row r="1891">
      <x:c r="A1891" s="13" t="n">
        <x:v>1872</x:v>
      </x:c>
      <x:c r="B1891" s="14">
        <x:f>IF($B$12&lt;1872,"",$B$13+(1872-1)*($B$14-$B$13)/($B$12-1))</x:f>
      </x:c>
      <x:c r="C1891" s="14">
        <x:f>IF(B1891="","",$F$8*COS(B1891) + $B$7*COS($F$6*B1891))</x:f>
      </x:c>
      <x:c r="D1891" s="14">
        <x:f>IF(B1891="","",$F$8*SIN(B1891) - $B$7*SIN($F$6*B1891))</x:f>
      </x:c>
      <x:c r="E1891" s="14">
        <x:f>IF(B1891="","", C1891 + $F$12*$F$9*(-H1891)/IF(SQRT(G1891^2+H1891^2)=0,1,SQRT(G1891^2+H1891^2)))</x:f>
      </x:c>
      <x:c r="F1891" s="14">
        <x:f>IF(B1891="","", D1891 + $F$12*$F$9*(G1891)/IF(SQRT(G1891^2+H1891^2)=0,1,SQRT(G1891^2+H1891^2)))</x:f>
      </x:c>
      <x:c r="G1891" s="14">
        <x:f>IF(B1891="","", -$F$8*SIN(B1891) - $B$7*$F$6*SIN($F$6*B1891))</x:f>
      </x:c>
      <x:c r="H1891" s="14">
        <x:f>IF(B1891="","", $F$8*COS(B1891) - $B$7*$F$6*COS($F$6*B1891))</x:f>
      </x:c>
    </x:row>
    <x:row r="1892">
      <x:c r="A1892" s="13" t="n">
        <x:v>1873</x:v>
      </x:c>
      <x:c r="B1892" s="14">
        <x:f>IF($B$12&lt;1873,"",$B$13+(1873-1)*($B$14-$B$13)/($B$12-1))</x:f>
      </x:c>
      <x:c r="C1892" s="14">
        <x:f>IF(B1892="","",$F$8*COS(B1892) + $B$7*COS($F$6*B1892))</x:f>
      </x:c>
      <x:c r="D1892" s="14">
        <x:f>IF(B1892="","",$F$8*SIN(B1892) - $B$7*SIN($F$6*B1892))</x:f>
      </x:c>
      <x:c r="E1892" s="14">
        <x:f>IF(B1892="","", C1892 + $F$12*$F$9*(-H1892)/IF(SQRT(G1892^2+H1892^2)=0,1,SQRT(G1892^2+H1892^2)))</x:f>
      </x:c>
      <x:c r="F1892" s="14">
        <x:f>IF(B1892="","", D1892 + $F$12*$F$9*(G1892)/IF(SQRT(G1892^2+H1892^2)=0,1,SQRT(G1892^2+H1892^2)))</x:f>
      </x:c>
      <x:c r="G1892" s="14">
        <x:f>IF(B1892="","", -$F$8*SIN(B1892) - $B$7*$F$6*SIN($F$6*B1892))</x:f>
      </x:c>
      <x:c r="H1892" s="14">
        <x:f>IF(B1892="","", $F$8*COS(B1892) - $B$7*$F$6*COS($F$6*B1892))</x:f>
      </x:c>
    </x:row>
    <x:row r="1893">
      <x:c r="A1893" s="13" t="n">
        <x:v>1874</x:v>
      </x:c>
      <x:c r="B1893" s="14">
        <x:f>IF($B$12&lt;1874,"",$B$13+(1874-1)*($B$14-$B$13)/($B$12-1))</x:f>
      </x:c>
      <x:c r="C1893" s="14">
        <x:f>IF(B1893="","",$F$8*COS(B1893) + $B$7*COS($F$6*B1893))</x:f>
      </x:c>
      <x:c r="D1893" s="14">
        <x:f>IF(B1893="","",$F$8*SIN(B1893) - $B$7*SIN($F$6*B1893))</x:f>
      </x:c>
      <x:c r="E1893" s="14">
        <x:f>IF(B1893="","", C1893 + $F$12*$F$9*(-H1893)/IF(SQRT(G1893^2+H1893^2)=0,1,SQRT(G1893^2+H1893^2)))</x:f>
      </x:c>
      <x:c r="F1893" s="14">
        <x:f>IF(B1893="","", D1893 + $F$12*$F$9*(G1893)/IF(SQRT(G1893^2+H1893^2)=0,1,SQRT(G1893^2+H1893^2)))</x:f>
      </x:c>
      <x:c r="G1893" s="14">
        <x:f>IF(B1893="","", -$F$8*SIN(B1893) - $B$7*$F$6*SIN($F$6*B1893))</x:f>
      </x:c>
      <x:c r="H1893" s="14">
        <x:f>IF(B1893="","", $F$8*COS(B1893) - $B$7*$F$6*COS($F$6*B1893))</x:f>
      </x:c>
    </x:row>
    <x:row r="1894">
      <x:c r="A1894" s="13" t="n">
        <x:v>1875</x:v>
      </x:c>
      <x:c r="B1894" s="14">
        <x:f>IF($B$12&lt;1875,"",$B$13+(1875-1)*($B$14-$B$13)/($B$12-1))</x:f>
      </x:c>
      <x:c r="C1894" s="14">
        <x:f>IF(B1894="","",$F$8*COS(B1894) + $B$7*COS($F$6*B1894))</x:f>
      </x:c>
      <x:c r="D1894" s="14">
        <x:f>IF(B1894="","",$F$8*SIN(B1894) - $B$7*SIN($F$6*B1894))</x:f>
      </x:c>
      <x:c r="E1894" s="14">
        <x:f>IF(B1894="","", C1894 + $F$12*$F$9*(-H1894)/IF(SQRT(G1894^2+H1894^2)=0,1,SQRT(G1894^2+H1894^2)))</x:f>
      </x:c>
      <x:c r="F1894" s="14">
        <x:f>IF(B1894="","", D1894 + $F$12*$F$9*(G1894)/IF(SQRT(G1894^2+H1894^2)=0,1,SQRT(G1894^2+H1894^2)))</x:f>
      </x:c>
      <x:c r="G1894" s="14">
        <x:f>IF(B1894="","", -$F$8*SIN(B1894) - $B$7*$F$6*SIN($F$6*B1894))</x:f>
      </x:c>
      <x:c r="H1894" s="14">
        <x:f>IF(B1894="","", $F$8*COS(B1894) - $B$7*$F$6*COS($F$6*B1894))</x:f>
      </x:c>
    </x:row>
    <x:row r="1895">
      <x:c r="A1895" s="13" t="n">
        <x:v>1876</x:v>
      </x:c>
      <x:c r="B1895" s="14">
        <x:f>IF($B$12&lt;1876,"",$B$13+(1876-1)*($B$14-$B$13)/($B$12-1))</x:f>
      </x:c>
      <x:c r="C1895" s="14">
        <x:f>IF(B1895="","",$F$8*COS(B1895) + $B$7*COS($F$6*B1895))</x:f>
      </x:c>
      <x:c r="D1895" s="14">
        <x:f>IF(B1895="","",$F$8*SIN(B1895) - $B$7*SIN($F$6*B1895))</x:f>
      </x:c>
      <x:c r="E1895" s="14">
        <x:f>IF(B1895="","", C1895 + $F$12*$F$9*(-H1895)/IF(SQRT(G1895^2+H1895^2)=0,1,SQRT(G1895^2+H1895^2)))</x:f>
      </x:c>
      <x:c r="F1895" s="14">
        <x:f>IF(B1895="","", D1895 + $F$12*$F$9*(G1895)/IF(SQRT(G1895^2+H1895^2)=0,1,SQRT(G1895^2+H1895^2)))</x:f>
      </x:c>
      <x:c r="G1895" s="14">
        <x:f>IF(B1895="","", -$F$8*SIN(B1895) - $B$7*$F$6*SIN($F$6*B1895))</x:f>
      </x:c>
      <x:c r="H1895" s="14">
        <x:f>IF(B1895="","", $F$8*COS(B1895) - $B$7*$F$6*COS($F$6*B1895))</x:f>
      </x:c>
    </x:row>
    <x:row r="1896">
      <x:c r="A1896" s="13" t="n">
        <x:v>1877</x:v>
      </x:c>
      <x:c r="B1896" s="14">
        <x:f>IF($B$12&lt;1877,"",$B$13+(1877-1)*($B$14-$B$13)/($B$12-1))</x:f>
      </x:c>
      <x:c r="C1896" s="14">
        <x:f>IF(B1896="","",$F$8*COS(B1896) + $B$7*COS($F$6*B1896))</x:f>
      </x:c>
      <x:c r="D1896" s="14">
        <x:f>IF(B1896="","",$F$8*SIN(B1896) - $B$7*SIN($F$6*B1896))</x:f>
      </x:c>
      <x:c r="E1896" s="14">
        <x:f>IF(B1896="","", C1896 + $F$12*$F$9*(-H1896)/IF(SQRT(G1896^2+H1896^2)=0,1,SQRT(G1896^2+H1896^2)))</x:f>
      </x:c>
      <x:c r="F1896" s="14">
        <x:f>IF(B1896="","", D1896 + $F$12*$F$9*(G1896)/IF(SQRT(G1896^2+H1896^2)=0,1,SQRT(G1896^2+H1896^2)))</x:f>
      </x:c>
      <x:c r="G1896" s="14">
        <x:f>IF(B1896="","", -$F$8*SIN(B1896) - $B$7*$F$6*SIN($F$6*B1896))</x:f>
      </x:c>
      <x:c r="H1896" s="14">
        <x:f>IF(B1896="","", $F$8*COS(B1896) - $B$7*$F$6*COS($F$6*B1896))</x:f>
      </x:c>
    </x:row>
    <x:row r="1897">
      <x:c r="A1897" s="13" t="n">
        <x:v>1878</x:v>
      </x:c>
      <x:c r="B1897" s="14">
        <x:f>IF($B$12&lt;1878,"",$B$13+(1878-1)*($B$14-$B$13)/($B$12-1))</x:f>
      </x:c>
      <x:c r="C1897" s="14">
        <x:f>IF(B1897="","",$F$8*COS(B1897) + $B$7*COS($F$6*B1897))</x:f>
      </x:c>
      <x:c r="D1897" s="14">
        <x:f>IF(B1897="","",$F$8*SIN(B1897) - $B$7*SIN($F$6*B1897))</x:f>
      </x:c>
      <x:c r="E1897" s="14">
        <x:f>IF(B1897="","", C1897 + $F$12*$F$9*(-H1897)/IF(SQRT(G1897^2+H1897^2)=0,1,SQRT(G1897^2+H1897^2)))</x:f>
      </x:c>
      <x:c r="F1897" s="14">
        <x:f>IF(B1897="","", D1897 + $F$12*$F$9*(G1897)/IF(SQRT(G1897^2+H1897^2)=0,1,SQRT(G1897^2+H1897^2)))</x:f>
      </x:c>
      <x:c r="G1897" s="14">
        <x:f>IF(B1897="","", -$F$8*SIN(B1897) - $B$7*$F$6*SIN($F$6*B1897))</x:f>
      </x:c>
      <x:c r="H1897" s="14">
        <x:f>IF(B1897="","", $F$8*COS(B1897) - $B$7*$F$6*COS($F$6*B1897))</x:f>
      </x:c>
    </x:row>
    <x:row r="1898">
      <x:c r="A1898" s="13" t="n">
        <x:v>1879</x:v>
      </x:c>
      <x:c r="B1898" s="14">
        <x:f>IF($B$12&lt;1879,"",$B$13+(1879-1)*($B$14-$B$13)/($B$12-1))</x:f>
      </x:c>
      <x:c r="C1898" s="14">
        <x:f>IF(B1898="","",$F$8*COS(B1898) + $B$7*COS($F$6*B1898))</x:f>
      </x:c>
      <x:c r="D1898" s="14">
        <x:f>IF(B1898="","",$F$8*SIN(B1898) - $B$7*SIN($F$6*B1898))</x:f>
      </x:c>
      <x:c r="E1898" s="14">
        <x:f>IF(B1898="","", C1898 + $F$12*$F$9*(-H1898)/IF(SQRT(G1898^2+H1898^2)=0,1,SQRT(G1898^2+H1898^2)))</x:f>
      </x:c>
      <x:c r="F1898" s="14">
        <x:f>IF(B1898="","", D1898 + $F$12*$F$9*(G1898)/IF(SQRT(G1898^2+H1898^2)=0,1,SQRT(G1898^2+H1898^2)))</x:f>
      </x:c>
      <x:c r="G1898" s="14">
        <x:f>IF(B1898="","", -$F$8*SIN(B1898) - $B$7*$F$6*SIN($F$6*B1898))</x:f>
      </x:c>
      <x:c r="H1898" s="14">
        <x:f>IF(B1898="","", $F$8*COS(B1898) - $B$7*$F$6*COS($F$6*B1898))</x:f>
      </x:c>
    </x:row>
    <x:row r="1899">
      <x:c r="A1899" s="13" t="n">
        <x:v>1880</x:v>
      </x:c>
      <x:c r="B1899" s="14">
        <x:f>IF($B$12&lt;1880,"",$B$13+(1880-1)*($B$14-$B$13)/($B$12-1))</x:f>
      </x:c>
      <x:c r="C1899" s="14">
        <x:f>IF(B1899="","",$F$8*COS(B1899) + $B$7*COS($F$6*B1899))</x:f>
      </x:c>
      <x:c r="D1899" s="14">
        <x:f>IF(B1899="","",$F$8*SIN(B1899) - $B$7*SIN($F$6*B1899))</x:f>
      </x:c>
      <x:c r="E1899" s="14">
        <x:f>IF(B1899="","", C1899 + $F$12*$F$9*(-H1899)/IF(SQRT(G1899^2+H1899^2)=0,1,SQRT(G1899^2+H1899^2)))</x:f>
      </x:c>
      <x:c r="F1899" s="14">
        <x:f>IF(B1899="","", D1899 + $F$12*$F$9*(G1899)/IF(SQRT(G1899^2+H1899^2)=0,1,SQRT(G1899^2+H1899^2)))</x:f>
      </x:c>
      <x:c r="G1899" s="14">
        <x:f>IF(B1899="","", -$F$8*SIN(B1899) - $B$7*$F$6*SIN($F$6*B1899))</x:f>
      </x:c>
      <x:c r="H1899" s="14">
        <x:f>IF(B1899="","", $F$8*COS(B1899) - $B$7*$F$6*COS($F$6*B1899))</x:f>
      </x:c>
    </x:row>
    <x:row r="1900">
      <x:c r="A1900" s="13" t="n">
        <x:v>1881</x:v>
      </x:c>
      <x:c r="B1900" s="14">
        <x:f>IF($B$12&lt;1881,"",$B$13+(1881-1)*($B$14-$B$13)/($B$12-1))</x:f>
      </x:c>
      <x:c r="C1900" s="14">
        <x:f>IF(B1900="","",$F$8*COS(B1900) + $B$7*COS($F$6*B1900))</x:f>
      </x:c>
      <x:c r="D1900" s="14">
        <x:f>IF(B1900="","",$F$8*SIN(B1900) - $B$7*SIN($F$6*B1900))</x:f>
      </x:c>
      <x:c r="E1900" s="14">
        <x:f>IF(B1900="","", C1900 + $F$12*$F$9*(-H1900)/IF(SQRT(G1900^2+H1900^2)=0,1,SQRT(G1900^2+H1900^2)))</x:f>
      </x:c>
      <x:c r="F1900" s="14">
        <x:f>IF(B1900="","", D1900 + $F$12*$F$9*(G1900)/IF(SQRT(G1900^2+H1900^2)=0,1,SQRT(G1900^2+H1900^2)))</x:f>
      </x:c>
      <x:c r="G1900" s="14">
        <x:f>IF(B1900="","", -$F$8*SIN(B1900) - $B$7*$F$6*SIN($F$6*B1900))</x:f>
      </x:c>
      <x:c r="H1900" s="14">
        <x:f>IF(B1900="","", $F$8*COS(B1900) - $B$7*$F$6*COS($F$6*B1900))</x:f>
      </x:c>
    </x:row>
    <x:row r="1901">
      <x:c r="A1901" s="13" t="n">
        <x:v>1882</x:v>
      </x:c>
      <x:c r="B1901" s="14">
        <x:f>IF($B$12&lt;1882,"",$B$13+(1882-1)*($B$14-$B$13)/($B$12-1))</x:f>
      </x:c>
      <x:c r="C1901" s="14">
        <x:f>IF(B1901="","",$F$8*COS(B1901) + $B$7*COS($F$6*B1901))</x:f>
      </x:c>
      <x:c r="D1901" s="14">
        <x:f>IF(B1901="","",$F$8*SIN(B1901) - $B$7*SIN($F$6*B1901))</x:f>
      </x:c>
      <x:c r="E1901" s="14">
        <x:f>IF(B1901="","", C1901 + $F$12*$F$9*(-H1901)/IF(SQRT(G1901^2+H1901^2)=0,1,SQRT(G1901^2+H1901^2)))</x:f>
      </x:c>
      <x:c r="F1901" s="14">
        <x:f>IF(B1901="","", D1901 + $F$12*$F$9*(G1901)/IF(SQRT(G1901^2+H1901^2)=0,1,SQRT(G1901^2+H1901^2)))</x:f>
      </x:c>
      <x:c r="G1901" s="14">
        <x:f>IF(B1901="","", -$F$8*SIN(B1901) - $B$7*$F$6*SIN($F$6*B1901))</x:f>
      </x:c>
      <x:c r="H1901" s="14">
        <x:f>IF(B1901="","", $F$8*COS(B1901) - $B$7*$F$6*COS($F$6*B1901))</x:f>
      </x:c>
    </x:row>
    <x:row r="1902">
      <x:c r="A1902" s="13" t="n">
        <x:v>1883</x:v>
      </x:c>
      <x:c r="B1902" s="14">
        <x:f>IF($B$12&lt;1883,"",$B$13+(1883-1)*($B$14-$B$13)/($B$12-1))</x:f>
      </x:c>
      <x:c r="C1902" s="14">
        <x:f>IF(B1902="","",$F$8*COS(B1902) + $B$7*COS($F$6*B1902))</x:f>
      </x:c>
      <x:c r="D1902" s="14">
        <x:f>IF(B1902="","",$F$8*SIN(B1902) - $B$7*SIN($F$6*B1902))</x:f>
      </x:c>
      <x:c r="E1902" s="14">
        <x:f>IF(B1902="","", C1902 + $F$12*$F$9*(-H1902)/IF(SQRT(G1902^2+H1902^2)=0,1,SQRT(G1902^2+H1902^2)))</x:f>
      </x:c>
      <x:c r="F1902" s="14">
        <x:f>IF(B1902="","", D1902 + $F$12*$F$9*(G1902)/IF(SQRT(G1902^2+H1902^2)=0,1,SQRT(G1902^2+H1902^2)))</x:f>
      </x:c>
      <x:c r="G1902" s="14">
        <x:f>IF(B1902="","", -$F$8*SIN(B1902) - $B$7*$F$6*SIN($F$6*B1902))</x:f>
      </x:c>
      <x:c r="H1902" s="14">
        <x:f>IF(B1902="","", $F$8*COS(B1902) - $B$7*$F$6*COS($F$6*B1902))</x:f>
      </x:c>
    </x:row>
    <x:row r="1903">
      <x:c r="A1903" s="13" t="n">
        <x:v>1884</x:v>
      </x:c>
      <x:c r="B1903" s="14">
        <x:f>IF($B$12&lt;1884,"",$B$13+(1884-1)*($B$14-$B$13)/($B$12-1))</x:f>
      </x:c>
      <x:c r="C1903" s="14">
        <x:f>IF(B1903="","",$F$8*COS(B1903) + $B$7*COS($F$6*B1903))</x:f>
      </x:c>
      <x:c r="D1903" s="14">
        <x:f>IF(B1903="","",$F$8*SIN(B1903) - $B$7*SIN($F$6*B1903))</x:f>
      </x:c>
      <x:c r="E1903" s="14">
        <x:f>IF(B1903="","", C1903 + $F$12*$F$9*(-H1903)/IF(SQRT(G1903^2+H1903^2)=0,1,SQRT(G1903^2+H1903^2)))</x:f>
      </x:c>
      <x:c r="F1903" s="14">
        <x:f>IF(B1903="","", D1903 + $F$12*$F$9*(G1903)/IF(SQRT(G1903^2+H1903^2)=0,1,SQRT(G1903^2+H1903^2)))</x:f>
      </x:c>
      <x:c r="G1903" s="14">
        <x:f>IF(B1903="","", -$F$8*SIN(B1903) - $B$7*$F$6*SIN($F$6*B1903))</x:f>
      </x:c>
      <x:c r="H1903" s="14">
        <x:f>IF(B1903="","", $F$8*COS(B1903) - $B$7*$F$6*COS($F$6*B1903))</x:f>
      </x:c>
    </x:row>
    <x:row r="1904">
      <x:c r="A1904" s="13" t="n">
        <x:v>1885</x:v>
      </x:c>
      <x:c r="B1904" s="14">
        <x:f>IF($B$12&lt;1885,"",$B$13+(1885-1)*($B$14-$B$13)/($B$12-1))</x:f>
      </x:c>
      <x:c r="C1904" s="14">
        <x:f>IF(B1904="","",$F$8*COS(B1904) + $B$7*COS($F$6*B1904))</x:f>
      </x:c>
      <x:c r="D1904" s="14">
        <x:f>IF(B1904="","",$F$8*SIN(B1904) - $B$7*SIN($F$6*B1904))</x:f>
      </x:c>
      <x:c r="E1904" s="14">
        <x:f>IF(B1904="","", C1904 + $F$12*$F$9*(-H1904)/IF(SQRT(G1904^2+H1904^2)=0,1,SQRT(G1904^2+H1904^2)))</x:f>
      </x:c>
      <x:c r="F1904" s="14">
        <x:f>IF(B1904="","", D1904 + $F$12*$F$9*(G1904)/IF(SQRT(G1904^2+H1904^2)=0,1,SQRT(G1904^2+H1904^2)))</x:f>
      </x:c>
      <x:c r="G1904" s="14">
        <x:f>IF(B1904="","", -$F$8*SIN(B1904) - $B$7*$F$6*SIN($F$6*B1904))</x:f>
      </x:c>
      <x:c r="H1904" s="14">
        <x:f>IF(B1904="","", $F$8*COS(B1904) - $B$7*$F$6*COS($F$6*B1904))</x:f>
      </x:c>
    </x:row>
    <x:row r="1905">
      <x:c r="A1905" s="13" t="n">
        <x:v>1886</x:v>
      </x:c>
      <x:c r="B1905" s="14">
        <x:f>IF($B$12&lt;1886,"",$B$13+(1886-1)*($B$14-$B$13)/($B$12-1))</x:f>
      </x:c>
      <x:c r="C1905" s="14">
        <x:f>IF(B1905="","",$F$8*COS(B1905) + $B$7*COS($F$6*B1905))</x:f>
      </x:c>
      <x:c r="D1905" s="14">
        <x:f>IF(B1905="","",$F$8*SIN(B1905) - $B$7*SIN($F$6*B1905))</x:f>
      </x:c>
      <x:c r="E1905" s="14">
        <x:f>IF(B1905="","", C1905 + $F$12*$F$9*(-H1905)/IF(SQRT(G1905^2+H1905^2)=0,1,SQRT(G1905^2+H1905^2)))</x:f>
      </x:c>
      <x:c r="F1905" s="14">
        <x:f>IF(B1905="","", D1905 + $F$12*$F$9*(G1905)/IF(SQRT(G1905^2+H1905^2)=0,1,SQRT(G1905^2+H1905^2)))</x:f>
      </x:c>
      <x:c r="G1905" s="14">
        <x:f>IF(B1905="","", -$F$8*SIN(B1905) - $B$7*$F$6*SIN($F$6*B1905))</x:f>
      </x:c>
      <x:c r="H1905" s="14">
        <x:f>IF(B1905="","", $F$8*COS(B1905) - $B$7*$F$6*COS($F$6*B1905))</x:f>
      </x:c>
    </x:row>
    <x:row r="1906">
      <x:c r="A1906" s="13" t="n">
        <x:v>1887</x:v>
      </x:c>
      <x:c r="B1906" s="14">
        <x:f>IF($B$12&lt;1887,"",$B$13+(1887-1)*($B$14-$B$13)/($B$12-1))</x:f>
      </x:c>
      <x:c r="C1906" s="14">
        <x:f>IF(B1906="","",$F$8*COS(B1906) + $B$7*COS($F$6*B1906))</x:f>
      </x:c>
      <x:c r="D1906" s="14">
        <x:f>IF(B1906="","",$F$8*SIN(B1906) - $B$7*SIN($F$6*B1906))</x:f>
      </x:c>
      <x:c r="E1906" s="14">
        <x:f>IF(B1906="","", C1906 + $F$12*$F$9*(-H1906)/IF(SQRT(G1906^2+H1906^2)=0,1,SQRT(G1906^2+H1906^2)))</x:f>
      </x:c>
      <x:c r="F1906" s="14">
        <x:f>IF(B1906="","", D1906 + $F$12*$F$9*(G1906)/IF(SQRT(G1906^2+H1906^2)=0,1,SQRT(G1906^2+H1906^2)))</x:f>
      </x:c>
      <x:c r="G1906" s="14">
        <x:f>IF(B1906="","", -$F$8*SIN(B1906) - $B$7*$F$6*SIN($F$6*B1906))</x:f>
      </x:c>
      <x:c r="H1906" s="14">
        <x:f>IF(B1906="","", $F$8*COS(B1906) - $B$7*$F$6*COS($F$6*B1906))</x:f>
      </x:c>
    </x:row>
    <x:row r="1907">
      <x:c r="A1907" s="13" t="n">
        <x:v>1888</x:v>
      </x:c>
      <x:c r="B1907" s="14">
        <x:f>IF($B$12&lt;1888,"",$B$13+(1888-1)*($B$14-$B$13)/($B$12-1))</x:f>
      </x:c>
      <x:c r="C1907" s="14">
        <x:f>IF(B1907="","",$F$8*COS(B1907) + $B$7*COS($F$6*B1907))</x:f>
      </x:c>
      <x:c r="D1907" s="14">
        <x:f>IF(B1907="","",$F$8*SIN(B1907) - $B$7*SIN($F$6*B1907))</x:f>
      </x:c>
      <x:c r="E1907" s="14">
        <x:f>IF(B1907="","", C1907 + $F$12*$F$9*(-H1907)/IF(SQRT(G1907^2+H1907^2)=0,1,SQRT(G1907^2+H1907^2)))</x:f>
      </x:c>
      <x:c r="F1907" s="14">
        <x:f>IF(B1907="","", D1907 + $F$12*$F$9*(G1907)/IF(SQRT(G1907^2+H1907^2)=0,1,SQRT(G1907^2+H1907^2)))</x:f>
      </x:c>
      <x:c r="G1907" s="14">
        <x:f>IF(B1907="","", -$F$8*SIN(B1907) - $B$7*$F$6*SIN($F$6*B1907))</x:f>
      </x:c>
      <x:c r="H1907" s="14">
        <x:f>IF(B1907="","", $F$8*COS(B1907) - $B$7*$F$6*COS($F$6*B1907))</x:f>
      </x:c>
    </x:row>
    <x:row r="1908">
      <x:c r="A1908" s="13" t="n">
        <x:v>1889</x:v>
      </x:c>
      <x:c r="B1908" s="14">
        <x:f>IF($B$12&lt;1889,"",$B$13+(1889-1)*($B$14-$B$13)/($B$12-1))</x:f>
      </x:c>
      <x:c r="C1908" s="14">
        <x:f>IF(B1908="","",$F$8*COS(B1908) + $B$7*COS($F$6*B1908))</x:f>
      </x:c>
      <x:c r="D1908" s="14">
        <x:f>IF(B1908="","",$F$8*SIN(B1908) - $B$7*SIN($F$6*B1908))</x:f>
      </x:c>
      <x:c r="E1908" s="14">
        <x:f>IF(B1908="","", C1908 + $F$12*$F$9*(-H1908)/IF(SQRT(G1908^2+H1908^2)=0,1,SQRT(G1908^2+H1908^2)))</x:f>
      </x:c>
      <x:c r="F1908" s="14">
        <x:f>IF(B1908="","", D1908 + $F$12*$F$9*(G1908)/IF(SQRT(G1908^2+H1908^2)=0,1,SQRT(G1908^2+H1908^2)))</x:f>
      </x:c>
      <x:c r="G1908" s="14">
        <x:f>IF(B1908="","", -$F$8*SIN(B1908) - $B$7*$F$6*SIN($F$6*B1908))</x:f>
      </x:c>
      <x:c r="H1908" s="14">
        <x:f>IF(B1908="","", $F$8*COS(B1908) - $B$7*$F$6*COS($F$6*B1908))</x:f>
      </x:c>
    </x:row>
    <x:row r="1909">
      <x:c r="A1909" s="13" t="n">
        <x:v>1890</x:v>
      </x:c>
      <x:c r="B1909" s="14">
        <x:f>IF($B$12&lt;1890,"",$B$13+(1890-1)*($B$14-$B$13)/($B$12-1))</x:f>
      </x:c>
      <x:c r="C1909" s="14">
        <x:f>IF(B1909="","",$F$8*COS(B1909) + $B$7*COS($F$6*B1909))</x:f>
      </x:c>
      <x:c r="D1909" s="14">
        <x:f>IF(B1909="","",$F$8*SIN(B1909) - $B$7*SIN($F$6*B1909))</x:f>
      </x:c>
      <x:c r="E1909" s="14">
        <x:f>IF(B1909="","", C1909 + $F$12*$F$9*(-H1909)/IF(SQRT(G1909^2+H1909^2)=0,1,SQRT(G1909^2+H1909^2)))</x:f>
      </x:c>
      <x:c r="F1909" s="14">
        <x:f>IF(B1909="","", D1909 + $F$12*$F$9*(G1909)/IF(SQRT(G1909^2+H1909^2)=0,1,SQRT(G1909^2+H1909^2)))</x:f>
      </x:c>
      <x:c r="G1909" s="14">
        <x:f>IF(B1909="","", -$F$8*SIN(B1909) - $B$7*$F$6*SIN($F$6*B1909))</x:f>
      </x:c>
      <x:c r="H1909" s="14">
        <x:f>IF(B1909="","", $F$8*COS(B1909) - $B$7*$F$6*COS($F$6*B1909))</x:f>
      </x:c>
    </x:row>
    <x:row r="1910">
      <x:c r="A1910" s="13" t="n">
        <x:v>1891</x:v>
      </x:c>
      <x:c r="B1910" s="14">
        <x:f>IF($B$12&lt;1891,"",$B$13+(1891-1)*($B$14-$B$13)/($B$12-1))</x:f>
      </x:c>
      <x:c r="C1910" s="14">
        <x:f>IF(B1910="","",$F$8*COS(B1910) + $B$7*COS($F$6*B1910))</x:f>
      </x:c>
      <x:c r="D1910" s="14">
        <x:f>IF(B1910="","",$F$8*SIN(B1910) - $B$7*SIN($F$6*B1910))</x:f>
      </x:c>
      <x:c r="E1910" s="14">
        <x:f>IF(B1910="","", C1910 + $F$12*$F$9*(-H1910)/IF(SQRT(G1910^2+H1910^2)=0,1,SQRT(G1910^2+H1910^2)))</x:f>
      </x:c>
      <x:c r="F1910" s="14">
        <x:f>IF(B1910="","", D1910 + $F$12*$F$9*(G1910)/IF(SQRT(G1910^2+H1910^2)=0,1,SQRT(G1910^2+H1910^2)))</x:f>
      </x:c>
      <x:c r="G1910" s="14">
        <x:f>IF(B1910="","", -$F$8*SIN(B1910) - $B$7*$F$6*SIN($F$6*B1910))</x:f>
      </x:c>
      <x:c r="H1910" s="14">
        <x:f>IF(B1910="","", $F$8*COS(B1910) - $B$7*$F$6*COS($F$6*B1910))</x:f>
      </x:c>
    </x:row>
    <x:row r="1911">
      <x:c r="A1911" s="13" t="n">
        <x:v>1892</x:v>
      </x:c>
      <x:c r="B1911" s="14">
        <x:f>IF($B$12&lt;1892,"",$B$13+(1892-1)*($B$14-$B$13)/($B$12-1))</x:f>
      </x:c>
      <x:c r="C1911" s="14">
        <x:f>IF(B1911="","",$F$8*COS(B1911) + $B$7*COS($F$6*B1911))</x:f>
      </x:c>
      <x:c r="D1911" s="14">
        <x:f>IF(B1911="","",$F$8*SIN(B1911) - $B$7*SIN($F$6*B1911))</x:f>
      </x:c>
      <x:c r="E1911" s="14">
        <x:f>IF(B1911="","", C1911 + $F$12*$F$9*(-H1911)/IF(SQRT(G1911^2+H1911^2)=0,1,SQRT(G1911^2+H1911^2)))</x:f>
      </x:c>
      <x:c r="F1911" s="14">
        <x:f>IF(B1911="","", D1911 + $F$12*$F$9*(G1911)/IF(SQRT(G1911^2+H1911^2)=0,1,SQRT(G1911^2+H1911^2)))</x:f>
      </x:c>
      <x:c r="G1911" s="14">
        <x:f>IF(B1911="","", -$F$8*SIN(B1911) - $B$7*$F$6*SIN($F$6*B1911))</x:f>
      </x:c>
      <x:c r="H1911" s="14">
        <x:f>IF(B1911="","", $F$8*COS(B1911) - $B$7*$F$6*COS($F$6*B1911))</x:f>
      </x:c>
    </x:row>
    <x:row r="1912">
      <x:c r="A1912" s="13" t="n">
        <x:v>1893</x:v>
      </x:c>
      <x:c r="B1912" s="14">
        <x:f>IF($B$12&lt;1893,"",$B$13+(1893-1)*($B$14-$B$13)/($B$12-1))</x:f>
      </x:c>
      <x:c r="C1912" s="14">
        <x:f>IF(B1912="","",$F$8*COS(B1912) + $B$7*COS($F$6*B1912))</x:f>
      </x:c>
      <x:c r="D1912" s="14">
        <x:f>IF(B1912="","",$F$8*SIN(B1912) - $B$7*SIN($F$6*B1912))</x:f>
      </x:c>
      <x:c r="E1912" s="14">
        <x:f>IF(B1912="","", C1912 + $F$12*$F$9*(-H1912)/IF(SQRT(G1912^2+H1912^2)=0,1,SQRT(G1912^2+H1912^2)))</x:f>
      </x:c>
      <x:c r="F1912" s="14">
        <x:f>IF(B1912="","", D1912 + $F$12*$F$9*(G1912)/IF(SQRT(G1912^2+H1912^2)=0,1,SQRT(G1912^2+H1912^2)))</x:f>
      </x:c>
      <x:c r="G1912" s="14">
        <x:f>IF(B1912="","", -$F$8*SIN(B1912) - $B$7*$F$6*SIN($F$6*B1912))</x:f>
      </x:c>
      <x:c r="H1912" s="14">
        <x:f>IF(B1912="","", $F$8*COS(B1912) - $B$7*$F$6*COS($F$6*B1912))</x:f>
      </x:c>
    </x:row>
    <x:row r="1913">
      <x:c r="A1913" s="13" t="n">
        <x:v>1894</x:v>
      </x:c>
      <x:c r="B1913" s="14">
        <x:f>IF($B$12&lt;1894,"",$B$13+(1894-1)*($B$14-$B$13)/($B$12-1))</x:f>
      </x:c>
      <x:c r="C1913" s="14">
        <x:f>IF(B1913="","",$F$8*COS(B1913) + $B$7*COS($F$6*B1913))</x:f>
      </x:c>
      <x:c r="D1913" s="14">
        <x:f>IF(B1913="","",$F$8*SIN(B1913) - $B$7*SIN($F$6*B1913))</x:f>
      </x:c>
      <x:c r="E1913" s="14">
        <x:f>IF(B1913="","", C1913 + $F$12*$F$9*(-H1913)/IF(SQRT(G1913^2+H1913^2)=0,1,SQRT(G1913^2+H1913^2)))</x:f>
      </x:c>
      <x:c r="F1913" s="14">
        <x:f>IF(B1913="","", D1913 + $F$12*$F$9*(G1913)/IF(SQRT(G1913^2+H1913^2)=0,1,SQRT(G1913^2+H1913^2)))</x:f>
      </x:c>
      <x:c r="G1913" s="14">
        <x:f>IF(B1913="","", -$F$8*SIN(B1913) - $B$7*$F$6*SIN($F$6*B1913))</x:f>
      </x:c>
      <x:c r="H1913" s="14">
        <x:f>IF(B1913="","", $F$8*COS(B1913) - $B$7*$F$6*COS($F$6*B1913))</x:f>
      </x:c>
    </x:row>
    <x:row r="1914">
      <x:c r="A1914" s="13" t="n">
        <x:v>1895</x:v>
      </x:c>
      <x:c r="B1914" s="14">
        <x:f>IF($B$12&lt;1895,"",$B$13+(1895-1)*($B$14-$B$13)/($B$12-1))</x:f>
      </x:c>
      <x:c r="C1914" s="14">
        <x:f>IF(B1914="","",$F$8*COS(B1914) + $B$7*COS($F$6*B1914))</x:f>
      </x:c>
      <x:c r="D1914" s="14">
        <x:f>IF(B1914="","",$F$8*SIN(B1914) - $B$7*SIN($F$6*B1914))</x:f>
      </x:c>
      <x:c r="E1914" s="14">
        <x:f>IF(B1914="","", C1914 + $F$12*$F$9*(-H1914)/IF(SQRT(G1914^2+H1914^2)=0,1,SQRT(G1914^2+H1914^2)))</x:f>
      </x:c>
      <x:c r="F1914" s="14">
        <x:f>IF(B1914="","", D1914 + $F$12*$F$9*(G1914)/IF(SQRT(G1914^2+H1914^2)=0,1,SQRT(G1914^2+H1914^2)))</x:f>
      </x:c>
      <x:c r="G1914" s="14">
        <x:f>IF(B1914="","", -$F$8*SIN(B1914) - $B$7*$F$6*SIN($F$6*B1914))</x:f>
      </x:c>
      <x:c r="H1914" s="14">
        <x:f>IF(B1914="","", $F$8*COS(B1914) - $B$7*$F$6*COS($F$6*B1914))</x:f>
      </x:c>
    </x:row>
    <x:row r="1915">
      <x:c r="A1915" s="13" t="n">
        <x:v>1896</x:v>
      </x:c>
      <x:c r="B1915" s="14">
        <x:f>IF($B$12&lt;1896,"",$B$13+(1896-1)*($B$14-$B$13)/($B$12-1))</x:f>
      </x:c>
      <x:c r="C1915" s="14">
        <x:f>IF(B1915="","",$F$8*COS(B1915) + $B$7*COS($F$6*B1915))</x:f>
      </x:c>
      <x:c r="D1915" s="14">
        <x:f>IF(B1915="","",$F$8*SIN(B1915) - $B$7*SIN($F$6*B1915))</x:f>
      </x:c>
      <x:c r="E1915" s="14">
        <x:f>IF(B1915="","", C1915 + $F$12*$F$9*(-H1915)/IF(SQRT(G1915^2+H1915^2)=0,1,SQRT(G1915^2+H1915^2)))</x:f>
      </x:c>
      <x:c r="F1915" s="14">
        <x:f>IF(B1915="","", D1915 + $F$12*$F$9*(G1915)/IF(SQRT(G1915^2+H1915^2)=0,1,SQRT(G1915^2+H1915^2)))</x:f>
      </x:c>
      <x:c r="G1915" s="14">
        <x:f>IF(B1915="","", -$F$8*SIN(B1915) - $B$7*$F$6*SIN($F$6*B1915))</x:f>
      </x:c>
      <x:c r="H1915" s="14">
        <x:f>IF(B1915="","", $F$8*COS(B1915) - $B$7*$F$6*COS($F$6*B1915))</x:f>
      </x:c>
    </x:row>
    <x:row r="1916">
      <x:c r="A1916" s="13" t="n">
        <x:v>1897</x:v>
      </x:c>
      <x:c r="B1916" s="14">
        <x:f>IF($B$12&lt;1897,"",$B$13+(1897-1)*($B$14-$B$13)/($B$12-1))</x:f>
      </x:c>
      <x:c r="C1916" s="14">
        <x:f>IF(B1916="","",$F$8*COS(B1916) + $B$7*COS($F$6*B1916))</x:f>
      </x:c>
      <x:c r="D1916" s="14">
        <x:f>IF(B1916="","",$F$8*SIN(B1916) - $B$7*SIN($F$6*B1916))</x:f>
      </x:c>
      <x:c r="E1916" s="14">
        <x:f>IF(B1916="","", C1916 + $F$12*$F$9*(-H1916)/IF(SQRT(G1916^2+H1916^2)=0,1,SQRT(G1916^2+H1916^2)))</x:f>
      </x:c>
      <x:c r="F1916" s="14">
        <x:f>IF(B1916="","", D1916 + $F$12*$F$9*(G1916)/IF(SQRT(G1916^2+H1916^2)=0,1,SQRT(G1916^2+H1916^2)))</x:f>
      </x:c>
      <x:c r="G1916" s="14">
        <x:f>IF(B1916="","", -$F$8*SIN(B1916) - $B$7*$F$6*SIN($F$6*B1916))</x:f>
      </x:c>
      <x:c r="H1916" s="14">
        <x:f>IF(B1916="","", $F$8*COS(B1916) - $B$7*$F$6*COS($F$6*B1916))</x:f>
      </x:c>
    </x:row>
    <x:row r="1917">
      <x:c r="A1917" s="13" t="n">
        <x:v>1898</x:v>
      </x:c>
      <x:c r="B1917" s="14">
        <x:f>IF($B$12&lt;1898,"",$B$13+(1898-1)*($B$14-$B$13)/($B$12-1))</x:f>
      </x:c>
      <x:c r="C1917" s="14">
        <x:f>IF(B1917="","",$F$8*COS(B1917) + $B$7*COS($F$6*B1917))</x:f>
      </x:c>
      <x:c r="D1917" s="14">
        <x:f>IF(B1917="","",$F$8*SIN(B1917) - $B$7*SIN($F$6*B1917))</x:f>
      </x:c>
      <x:c r="E1917" s="14">
        <x:f>IF(B1917="","", C1917 + $F$12*$F$9*(-H1917)/IF(SQRT(G1917^2+H1917^2)=0,1,SQRT(G1917^2+H1917^2)))</x:f>
      </x:c>
      <x:c r="F1917" s="14">
        <x:f>IF(B1917="","", D1917 + $F$12*$F$9*(G1917)/IF(SQRT(G1917^2+H1917^2)=0,1,SQRT(G1917^2+H1917^2)))</x:f>
      </x:c>
      <x:c r="G1917" s="14">
        <x:f>IF(B1917="","", -$F$8*SIN(B1917) - $B$7*$F$6*SIN($F$6*B1917))</x:f>
      </x:c>
      <x:c r="H1917" s="14">
        <x:f>IF(B1917="","", $F$8*COS(B1917) - $B$7*$F$6*COS($F$6*B1917))</x:f>
      </x:c>
    </x:row>
    <x:row r="1918">
      <x:c r="A1918" s="13" t="n">
        <x:v>1899</x:v>
      </x:c>
      <x:c r="B1918" s="14">
        <x:f>IF($B$12&lt;1899,"",$B$13+(1899-1)*($B$14-$B$13)/($B$12-1))</x:f>
      </x:c>
      <x:c r="C1918" s="14">
        <x:f>IF(B1918="","",$F$8*COS(B1918) + $B$7*COS($F$6*B1918))</x:f>
      </x:c>
      <x:c r="D1918" s="14">
        <x:f>IF(B1918="","",$F$8*SIN(B1918) - $B$7*SIN($F$6*B1918))</x:f>
      </x:c>
      <x:c r="E1918" s="14">
        <x:f>IF(B1918="","", C1918 + $F$12*$F$9*(-H1918)/IF(SQRT(G1918^2+H1918^2)=0,1,SQRT(G1918^2+H1918^2)))</x:f>
      </x:c>
      <x:c r="F1918" s="14">
        <x:f>IF(B1918="","", D1918 + $F$12*$F$9*(G1918)/IF(SQRT(G1918^2+H1918^2)=0,1,SQRT(G1918^2+H1918^2)))</x:f>
      </x:c>
      <x:c r="G1918" s="14">
        <x:f>IF(B1918="","", -$F$8*SIN(B1918) - $B$7*$F$6*SIN($F$6*B1918))</x:f>
      </x:c>
      <x:c r="H1918" s="14">
        <x:f>IF(B1918="","", $F$8*COS(B1918) - $B$7*$F$6*COS($F$6*B1918))</x:f>
      </x:c>
    </x:row>
    <x:row r="1919">
      <x:c r="A1919" s="13" t="n">
        <x:v>1900</x:v>
      </x:c>
      <x:c r="B1919" s="14">
        <x:f>IF($B$12&lt;1900,"",$B$13+(1900-1)*($B$14-$B$13)/($B$12-1))</x:f>
      </x:c>
      <x:c r="C1919" s="14">
        <x:f>IF(B1919="","",$F$8*COS(B1919) + $B$7*COS($F$6*B1919))</x:f>
      </x:c>
      <x:c r="D1919" s="14">
        <x:f>IF(B1919="","",$F$8*SIN(B1919) - $B$7*SIN($F$6*B1919))</x:f>
      </x:c>
      <x:c r="E1919" s="14">
        <x:f>IF(B1919="","", C1919 + $F$12*$F$9*(-H1919)/IF(SQRT(G1919^2+H1919^2)=0,1,SQRT(G1919^2+H1919^2)))</x:f>
      </x:c>
      <x:c r="F1919" s="14">
        <x:f>IF(B1919="","", D1919 + $F$12*$F$9*(G1919)/IF(SQRT(G1919^2+H1919^2)=0,1,SQRT(G1919^2+H1919^2)))</x:f>
      </x:c>
      <x:c r="G1919" s="14">
        <x:f>IF(B1919="","", -$F$8*SIN(B1919) - $B$7*$F$6*SIN($F$6*B1919))</x:f>
      </x:c>
      <x:c r="H1919" s="14">
        <x:f>IF(B1919="","", $F$8*COS(B1919) - $B$7*$F$6*COS($F$6*B1919))</x:f>
      </x:c>
    </x:row>
    <x:row r="1920">
      <x:c r="A1920" s="13" t="n">
        <x:v>1901</x:v>
      </x:c>
      <x:c r="B1920" s="14">
        <x:f>IF($B$12&lt;1901,"",$B$13+(1901-1)*($B$14-$B$13)/($B$12-1))</x:f>
      </x:c>
      <x:c r="C1920" s="14">
        <x:f>IF(B1920="","",$F$8*COS(B1920) + $B$7*COS($F$6*B1920))</x:f>
      </x:c>
      <x:c r="D1920" s="14">
        <x:f>IF(B1920="","",$F$8*SIN(B1920) - $B$7*SIN($F$6*B1920))</x:f>
      </x:c>
      <x:c r="E1920" s="14">
        <x:f>IF(B1920="","", C1920 + $F$12*$F$9*(-H1920)/IF(SQRT(G1920^2+H1920^2)=0,1,SQRT(G1920^2+H1920^2)))</x:f>
      </x:c>
      <x:c r="F1920" s="14">
        <x:f>IF(B1920="","", D1920 + $F$12*$F$9*(G1920)/IF(SQRT(G1920^2+H1920^2)=0,1,SQRT(G1920^2+H1920^2)))</x:f>
      </x:c>
      <x:c r="G1920" s="14">
        <x:f>IF(B1920="","", -$F$8*SIN(B1920) - $B$7*$F$6*SIN($F$6*B1920))</x:f>
      </x:c>
      <x:c r="H1920" s="14">
        <x:f>IF(B1920="","", $F$8*COS(B1920) - $B$7*$F$6*COS($F$6*B1920))</x:f>
      </x:c>
    </x:row>
    <x:row r="1921">
      <x:c r="A1921" s="13" t="n">
        <x:v>1902</x:v>
      </x:c>
      <x:c r="B1921" s="14">
        <x:f>IF($B$12&lt;1902,"",$B$13+(1902-1)*($B$14-$B$13)/($B$12-1))</x:f>
      </x:c>
      <x:c r="C1921" s="14">
        <x:f>IF(B1921="","",$F$8*COS(B1921) + $B$7*COS($F$6*B1921))</x:f>
      </x:c>
      <x:c r="D1921" s="14">
        <x:f>IF(B1921="","",$F$8*SIN(B1921) - $B$7*SIN($F$6*B1921))</x:f>
      </x:c>
      <x:c r="E1921" s="14">
        <x:f>IF(B1921="","", C1921 + $F$12*$F$9*(-H1921)/IF(SQRT(G1921^2+H1921^2)=0,1,SQRT(G1921^2+H1921^2)))</x:f>
      </x:c>
      <x:c r="F1921" s="14">
        <x:f>IF(B1921="","", D1921 + $F$12*$F$9*(G1921)/IF(SQRT(G1921^2+H1921^2)=0,1,SQRT(G1921^2+H1921^2)))</x:f>
      </x:c>
      <x:c r="G1921" s="14">
        <x:f>IF(B1921="","", -$F$8*SIN(B1921) - $B$7*$F$6*SIN($F$6*B1921))</x:f>
      </x:c>
      <x:c r="H1921" s="14">
        <x:f>IF(B1921="","", $F$8*COS(B1921) - $B$7*$F$6*COS($F$6*B1921))</x:f>
      </x:c>
    </x:row>
    <x:row r="1922">
      <x:c r="A1922" s="13" t="n">
        <x:v>1903</x:v>
      </x:c>
      <x:c r="B1922" s="14">
        <x:f>IF($B$12&lt;1903,"",$B$13+(1903-1)*($B$14-$B$13)/($B$12-1))</x:f>
      </x:c>
      <x:c r="C1922" s="14">
        <x:f>IF(B1922="","",$F$8*COS(B1922) + $B$7*COS($F$6*B1922))</x:f>
      </x:c>
      <x:c r="D1922" s="14">
        <x:f>IF(B1922="","",$F$8*SIN(B1922) - $B$7*SIN($F$6*B1922))</x:f>
      </x:c>
      <x:c r="E1922" s="14">
        <x:f>IF(B1922="","", C1922 + $F$12*$F$9*(-H1922)/IF(SQRT(G1922^2+H1922^2)=0,1,SQRT(G1922^2+H1922^2)))</x:f>
      </x:c>
      <x:c r="F1922" s="14">
        <x:f>IF(B1922="","", D1922 + $F$12*$F$9*(G1922)/IF(SQRT(G1922^2+H1922^2)=0,1,SQRT(G1922^2+H1922^2)))</x:f>
      </x:c>
      <x:c r="G1922" s="14">
        <x:f>IF(B1922="","", -$F$8*SIN(B1922) - $B$7*$F$6*SIN($F$6*B1922))</x:f>
      </x:c>
      <x:c r="H1922" s="14">
        <x:f>IF(B1922="","", $F$8*COS(B1922) - $B$7*$F$6*COS($F$6*B1922))</x:f>
      </x:c>
    </x:row>
    <x:row r="1923">
      <x:c r="A1923" s="13" t="n">
        <x:v>1904</x:v>
      </x:c>
      <x:c r="B1923" s="14">
        <x:f>IF($B$12&lt;1904,"",$B$13+(1904-1)*($B$14-$B$13)/($B$12-1))</x:f>
      </x:c>
      <x:c r="C1923" s="14">
        <x:f>IF(B1923="","",$F$8*COS(B1923) + $B$7*COS($F$6*B1923))</x:f>
      </x:c>
      <x:c r="D1923" s="14">
        <x:f>IF(B1923="","",$F$8*SIN(B1923) - $B$7*SIN($F$6*B1923))</x:f>
      </x:c>
      <x:c r="E1923" s="14">
        <x:f>IF(B1923="","", C1923 + $F$12*$F$9*(-H1923)/IF(SQRT(G1923^2+H1923^2)=0,1,SQRT(G1923^2+H1923^2)))</x:f>
      </x:c>
      <x:c r="F1923" s="14">
        <x:f>IF(B1923="","", D1923 + $F$12*$F$9*(G1923)/IF(SQRT(G1923^2+H1923^2)=0,1,SQRT(G1923^2+H1923^2)))</x:f>
      </x:c>
      <x:c r="G1923" s="14">
        <x:f>IF(B1923="","", -$F$8*SIN(B1923) - $B$7*$F$6*SIN($F$6*B1923))</x:f>
      </x:c>
      <x:c r="H1923" s="14">
        <x:f>IF(B1923="","", $F$8*COS(B1923) - $B$7*$F$6*COS($F$6*B1923))</x:f>
      </x:c>
    </x:row>
    <x:row r="1924">
      <x:c r="A1924" s="13" t="n">
        <x:v>1905</x:v>
      </x:c>
      <x:c r="B1924" s="14">
        <x:f>IF($B$12&lt;1905,"",$B$13+(1905-1)*($B$14-$B$13)/($B$12-1))</x:f>
      </x:c>
      <x:c r="C1924" s="14">
        <x:f>IF(B1924="","",$F$8*COS(B1924) + $B$7*COS($F$6*B1924))</x:f>
      </x:c>
      <x:c r="D1924" s="14">
        <x:f>IF(B1924="","",$F$8*SIN(B1924) - $B$7*SIN($F$6*B1924))</x:f>
      </x:c>
      <x:c r="E1924" s="14">
        <x:f>IF(B1924="","", C1924 + $F$12*$F$9*(-H1924)/IF(SQRT(G1924^2+H1924^2)=0,1,SQRT(G1924^2+H1924^2)))</x:f>
      </x:c>
      <x:c r="F1924" s="14">
        <x:f>IF(B1924="","", D1924 + $F$12*$F$9*(G1924)/IF(SQRT(G1924^2+H1924^2)=0,1,SQRT(G1924^2+H1924^2)))</x:f>
      </x:c>
      <x:c r="G1924" s="14">
        <x:f>IF(B1924="","", -$F$8*SIN(B1924) - $B$7*$F$6*SIN($F$6*B1924))</x:f>
      </x:c>
      <x:c r="H1924" s="14">
        <x:f>IF(B1924="","", $F$8*COS(B1924) - $B$7*$F$6*COS($F$6*B1924))</x:f>
      </x:c>
    </x:row>
    <x:row r="1925">
      <x:c r="A1925" s="13" t="n">
        <x:v>1906</x:v>
      </x:c>
      <x:c r="B1925" s="14">
        <x:f>IF($B$12&lt;1906,"",$B$13+(1906-1)*($B$14-$B$13)/($B$12-1))</x:f>
      </x:c>
      <x:c r="C1925" s="14">
        <x:f>IF(B1925="","",$F$8*COS(B1925) + $B$7*COS($F$6*B1925))</x:f>
      </x:c>
      <x:c r="D1925" s="14">
        <x:f>IF(B1925="","",$F$8*SIN(B1925) - $B$7*SIN($F$6*B1925))</x:f>
      </x:c>
      <x:c r="E1925" s="14">
        <x:f>IF(B1925="","", C1925 + $F$12*$F$9*(-H1925)/IF(SQRT(G1925^2+H1925^2)=0,1,SQRT(G1925^2+H1925^2)))</x:f>
      </x:c>
      <x:c r="F1925" s="14">
        <x:f>IF(B1925="","", D1925 + $F$12*$F$9*(G1925)/IF(SQRT(G1925^2+H1925^2)=0,1,SQRT(G1925^2+H1925^2)))</x:f>
      </x:c>
      <x:c r="G1925" s="14">
        <x:f>IF(B1925="","", -$F$8*SIN(B1925) - $B$7*$F$6*SIN($F$6*B1925))</x:f>
      </x:c>
      <x:c r="H1925" s="14">
        <x:f>IF(B1925="","", $F$8*COS(B1925) - $B$7*$F$6*COS($F$6*B1925))</x:f>
      </x:c>
    </x:row>
    <x:row r="1926">
      <x:c r="A1926" s="13" t="n">
        <x:v>1907</x:v>
      </x:c>
      <x:c r="B1926" s="14">
        <x:f>IF($B$12&lt;1907,"",$B$13+(1907-1)*($B$14-$B$13)/($B$12-1))</x:f>
      </x:c>
      <x:c r="C1926" s="14">
        <x:f>IF(B1926="","",$F$8*COS(B1926) + $B$7*COS($F$6*B1926))</x:f>
      </x:c>
      <x:c r="D1926" s="14">
        <x:f>IF(B1926="","",$F$8*SIN(B1926) - $B$7*SIN($F$6*B1926))</x:f>
      </x:c>
      <x:c r="E1926" s="14">
        <x:f>IF(B1926="","", C1926 + $F$12*$F$9*(-H1926)/IF(SQRT(G1926^2+H1926^2)=0,1,SQRT(G1926^2+H1926^2)))</x:f>
      </x:c>
      <x:c r="F1926" s="14">
        <x:f>IF(B1926="","", D1926 + $F$12*$F$9*(G1926)/IF(SQRT(G1926^2+H1926^2)=0,1,SQRT(G1926^2+H1926^2)))</x:f>
      </x:c>
      <x:c r="G1926" s="14">
        <x:f>IF(B1926="","", -$F$8*SIN(B1926) - $B$7*$F$6*SIN($F$6*B1926))</x:f>
      </x:c>
      <x:c r="H1926" s="14">
        <x:f>IF(B1926="","", $F$8*COS(B1926) - $B$7*$F$6*COS($F$6*B1926))</x:f>
      </x:c>
    </x:row>
    <x:row r="1927">
      <x:c r="A1927" s="13" t="n">
        <x:v>1908</x:v>
      </x:c>
      <x:c r="B1927" s="14">
        <x:f>IF($B$12&lt;1908,"",$B$13+(1908-1)*($B$14-$B$13)/($B$12-1))</x:f>
      </x:c>
      <x:c r="C1927" s="14">
        <x:f>IF(B1927="","",$F$8*COS(B1927) + $B$7*COS($F$6*B1927))</x:f>
      </x:c>
      <x:c r="D1927" s="14">
        <x:f>IF(B1927="","",$F$8*SIN(B1927) - $B$7*SIN($F$6*B1927))</x:f>
      </x:c>
      <x:c r="E1927" s="14">
        <x:f>IF(B1927="","", C1927 + $F$12*$F$9*(-H1927)/IF(SQRT(G1927^2+H1927^2)=0,1,SQRT(G1927^2+H1927^2)))</x:f>
      </x:c>
      <x:c r="F1927" s="14">
        <x:f>IF(B1927="","", D1927 + $F$12*$F$9*(G1927)/IF(SQRT(G1927^2+H1927^2)=0,1,SQRT(G1927^2+H1927^2)))</x:f>
      </x:c>
      <x:c r="G1927" s="14">
        <x:f>IF(B1927="","", -$F$8*SIN(B1927) - $B$7*$F$6*SIN($F$6*B1927))</x:f>
      </x:c>
      <x:c r="H1927" s="14">
        <x:f>IF(B1927="","", $F$8*COS(B1927) - $B$7*$F$6*COS($F$6*B1927))</x:f>
      </x:c>
    </x:row>
    <x:row r="1928">
      <x:c r="A1928" s="13" t="n">
        <x:v>1909</x:v>
      </x:c>
      <x:c r="B1928" s="14">
        <x:f>IF($B$12&lt;1909,"",$B$13+(1909-1)*($B$14-$B$13)/($B$12-1))</x:f>
      </x:c>
      <x:c r="C1928" s="14">
        <x:f>IF(B1928="","",$F$8*COS(B1928) + $B$7*COS($F$6*B1928))</x:f>
      </x:c>
      <x:c r="D1928" s="14">
        <x:f>IF(B1928="","",$F$8*SIN(B1928) - $B$7*SIN($F$6*B1928))</x:f>
      </x:c>
      <x:c r="E1928" s="14">
        <x:f>IF(B1928="","", C1928 + $F$12*$F$9*(-H1928)/IF(SQRT(G1928^2+H1928^2)=0,1,SQRT(G1928^2+H1928^2)))</x:f>
      </x:c>
      <x:c r="F1928" s="14">
        <x:f>IF(B1928="","", D1928 + $F$12*$F$9*(G1928)/IF(SQRT(G1928^2+H1928^2)=0,1,SQRT(G1928^2+H1928^2)))</x:f>
      </x:c>
      <x:c r="G1928" s="14">
        <x:f>IF(B1928="","", -$F$8*SIN(B1928) - $B$7*$F$6*SIN($F$6*B1928))</x:f>
      </x:c>
      <x:c r="H1928" s="14">
        <x:f>IF(B1928="","", $F$8*COS(B1928) - $B$7*$F$6*COS($F$6*B1928))</x:f>
      </x:c>
    </x:row>
    <x:row r="1929">
      <x:c r="A1929" s="13" t="n">
        <x:v>1910</x:v>
      </x:c>
      <x:c r="B1929" s="14">
        <x:f>IF($B$12&lt;1910,"",$B$13+(1910-1)*($B$14-$B$13)/($B$12-1))</x:f>
      </x:c>
      <x:c r="C1929" s="14">
        <x:f>IF(B1929="","",$F$8*COS(B1929) + $B$7*COS($F$6*B1929))</x:f>
      </x:c>
      <x:c r="D1929" s="14">
        <x:f>IF(B1929="","",$F$8*SIN(B1929) - $B$7*SIN($F$6*B1929))</x:f>
      </x:c>
      <x:c r="E1929" s="14">
        <x:f>IF(B1929="","", C1929 + $F$12*$F$9*(-H1929)/IF(SQRT(G1929^2+H1929^2)=0,1,SQRT(G1929^2+H1929^2)))</x:f>
      </x:c>
      <x:c r="F1929" s="14">
        <x:f>IF(B1929="","", D1929 + $F$12*$F$9*(G1929)/IF(SQRT(G1929^2+H1929^2)=0,1,SQRT(G1929^2+H1929^2)))</x:f>
      </x:c>
      <x:c r="G1929" s="14">
        <x:f>IF(B1929="","", -$F$8*SIN(B1929) - $B$7*$F$6*SIN($F$6*B1929))</x:f>
      </x:c>
      <x:c r="H1929" s="14">
        <x:f>IF(B1929="","", $F$8*COS(B1929) - $B$7*$F$6*COS($F$6*B1929))</x:f>
      </x:c>
    </x:row>
    <x:row r="1930">
      <x:c r="A1930" s="13" t="n">
        <x:v>1911</x:v>
      </x:c>
      <x:c r="B1930" s="14">
        <x:f>IF($B$12&lt;1911,"",$B$13+(1911-1)*($B$14-$B$13)/($B$12-1))</x:f>
      </x:c>
      <x:c r="C1930" s="14">
        <x:f>IF(B1930="","",$F$8*COS(B1930) + $B$7*COS($F$6*B1930))</x:f>
      </x:c>
      <x:c r="D1930" s="14">
        <x:f>IF(B1930="","",$F$8*SIN(B1930) - $B$7*SIN($F$6*B1930))</x:f>
      </x:c>
      <x:c r="E1930" s="14">
        <x:f>IF(B1930="","", C1930 + $F$12*$F$9*(-H1930)/IF(SQRT(G1930^2+H1930^2)=0,1,SQRT(G1930^2+H1930^2)))</x:f>
      </x:c>
      <x:c r="F1930" s="14">
        <x:f>IF(B1930="","", D1930 + $F$12*$F$9*(G1930)/IF(SQRT(G1930^2+H1930^2)=0,1,SQRT(G1930^2+H1930^2)))</x:f>
      </x:c>
      <x:c r="G1930" s="14">
        <x:f>IF(B1930="","", -$F$8*SIN(B1930) - $B$7*$F$6*SIN($F$6*B1930))</x:f>
      </x:c>
      <x:c r="H1930" s="14">
        <x:f>IF(B1930="","", $F$8*COS(B1930) - $B$7*$F$6*COS($F$6*B1930))</x:f>
      </x:c>
    </x:row>
    <x:row r="1931">
      <x:c r="A1931" s="13" t="n">
        <x:v>1912</x:v>
      </x:c>
      <x:c r="B1931" s="14">
        <x:f>IF($B$12&lt;1912,"",$B$13+(1912-1)*($B$14-$B$13)/($B$12-1))</x:f>
      </x:c>
      <x:c r="C1931" s="14">
        <x:f>IF(B1931="","",$F$8*COS(B1931) + $B$7*COS($F$6*B1931))</x:f>
      </x:c>
      <x:c r="D1931" s="14">
        <x:f>IF(B1931="","",$F$8*SIN(B1931) - $B$7*SIN($F$6*B1931))</x:f>
      </x:c>
      <x:c r="E1931" s="14">
        <x:f>IF(B1931="","", C1931 + $F$12*$F$9*(-H1931)/IF(SQRT(G1931^2+H1931^2)=0,1,SQRT(G1931^2+H1931^2)))</x:f>
      </x:c>
      <x:c r="F1931" s="14">
        <x:f>IF(B1931="","", D1931 + $F$12*$F$9*(G1931)/IF(SQRT(G1931^2+H1931^2)=0,1,SQRT(G1931^2+H1931^2)))</x:f>
      </x:c>
      <x:c r="G1931" s="14">
        <x:f>IF(B1931="","", -$F$8*SIN(B1931) - $B$7*$F$6*SIN($F$6*B1931))</x:f>
      </x:c>
      <x:c r="H1931" s="14">
        <x:f>IF(B1931="","", $F$8*COS(B1931) - $B$7*$F$6*COS($F$6*B1931))</x:f>
      </x:c>
    </x:row>
    <x:row r="1932">
      <x:c r="A1932" s="13" t="n">
        <x:v>1913</x:v>
      </x:c>
      <x:c r="B1932" s="14">
        <x:f>IF($B$12&lt;1913,"",$B$13+(1913-1)*($B$14-$B$13)/($B$12-1))</x:f>
      </x:c>
      <x:c r="C1932" s="14">
        <x:f>IF(B1932="","",$F$8*COS(B1932) + $B$7*COS($F$6*B1932))</x:f>
      </x:c>
      <x:c r="D1932" s="14">
        <x:f>IF(B1932="","",$F$8*SIN(B1932) - $B$7*SIN($F$6*B1932))</x:f>
      </x:c>
      <x:c r="E1932" s="14">
        <x:f>IF(B1932="","", C1932 + $F$12*$F$9*(-H1932)/IF(SQRT(G1932^2+H1932^2)=0,1,SQRT(G1932^2+H1932^2)))</x:f>
      </x:c>
      <x:c r="F1932" s="14">
        <x:f>IF(B1932="","", D1932 + $F$12*$F$9*(G1932)/IF(SQRT(G1932^2+H1932^2)=0,1,SQRT(G1932^2+H1932^2)))</x:f>
      </x:c>
      <x:c r="G1932" s="14">
        <x:f>IF(B1932="","", -$F$8*SIN(B1932) - $B$7*$F$6*SIN($F$6*B1932))</x:f>
      </x:c>
      <x:c r="H1932" s="14">
        <x:f>IF(B1932="","", $F$8*COS(B1932) - $B$7*$F$6*COS($F$6*B1932))</x:f>
      </x:c>
    </x:row>
    <x:row r="1933">
      <x:c r="A1933" s="13" t="n">
        <x:v>1914</x:v>
      </x:c>
      <x:c r="B1933" s="14">
        <x:f>IF($B$12&lt;1914,"",$B$13+(1914-1)*($B$14-$B$13)/($B$12-1))</x:f>
      </x:c>
      <x:c r="C1933" s="14">
        <x:f>IF(B1933="","",$F$8*COS(B1933) + $B$7*COS($F$6*B1933))</x:f>
      </x:c>
      <x:c r="D1933" s="14">
        <x:f>IF(B1933="","",$F$8*SIN(B1933) - $B$7*SIN($F$6*B1933))</x:f>
      </x:c>
      <x:c r="E1933" s="14">
        <x:f>IF(B1933="","", C1933 + $F$12*$F$9*(-H1933)/IF(SQRT(G1933^2+H1933^2)=0,1,SQRT(G1933^2+H1933^2)))</x:f>
      </x:c>
      <x:c r="F1933" s="14">
        <x:f>IF(B1933="","", D1933 + $F$12*$F$9*(G1933)/IF(SQRT(G1933^2+H1933^2)=0,1,SQRT(G1933^2+H1933^2)))</x:f>
      </x:c>
      <x:c r="G1933" s="14">
        <x:f>IF(B1933="","", -$F$8*SIN(B1933) - $B$7*$F$6*SIN($F$6*B1933))</x:f>
      </x:c>
      <x:c r="H1933" s="14">
        <x:f>IF(B1933="","", $F$8*COS(B1933) - $B$7*$F$6*COS($F$6*B1933))</x:f>
      </x:c>
    </x:row>
    <x:row r="1934">
      <x:c r="A1934" s="13" t="n">
        <x:v>1915</x:v>
      </x:c>
      <x:c r="B1934" s="14">
        <x:f>IF($B$12&lt;1915,"",$B$13+(1915-1)*($B$14-$B$13)/($B$12-1))</x:f>
      </x:c>
      <x:c r="C1934" s="14">
        <x:f>IF(B1934="","",$F$8*COS(B1934) + $B$7*COS($F$6*B1934))</x:f>
      </x:c>
      <x:c r="D1934" s="14">
        <x:f>IF(B1934="","",$F$8*SIN(B1934) - $B$7*SIN($F$6*B1934))</x:f>
      </x:c>
      <x:c r="E1934" s="14">
        <x:f>IF(B1934="","", C1934 + $F$12*$F$9*(-H1934)/IF(SQRT(G1934^2+H1934^2)=0,1,SQRT(G1934^2+H1934^2)))</x:f>
      </x:c>
      <x:c r="F1934" s="14">
        <x:f>IF(B1934="","", D1934 + $F$12*$F$9*(G1934)/IF(SQRT(G1934^2+H1934^2)=0,1,SQRT(G1934^2+H1934^2)))</x:f>
      </x:c>
      <x:c r="G1934" s="14">
        <x:f>IF(B1934="","", -$F$8*SIN(B1934) - $B$7*$F$6*SIN($F$6*B1934))</x:f>
      </x:c>
      <x:c r="H1934" s="14">
        <x:f>IF(B1934="","", $F$8*COS(B1934) - $B$7*$F$6*COS($F$6*B1934))</x:f>
      </x:c>
    </x:row>
    <x:row r="1935">
      <x:c r="A1935" s="13" t="n">
        <x:v>1916</x:v>
      </x:c>
      <x:c r="B1935" s="14">
        <x:f>IF($B$12&lt;1916,"",$B$13+(1916-1)*($B$14-$B$13)/($B$12-1))</x:f>
      </x:c>
      <x:c r="C1935" s="14">
        <x:f>IF(B1935="","",$F$8*COS(B1935) + $B$7*COS($F$6*B1935))</x:f>
      </x:c>
      <x:c r="D1935" s="14">
        <x:f>IF(B1935="","",$F$8*SIN(B1935) - $B$7*SIN($F$6*B1935))</x:f>
      </x:c>
      <x:c r="E1935" s="14">
        <x:f>IF(B1935="","", C1935 + $F$12*$F$9*(-H1935)/IF(SQRT(G1935^2+H1935^2)=0,1,SQRT(G1935^2+H1935^2)))</x:f>
      </x:c>
      <x:c r="F1935" s="14">
        <x:f>IF(B1935="","", D1935 + $F$12*$F$9*(G1935)/IF(SQRT(G1935^2+H1935^2)=0,1,SQRT(G1935^2+H1935^2)))</x:f>
      </x:c>
      <x:c r="G1935" s="14">
        <x:f>IF(B1935="","", -$F$8*SIN(B1935) - $B$7*$F$6*SIN($F$6*B1935))</x:f>
      </x:c>
      <x:c r="H1935" s="14">
        <x:f>IF(B1935="","", $F$8*COS(B1935) - $B$7*$F$6*COS($F$6*B1935))</x:f>
      </x:c>
    </x:row>
    <x:row r="1936">
      <x:c r="A1936" s="13" t="n">
        <x:v>1917</x:v>
      </x:c>
      <x:c r="B1936" s="14">
        <x:f>IF($B$12&lt;1917,"",$B$13+(1917-1)*($B$14-$B$13)/($B$12-1))</x:f>
      </x:c>
      <x:c r="C1936" s="14">
        <x:f>IF(B1936="","",$F$8*COS(B1936) + $B$7*COS($F$6*B1936))</x:f>
      </x:c>
      <x:c r="D1936" s="14">
        <x:f>IF(B1936="","",$F$8*SIN(B1936) - $B$7*SIN($F$6*B1936))</x:f>
      </x:c>
      <x:c r="E1936" s="14">
        <x:f>IF(B1936="","", C1936 + $F$12*$F$9*(-H1936)/IF(SQRT(G1936^2+H1936^2)=0,1,SQRT(G1936^2+H1936^2)))</x:f>
      </x:c>
      <x:c r="F1936" s="14">
        <x:f>IF(B1936="","", D1936 + $F$12*$F$9*(G1936)/IF(SQRT(G1936^2+H1936^2)=0,1,SQRT(G1936^2+H1936^2)))</x:f>
      </x:c>
      <x:c r="G1936" s="14">
        <x:f>IF(B1936="","", -$F$8*SIN(B1936) - $B$7*$F$6*SIN($F$6*B1936))</x:f>
      </x:c>
      <x:c r="H1936" s="14">
        <x:f>IF(B1936="","", $F$8*COS(B1936) - $B$7*$F$6*COS($F$6*B1936))</x:f>
      </x:c>
    </x:row>
    <x:row r="1937">
      <x:c r="A1937" s="13" t="n">
        <x:v>1918</x:v>
      </x:c>
      <x:c r="B1937" s="14">
        <x:f>IF($B$12&lt;1918,"",$B$13+(1918-1)*($B$14-$B$13)/($B$12-1))</x:f>
      </x:c>
      <x:c r="C1937" s="14">
        <x:f>IF(B1937="","",$F$8*COS(B1937) + $B$7*COS($F$6*B1937))</x:f>
      </x:c>
      <x:c r="D1937" s="14">
        <x:f>IF(B1937="","",$F$8*SIN(B1937) - $B$7*SIN($F$6*B1937))</x:f>
      </x:c>
      <x:c r="E1937" s="14">
        <x:f>IF(B1937="","", C1937 + $F$12*$F$9*(-H1937)/IF(SQRT(G1937^2+H1937^2)=0,1,SQRT(G1937^2+H1937^2)))</x:f>
      </x:c>
      <x:c r="F1937" s="14">
        <x:f>IF(B1937="","", D1937 + $F$12*$F$9*(G1937)/IF(SQRT(G1937^2+H1937^2)=0,1,SQRT(G1937^2+H1937^2)))</x:f>
      </x:c>
      <x:c r="G1937" s="14">
        <x:f>IF(B1937="","", -$F$8*SIN(B1937) - $B$7*$F$6*SIN($F$6*B1937))</x:f>
      </x:c>
      <x:c r="H1937" s="14">
        <x:f>IF(B1937="","", $F$8*COS(B1937) - $B$7*$F$6*COS($F$6*B1937))</x:f>
      </x:c>
    </x:row>
    <x:row r="1938">
      <x:c r="A1938" s="13" t="n">
        <x:v>1919</x:v>
      </x:c>
      <x:c r="B1938" s="14">
        <x:f>IF($B$12&lt;1919,"",$B$13+(1919-1)*($B$14-$B$13)/($B$12-1))</x:f>
      </x:c>
      <x:c r="C1938" s="14">
        <x:f>IF(B1938="","",$F$8*COS(B1938) + $B$7*COS($F$6*B1938))</x:f>
      </x:c>
      <x:c r="D1938" s="14">
        <x:f>IF(B1938="","",$F$8*SIN(B1938) - $B$7*SIN($F$6*B1938))</x:f>
      </x:c>
      <x:c r="E1938" s="14">
        <x:f>IF(B1938="","", C1938 + $F$12*$F$9*(-H1938)/IF(SQRT(G1938^2+H1938^2)=0,1,SQRT(G1938^2+H1938^2)))</x:f>
      </x:c>
      <x:c r="F1938" s="14">
        <x:f>IF(B1938="","", D1938 + $F$12*$F$9*(G1938)/IF(SQRT(G1938^2+H1938^2)=0,1,SQRT(G1938^2+H1938^2)))</x:f>
      </x:c>
      <x:c r="G1938" s="14">
        <x:f>IF(B1938="","", -$F$8*SIN(B1938) - $B$7*$F$6*SIN($F$6*B1938))</x:f>
      </x:c>
      <x:c r="H1938" s="14">
        <x:f>IF(B1938="","", $F$8*COS(B1938) - $B$7*$F$6*COS($F$6*B1938))</x:f>
      </x:c>
    </x:row>
    <x:row r="1939">
      <x:c r="A1939" s="13" t="n">
        <x:v>1920</x:v>
      </x:c>
      <x:c r="B1939" s="14">
        <x:f>IF($B$12&lt;1920,"",$B$13+(1920-1)*($B$14-$B$13)/($B$12-1))</x:f>
      </x:c>
      <x:c r="C1939" s="14">
        <x:f>IF(B1939="","",$F$8*COS(B1939) + $B$7*COS($F$6*B1939))</x:f>
      </x:c>
      <x:c r="D1939" s="14">
        <x:f>IF(B1939="","",$F$8*SIN(B1939) - $B$7*SIN($F$6*B1939))</x:f>
      </x:c>
      <x:c r="E1939" s="14">
        <x:f>IF(B1939="","", C1939 + $F$12*$F$9*(-H1939)/IF(SQRT(G1939^2+H1939^2)=0,1,SQRT(G1939^2+H1939^2)))</x:f>
      </x:c>
      <x:c r="F1939" s="14">
        <x:f>IF(B1939="","", D1939 + $F$12*$F$9*(G1939)/IF(SQRT(G1939^2+H1939^2)=0,1,SQRT(G1939^2+H1939^2)))</x:f>
      </x:c>
      <x:c r="G1939" s="14">
        <x:f>IF(B1939="","", -$F$8*SIN(B1939) - $B$7*$F$6*SIN($F$6*B1939))</x:f>
      </x:c>
      <x:c r="H1939" s="14">
        <x:f>IF(B1939="","", $F$8*COS(B1939) - $B$7*$F$6*COS($F$6*B1939))</x:f>
      </x:c>
    </x:row>
    <x:row r="1940">
      <x:c r="A1940" s="13" t="n">
        <x:v>1921</x:v>
      </x:c>
      <x:c r="B1940" s="14">
        <x:f>IF($B$12&lt;1921,"",$B$13+(1921-1)*($B$14-$B$13)/($B$12-1))</x:f>
      </x:c>
      <x:c r="C1940" s="14">
        <x:f>IF(B1940="","",$F$8*COS(B1940) + $B$7*COS($F$6*B1940))</x:f>
      </x:c>
      <x:c r="D1940" s="14">
        <x:f>IF(B1940="","",$F$8*SIN(B1940) - $B$7*SIN($F$6*B1940))</x:f>
      </x:c>
      <x:c r="E1940" s="14">
        <x:f>IF(B1940="","", C1940 + $F$12*$F$9*(-H1940)/IF(SQRT(G1940^2+H1940^2)=0,1,SQRT(G1940^2+H1940^2)))</x:f>
      </x:c>
      <x:c r="F1940" s="14">
        <x:f>IF(B1940="","", D1940 + $F$12*$F$9*(G1940)/IF(SQRT(G1940^2+H1940^2)=0,1,SQRT(G1940^2+H1940^2)))</x:f>
      </x:c>
      <x:c r="G1940" s="14">
        <x:f>IF(B1940="","", -$F$8*SIN(B1940) - $B$7*$F$6*SIN($F$6*B1940))</x:f>
      </x:c>
      <x:c r="H1940" s="14">
        <x:f>IF(B1940="","", $F$8*COS(B1940) - $B$7*$F$6*COS($F$6*B1940))</x:f>
      </x:c>
    </x:row>
    <x:row r="1941">
      <x:c r="A1941" s="13" t="n">
        <x:v>1922</x:v>
      </x:c>
      <x:c r="B1941" s="14">
        <x:f>IF($B$12&lt;1922,"",$B$13+(1922-1)*($B$14-$B$13)/($B$12-1))</x:f>
      </x:c>
      <x:c r="C1941" s="14">
        <x:f>IF(B1941="","",$F$8*COS(B1941) + $B$7*COS($F$6*B1941))</x:f>
      </x:c>
      <x:c r="D1941" s="14">
        <x:f>IF(B1941="","",$F$8*SIN(B1941) - $B$7*SIN($F$6*B1941))</x:f>
      </x:c>
      <x:c r="E1941" s="14">
        <x:f>IF(B1941="","", C1941 + $F$12*$F$9*(-H1941)/IF(SQRT(G1941^2+H1941^2)=0,1,SQRT(G1941^2+H1941^2)))</x:f>
      </x:c>
      <x:c r="F1941" s="14">
        <x:f>IF(B1941="","", D1941 + $F$12*$F$9*(G1941)/IF(SQRT(G1941^2+H1941^2)=0,1,SQRT(G1941^2+H1941^2)))</x:f>
      </x:c>
      <x:c r="G1941" s="14">
        <x:f>IF(B1941="","", -$F$8*SIN(B1941) - $B$7*$F$6*SIN($F$6*B1941))</x:f>
      </x:c>
      <x:c r="H1941" s="14">
        <x:f>IF(B1941="","", $F$8*COS(B1941) - $B$7*$F$6*COS($F$6*B1941))</x:f>
      </x:c>
    </x:row>
    <x:row r="1942">
      <x:c r="A1942" s="13" t="n">
        <x:v>1923</x:v>
      </x:c>
      <x:c r="B1942" s="14">
        <x:f>IF($B$12&lt;1923,"",$B$13+(1923-1)*($B$14-$B$13)/($B$12-1))</x:f>
      </x:c>
      <x:c r="C1942" s="14">
        <x:f>IF(B1942="","",$F$8*COS(B1942) + $B$7*COS($F$6*B1942))</x:f>
      </x:c>
      <x:c r="D1942" s="14">
        <x:f>IF(B1942="","",$F$8*SIN(B1942) - $B$7*SIN($F$6*B1942))</x:f>
      </x:c>
      <x:c r="E1942" s="14">
        <x:f>IF(B1942="","", C1942 + $F$12*$F$9*(-H1942)/IF(SQRT(G1942^2+H1942^2)=0,1,SQRT(G1942^2+H1942^2)))</x:f>
      </x:c>
      <x:c r="F1942" s="14">
        <x:f>IF(B1942="","", D1942 + $F$12*$F$9*(G1942)/IF(SQRT(G1942^2+H1942^2)=0,1,SQRT(G1942^2+H1942^2)))</x:f>
      </x:c>
      <x:c r="G1942" s="14">
        <x:f>IF(B1942="","", -$F$8*SIN(B1942) - $B$7*$F$6*SIN($F$6*B1942))</x:f>
      </x:c>
      <x:c r="H1942" s="14">
        <x:f>IF(B1942="","", $F$8*COS(B1942) - $B$7*$F$6*COS($F$6*B1942))</x:f>
      </x:c>
    </x:row>
    <x:row r="1943">
      <x:c r="A1943" s="13" t="n">
        <x:v>1924</x:v>
      </x:c>
      <x:c r="B1943" s="14">
        <x:f>IF($B$12&lt;1924,"",$B$13+(1924-1)*($B$14-$B$13)/($B$12-1))</x:f>
      </x:c>
      <x:c r="C1943" s="14">
        <x:f>IF(B1943="","",$F$8*COS(B1943) + $B$7*COS($F$6*B1943))</x:f>
      </x:c>
      <x:c r="D1943" s="14">
        <x:f>IF(B1943="","",$F$8*SIN(B1943) - $B$7*SIN($F$6*B1943))</x:f>
      </x:c>
      <x:c r="E1943" s="14">
        <x:f>IF(B1943="","", C1943 + $F$12*$F$9*(-H1943)/IF(SQRT(G1943^2+H1943^2)=0,1,SQRT(G1943^2+H1943^2)))</x:f>
      </x:c>
      <x:c r="F1943" s="14">
        <x:f>IF(B1943="","", D1943 + $F$12*$F$9*(G1943)/IF(SQRT(G1943^2+H1943^2)=0,1,SQRT(G1943^2+H1943^2)))</x:f>
      </x:c>
      <x:c r="G1943" s="14">
        <x:f>IF(B1943="","", -$F$8*SIN(B1943) - $B$7*$F$6*SIN($F$6*B1943))</x:f>
      </x:c>
      <x:c r="H1943" s="14">
        <x:f>IF(B1943="","", $F$8*COS(B1943) - $B$7*$F$6*COS($F$6*B1943))</x:f>
      </x:c>
    </x:row>
    <x:row r="1944">
      <x:c r="A1944" s="13" t="n">
        <x:v>1925</x:v>
      </x:c>
      <x:c r="B1944" s="14">
        <x:f>IF($B$12&lt;1925,"",$B$13+(1925-1)*($B$14-$B$13)/($B$12-1))</x:f>
      </x:c>
      <x:c r="C1944" s="14">
        <x:f>IF(B1944="","",$F$8*COS(B1944) + $B$7*COS($F$6*B1944))</x:f>
      </x:c>
      <x:c r="D1944" s="14">
        <x:f>IF(B1944="","",$F$8*SIN(B1944) - $B$7*SIN($F$6*B1944))</x:f>
      </x:c>
      <x:c r="E1944" s="14">
        <x:f>IF(B1944="","", C1944 + $F$12*$F$9*(-H1944)/IF(SQRT(G1944^2+H1944^2)=0,1,SQRT(G1944^2+H1944^2)))</x:f>
      </x:c>
      <x:c r="F1944" s="14">
        <x:f>IF(B1944="","", D1944 + $F$12*$F$9*(G1944)/IF(SQRT(G1944^2+H1944^2)=0,1,SQRT(G1944^2+H1944^2)))</x:f>
      </x:c>
      <x:c r="G1944" s="14">
        <x:f>IF(B1944="","", -$F$8*SIN(B1944) - $B$7*$F$6*SIN($F$6*B1944))</x:f>
      </x:c>
      <x:c r="H1944" s="14">
        <x:f>IF(B1944="","", $F$8*COS(B1944) - $B$7*$F$6*COS($F$6*B1944))</x:f>
      </x:c>
    </x:row>
    <x:row r="1945">
      <x:c r="A1945" s="13" t="n">
        <x:v>1926</x:v>
      </x:c>
      <x:c r="B1945" s="14">
        <x:f>IF($B$12&lt;1926,"",$B$13+(1926-1)*($B$14-$B$13)/($B$12-1))</x:f>
      </x:c>
      <x:c r="C1945" s="14">
        <x:f>IF(B1945="","",$F$8*COS(B1945) + $B$7*COS($F$6*B1945))</x:f>
      </x:c>
      <x:c r="D1945" s="14">
        <x:f>IF(B1945="","",$F$8*SIN(B1945) - $B$7*SIN($F$6*B1945))</x:f>
      </x:c>
      <x:c r="E1945" s="14">
        <x:f>IF(B1945="","", C1945 + $F$12*$F$9*(-H1945)/IF(SQRT(G1945^2+H1945^2)=0,1,SQRT(G1945^2+H1945^2)))</x:f>
      </x:c>
      <x:c r="F1945" s="14">
        <x:f>IF(B1945="","", D1945 + $F$12*$F$9*(G1945)/IF(SQRT(G1945^2+H1945^2)=0,1,SQRT(G1945^2+H1945^2)))</x:f>
      </x:c>
      <x:c r="G1945" s="14">
        <x:f>IF(B1945="","", -$F$8*SIN(B1945) - $B$7*$F$6*SIN($F$6*B1945))</x:f>
      </x:c>
      <x:c r="H1945" s="14">
        <x:f>IF(B1945="","", $F$8*COS(B1945) - $B$7*$F$6*COS($F$6*B1945))</x:f>
      </x:c>
    </x:row>
    <x:row r="1946">
      <x:c r="A1946" s="13" t="n">
        <x:v>1927</x:v>
      </x:c>
      <x:c r="B1946" s="14">
        <x:f>IF($B$12&lt;1927,"",$B$13+(1927-1)*($B$14-$B$13)/($B$12-1))</x:f>
      </x:c>
      <x:c r="C1946" s="14">
        <x:f>IF(B1946="","",$F$8*COS(B1946) + $B$7*COS($F$6*B1946))</x:f>
      </x:c>
      <x:c r="D1946" s="14">
        <x:f>IF(B1946="","",$F$8*SIN(B1946) - $B$7*SIN($F$6*B1946))</x:f>
      </x:c>
      <x:c r="E1946" s="14">
        <x:f>IF(B1946="","", C1946 + $F$12*$F$9*(-H1946)/IF(SQRT(G1946^2+H1946^2)=0,1,SQRT(G1946^2+H1946^2)))</x:f>
      </x:c>
      <x:c r="F1946" s="14">
        <x:f>IF(B1946="","", D1946 + $F$12*$F$9*(G1946)/IF(SQRT(G1946^2+H1946^2)=0,1,SQRT(G1946^2+H1946^2)))</x:f>
      </x:c>
      <x:c r="G1946" s="14">
        <x:f>IF(B1946="","", -$F$8*SIN(B1946) - $B$7*$F$6*SIN($F$6*B1946))</x:f>
      </x:c>
      <x:c r="H1946" s="14">
        <x:f>IF(B1946="","", $F$8*COS(B1946) - $B$7*$F$6*COS($F$6*B1946))</x:f>
      </x:c>
    </x:row>
    <x:row r="1947">
      <x:c r="A1947" s="13" t="n">
        <x:v>1928</x:v>
      </x:c>
      <x:c r="B1947" s="14">
        <x:f>IF($B$12&lt;1928,"",$B$13+(1928-1)*($B$14-$B$13)/($B$12-1))</x:f>
      </x:c>
      <x:c r="C1947" s="14">
        <x:f>IF(B1947="","",$F$8*COS(B1947) + $B$7*COS($F$6*B1947))</x:f>
      </x:c>
      <x:c r="D1947" s="14">
        <x:f>IF(B1947="","",$F$8*SIN(B1947) - $B$7*SIN($F$6*B1947))</x:f>
      </x:c>
      <x:c r="E1947" s="14">
        <x:f>IF(B1947="","", C1947 + $F$12*$F$9*(-H1947)/IF(SQRT(G1947^2+H1947^2)=0,1,SQRT(G1947^2+H1947^2)))</x:f>
      </x:c>
      <x:c r="F1947" s="14">
        <x:f>IF(B1947="","", D1947 + $F$12*$F$9*(G1947)/IF(SQRT(G1947^2+H1947^2)=0,1,SQRT(G1947^2+H1947^2)))</x:f>
      </x:c>
      <x:c r="G1947" s="14">
        <x:f>IF(B1947="","", -$F$8*SIN(B1947) - $B$7*$F$6*SIN($F$6*B1947))</x:f>
      </x:c>
      <x:c r="H1947" s="14">
        <x:f>IF(B1947="","", $F$8*COS(B1947) - $B$7*$F$6*COS($F$6*B1947))</x:f>
      </x:c>
    </x:row>
    <x:row r="1948">
      <x:c r="A1948" s="13" t="n">
        <x:v>1929</x:v>
      </x:c>
      <x:c r="B1948" s="14">
        <x:f>IF($B$12&lt;1929,"",$B$13+(1929-1)*($B$14-$B$13)/($B$12-1))</x:f>
      </x:c>
      <x:c r="C1948" s="14">
        <x:f>IF(B1948="","",$F$8*COS(B1948) + $B$7*COS($F$6*B1948))</x:f>
      </x:c>
      <x:c r="D1948" s="14">
        <x:f>IF(B1948="","",$F$8*SIN(B1948) - $B$7*SIN($F$6*B1948))</x:f>
      </x:c>
      <x:c r="E1948" s="14">
        <x:f>IF(B1948="","", C1948 + $F$12*$F$9*(-H1948)/IF(SQRT(G1948^2+H1948^2)=0,1,SQRT(G1948^2+H1948^2)))</x:f>
      </x:c>
      <x:c r="F1948" s="14">
        <x:f>IF(B1948="","", D1948 + $F$12*$F$9*(G1948)/IF(SQRT(G1948^2+H1948^2)=0,1,SQRT(G1948^2+H1948^2)))</x:f>
      </x:c>
      <x:c r="G1948" s="14">
        <x:f>IF(B1948="","", -$F$8*SIN(B1948) - $B$7*$F$6*SIN($F$6*B1948))</x:f>
      </x:c>
      <x:c r="H1948" s="14">
        <x:f>IF(B1948="","", $F$8*COS(B1948) - $B$7*$F$6*COS($F$6*B1948))</x:f>
      </x:c>
    </x:row>
    <x:row r="1949">
      <x:c r="A1949" s="13" t="n">
        <x:v>1930</x:v>
      </x:c>
      <x:c r="B1949" s="14">
        <x:f>IF($B$12&lt;1930,"",$B$13+(1930-1)*($B$14-$B$13)/($B$12-1))</x:f>
      </x:c>
      <x:c r="C1949" s="14">
        <x:f>IF(B1949="","",$F$8*COS(B1949) + $B$7*COS($F$6*B1949))</x:f>
      </x:c>
      <x:c r="D1949" s="14">
        <x:f>IF(B1949="","",$F$8*SIN(B1949) - $B$7*SIN($F$6*B1949))</x:f>
      </x:c>
      <x:c r="E1949" s="14">
        <x:f>IF(B1949="","", C1949 + $F$12*$F$9*(-H1949)/IF(SQRT(G1949^2+H1949^2)=0,1,SQRT(G1949^2+H1949^2)))</x:f>
      </x:c>
      <x:c r="F1949" s="14">
        <x:f>IF(B1949="","", D1949 + $F$12*$F$9*(G1949)/IF(SQRT(G1949^2+H1949^2)=0,1,SQRT(G1949^2+H1949^2)))</x:f>
      </x:c>
      <x:c r="G1949" s="14">
        <x:f>IF(B1949="","", -$F$8*SIN(B1949) - $B$7*$F$6*SIN($F$6*B1949))</x:f>
      </x:c>
      <x:c r="H1949" s="14">
        <x:f>IF(B1949="","", $F$8*COS(B1949) - $B$7*$F$6*COS($F$6*B1949))</x:f>
      </x:c>
    </x:row>
    <x:row r="1950">
      <x:c r="A1950" s="13" t="n">
        <x:v>1931</x:v>
      </x:c>
      <x:c r="B1950" s="14">
        <x:f>IF($B$12&lt;1931,"",$B$13+(1931-1)*($B$14-$B$13)/($B$12-1))</x:f>
      </x:c>
      <x:c r="C1950" s="14">
        <x:f>IF(B1950="","",$F$8*COS(B1950) + $B$7*COS($F$6*B1950))</x:f>
      </x:c>
      <x:c r="D1950" s="14">
        <x:f>IF(B1950="","",$F$8*SIN(B1950) - $B$7*SIN($F$6*B1950))</x:f>
      </x:c>
      <x:c r="E1950" s="14">
        <x:f>IF(B1950="","", C1950 + $F$12*$F$9*(-H1950)/IF(SQRT(G1950^2+H1950^2)=0,1,SQRT(G1950^2+H1950^2)))</x:f>
      </x:c>
      <x:c r="F1950" s="14">
        <x:f>IF(B1950="","", D1950 + $F$12*$F$9*(G1950)/IF(SQRT(G1950^2+H1950^2)=0,1,SQRT(G1950^2+H1950^2)))</x:f>
      </x:c>
      <x:c r="G1950" s="14">
        <x:f>IF(B1950="","", -$F$8*SIN(B1950) - $B$7*$F$6*SIN($F$6*B1950))</x:f>
      </x:c>
      <x:c r="H1950" s="14">
        <x:f>IF(B1950="","", $F$8*COS(B1950) - $B$7*$F$6*COS($F$6*B1950))</x:f>
      </x:c>
    </x:row>
    <x:row r="1951">
      <x:c r="A1951" s="13" t="n">
        <x:v>1932</x:v>
      </x:c>
      <x:c r="B1951" s="14">
        <x:f>IF($B$12&lt;1932,"",$B$13+(1932-1)*($B$14-$B$13)/($B$12-1))</x:f>
      </x:c>
      <x:c r="C1951" s="14">
        <x:f>IF(B1951="","",$F$8*COS(B1951) + $B$7*COS($F$6*B1951))</x:f>
      </x:c>
      <x:c r="D1951" s="14">
        <x:f>IF(B1951="","",$F$8*SIN(B1951) - $B$7*SIN($F$6*B1951))</x:f>
      </x:c>
      <x:c r="E1951" s="14">
        <x:f>IF(B1951="","", C1951 + $F$12*$F$9*(-H1951)/IF(SQRT(G1951^2+H1951^2)=0,1,SQRT(G1951^2+H1951^2)))</x:f>
      </x:c>
      <x:c r="F1951" s="14">
        <x:f>IF(B1951="","", D1951 + $F$12*$F$9*(G1951)/IF(SQRT(G1951^2+H1951^2)=0,1,SQRT(G1951^2+H1951^2)))</x:f>
      </x:c>
      <x:c r="G1951" s="14">
        <x:f>IF(B1951="","", -$F$8*SIN(B1951) - $B$7*$F$6*SIN($F$6*B1951))</x:f>
      </x:c>
      <x:c r="H1951" s="14">
        <x:f>IF(B1951="","", $F$8*COS(B1951) - $B$7*$F$6*COS($F$6*B1951))</x:f>
      </x:c>
    </x:row>
    <x:row r="1952">
      <x:c r="A1952" s="13" t="n">
        <x:v>1933</x:v>
      </x:c>
      <x:c r="B1952" s="14">
        <x:f>IF($B$12&lt;1933,"",$B$13+(1933-1)*($B$14-$B$13)/($B$12-1))</x:f>
      </x:c>
      <x:c r="C1952" s="14">
        <x:f>IF(B1952="","",$F$8*COS(B1952) + $B$7*COS($F$6*B1952))</x:f>
      </x:c>
      <x:c r="D1952" s="14">
        <x:f>IF(B1952="","",$F$8*SIN(B1952) - $B$7*SIN($F$6*B1952))</x:f>
      </x:c>
      <x:c r="E1952" s="14">
        <x:f>IF(B1952="","", C1952 + $F$12*$F$9*(-H1952)/IF(SQRT(G1952^2+H1952^2)=0,1,SQRT(G1952^2+H1952^2)))</x:f>
      </x:c>
      <x:c r="F1952" s="14">
        <x:f>IF(B1952="","", D1952 + $F$12*$F$9*(G1952)/IF(SQRT(G1952^2+H1952^2)=0,1,SQRT(G1952^2+H1952^2)))</x:f>
      </x:c>
      <x:c r="G1952" s="14">
        <x:f>IF(B1952="","", -$F$8*SIN(B1952) - $B$7*$F$6*SIN($F$6*B1952))</x:f>
      </x:c>
      <x:c r="H1952" s="14">
        <x:f>IF(B1952="","", $F$8*COS(B1952) - $B$7*$F$6*COS($F$6*B1952))</x:f>
      </x:c>
    </x:row>
    <x:row r="1953">
      <x:c r="A1953" s="13" t="n">
        <x:v>1934</x:v>
      </x:c>
      <x:c r="B1953" s="14">
        <x:f>IF($B$12&lt;1934,"",$B$13+(1934-1)*($B$14-$B$13)/($B$12-1))</x:f>
      </x:c>
      <x:c r="C1953" s="14">
        <x:f>IF(B1953="","",$F$8*COS(B1953) + $B$7*COS($F$6*B1953))</x:f>
      </x:c>
      <x:c r="D1953" s="14">
        <x:f>IF(B1953="","",$F$8*SIN(B1953) - $B$7*SIN($F$6*B1953))</x:f>
      </x:c>
      <x:c r="E1953" s="14">
        <x:f>IF(B1953="","", C1953 + $F$12*$F$9*(-H1953)/IF(SQRT(G1953^2+H1953^2)=0,1,SQRT(G1953^2+H1953^2)))</x:f>
      </x:c>
      <x:c r="F1953" s="14">
        <x:f>IF(B1953="","", D1953 + $F$12*$F$9*(G1953)/IF(SQRT(G1953^2+H1953^2)=0,1,SQRT(G1953^2+H1953^2)))</x:f>
      </x:c>
      <x:c r="G1953" s="14">
        <x:f>IF(B1953="","", -$F$8*SIN(B1953) - $B$7*$F$6*SIN($F$6*B1953))</x:f>
      </x:c>
      <x:c r="H1953" s="14">
        <x:f>IF(B1953="","", $F$8*COS(B1953) - $B$7*$F$6*COS($F$6*B1953))</x:f>
      </x:c>
    </x:row>
    <x:row r="1954">
      <x:c r="A1954" s="13" t="n">
        <x:v>1935</x:v>
      </x:c>
      <x:c r="B1954" s="14">
        <x:f>IF($B$12&lt;1935,"",$B$13+(1935-1)*($B$14-$B$13)/($B$12-1))</x:f>
      </x:c>
      <x:c r="C1954" s="14">
        <x:f>IF(B1954="","",$F$8*COS(B1954) + $B$7*COS($F$6*B1954))</x:f>
      </x:c>
      <x:c r="D1954" s="14">
        <x:f>IF(B1954="","",$F$8*SIN(B1954) - $B$7*SIN($F$6*B1954))</x:f>
      </x:c>
      <x:c r="E1954" s="14">
        <x:f>IF(B1954="","", C1954 + $F$12*$F$9*(-H1954)/IF(SQRT(G1954^2+H1954^2)=0,1,SQRT(G1954^2+H1954^2)))</x:f>
      </x:c>
      <x:c r="F1954" s="14">
        <x:f>IF(B1954="","", D1954 + $F$12*$F$9*(G1954)/IF(SQRT(G1954^2+H1954^2)=0,1,SQRT(G1954^2+H1954^2)))</x:f>
      </x:c>
      <x:c r="G1954" s="14">
        <x:f>IF(B1954="","", -$F$8*SIN(B1954) - $B$7*$F$6*SIN($F$6*B1954))</x:f>
      </x:c>
      <x:c r="H1954" s="14">
        <x:f>IF(B1954="","", $F$8*COS(B1954) - $B$7*$F$6*COS($F$6*B1954))</x:f>
      </x:c>
    </x:row>
    <x:row r="1955">
      <x:c r="A1955" s="13" t="n">
        <x:v>1936</x:v>
      </x:c>
      <x:c r="B1955" s="14">
        <x:f>IF($B$12&lt;1936,"",$B$13+(1936-1)*($B$14-$B$13)/($B$12-1))</x:f>
      </x:c>
      <x:c r="C1955" s="14">
        <x:f>IF(B1955="","",$F$8*COS(B1955) + $B$7*COS($F$6*B1955))</x:f>
      </x:c>
      <x:c r="D1955" s="14">
        <x:f>IF(B1955="","",$F$8*SIN(B1955) - $B$7*SIN($F$6*B1955))</x:f>
      </x:c>
      <x:c r="E1955" s="14">
        <x:f>IF(B1955="","", C1955 + $F$12*$F$9*(-H1955)/IF(SQRT(G1955^2+H1955^2)=0,1,SQRT(G1955^2+H1955^2)))</x:f>
      </x:c>
      <x:c r="F1955" s="14">
        <x:f>IF(B1955="","", D1955 + $F$12*$F$9*(G1955)/IF(SQRT(G1955^2+H1955^2)=0,1,SQRT(G1955^2+H1955^2)))</x:f>
      </x:c>
      <x:c r="G1955" s="14">
        <x:f>IF(B1955="","", -$F$8*SIN(B1955) - $B$7*$F$6*SIN($F$6*B1955))</x:f>
      </x:c>
      <x:c r="H1955" s="14">
        <x:f>IF(B1955="","", $F$8*COS(B1955) - $B$7*$F$6*COS($F$6*B1955))</x:f>
      </x:c>
    </x:row>
    <x:row r="1956">
      <x:c r="A1956" s="13" t="n">
        <x:v>1937</x:v>
      </x:c>
      <x:c r="B1956" s="14">
        <x:f>IF($B$12&lt;1937,"",$B$13+(1937-1)*($B$14-$B$13)/($B$12-1))</x:f>
      </x:c>
      <x:c r="C1956" s="14">
        <x:f>IF(B1956="","",$F$8*COS(B1956) + $B$7*COS($F$6*B1956))</x:f>
      </x:c>
      <x:c r="D1956" s="14">
        <x:f>IF(B1956="","",$F$8*SIN(B1956) - $B$7*SIN($F$6*B1956))</x:f>
      </x:c>
      <x:c r="E1956" s="14">
        <x:f>IF(B1956="","", C1956 + $F$12*$F$9*(-H1956)/IF(SQRT(G1956^2+H1956^2)=0,1,SQRT(G1956^2+H1956^2)))</x:f>
      </x:c>
      <x:c r="F1956" s="14">
        <x:f>IF(B1956="","", D1956 + $F$12*$F$9*(G1956)/IF(SQRT(G1956^2+H1956^2)=0,1,SQRT(G1956^2+H1956^2)))</x:f>
      </x:c>
      <x:c r="G1956" s="14">
        <x:f>IF(B1956="","", -$F$8*SIN(B1956) - $B$7*$F$6*SIN($F$6*B1956))</x:f>
      </x:c>
      <x:c r="H1956" s="14">
        <x:f>IF(B1956="","", $F$8*COS(B1956) - $B$7*$F$6*COS($F$6*B1956))</x:f>
      </x:c>
    </x:row>
    <x:row r="1957">
      <x:c r="A1957" s="13" t="n">
        <x:v>1938</x:v>
      </x:c>
      <x:c r="B1957" s="14">
        <x:f>IF($B$12&lt;1938,"",$B$13+(1938-1)*($B$14-$B$13)/($B$12-1))</x:f>
      </x:c>
      <x:c r="C1957" s="14">
        <x:f>IF(B1957="","",$F$8*COS(B1957) + $B$7*COS($F$6*B1957))</x:f>
      </x:c>
      <x:c r="D1957" s="14">
        <x:f>IF(B1957="","",$F$8*SIN(B1957) - $B$7*SIN($F$6*B1957))</x:f>
      </x:c>
      <x:c r="E1957" s="14">
        <x:f>IF(B1957="","", C1957 + $F$12*$F$9*(-H1957)/IF(SQRT(G1957^2+H1957^2)=0,1,SQRT(G1957^2+H1957^2)))</x:f>
      </x:c>
      <x:c r="F1957" s="14">
        <x:f>IF(B1957="","", D1957 + $F$12*$F$9*(G1957)/IF(SQRT(G1957^2+H1957^2)=0,1,SQRT(G1957^2+H1957^2)))</x:f>
      </x:c>
      <x:c r="G1957" s="14">
        <x:f>IF(B1957="","", -$F$8*SIN(B1957) - $B$7*$F$6*SIN($F$6*B1957))</x:f>
      </x:c>
      <x:c r="H1957" s="14">
        <x:f>IF(B1957="","", $F$8*COS(B1957) - $B$7*$F$6*COS($F$6*B1957))</x:f>
      </x:c>
    </x:row>
    <x:row r="1958">
      <x:c r="A1958" s="13" t="n">
        <x:v>1939</x:v>
      </x:c>
      <x:c r="B1958" s="14">
        <x:f>IF($B$12&lt;1939,"",$B$13+(1939-1)*($B$14-$B$13)/($B$12-1))</x:f>
      </x:c>
      <x:c r="C1958" s="14">
        <x:f>IF(B1958="","",$F$8*COS(B1958) + $B$7*COS($F$6*B1958))</x:f>
      </x:c>
      <x:c r="D1958" s="14">
        <x:f>IF(B1958="","",$F$8*SIN(B1958) - $B$7*SIN($F$6*B1958))</x:f>
      </x:c>
      <x:c r="E1958" s="14">
        <x:f>IF(B1958="","", C1958 + $F$12*$F$9*(-H1958)/IF(SQRT(G1958^2+H1958^2)=0,1,SQRT(G1958^2+H1958^2)))</x:f>
      </x:c>
      <x:c r="F1958" s="14">
        <x:f>IF(B1958="","", D1958 + $F$12*$F$9*(G1958)/IF(SQRT(G1958^2+H1958^2)=0,1,SQRT(G1958^2+H1958^2)))</x:f>
      </x:c>
      <x:c r="G1958" s="14">
        <x:f>IF(B1958="","", -$F$8*SIN(B1958) - $B$7*$F$6*SIN($F$6*B1958))</x:f>
      </x:c>
      <x:c r="H1958" s="14">
        <x:f>IF(B1958="","", $F$8*COS(B1958) - $B$7*$F$6*COS($F$6*B1958))</x:f>
      </x:c>
    </x:row>
    <x:row r="1959">
      <x:c r="A1959" s="13" t="n">
        <x:v>1940</x:v>
      </x:c>
      <x:c r="B1959" s="14">
        <x:f>IF($B$12&lt;1940,"",$B$13+(1940-1)*($B$14-$B$13)/($B$12-1))</x:f>
      </x:c>
      <x:c r="C1959" s="14">
        <x:f>IF(B1959="","",$F$8*COS(B1959) + $B$7*COS($F$6*B1959))</x:f>
      </x:c>
      <x:c r="D1959" s="14">
        <x:f>IF(B1959="","",$F$8*SIN(B1959) - $B$7*SIN($F$6*B1959))</x:f>
      </x:c>
      <x:c r="E1959" s="14">
        <x:f>IF(B1959="","", C1959 + $F$12*$F$9*(-H1959)/IF(SQRT(G1959^2+H1959^2)=0,1,SQRT(G1959^2+H1959^2)))</x:f>
      </x:c>
      <x:c r="F1959" s="14">
        <x:f>IF(B1959="","", D1959 + $F$12*$F$9*(G1959)/IF(SQRT(G1959^2+H1959^2)=0,1,SQRT(G1959^2+H1959^2)))</x:f>
      </x:c>
      <x:c r="G1959" s="14">
        <x:f>IF(B1959="","", -$F$8*SIN(B1959) - $B$7*$F$6*SIN($F$6*B1959))</x:f>
      </x:c>
      <x:c r="H1959" s="14">
        <x:f>IF(B1959="","", $F$8*COS(B1959) - $B$7*$F$6*COS($F$6*B1959))</x:f>
      </x:c>
    </x:row>
    <x:row r="1960">
      <x:c r="A1960" s="13" t="n">
        <x:v>1941</x:v>
      </x:c>
      <x:c r="B1960" s="14">
        <x:f>IF($B$12&lt;1941,"",$B$13+(1941-1)*($B$14-$B$13)/($B$12-1))</x:f>
      </x:c>
      <x:c r="C1960" s="14">
        <x:f>IF(B1960="","",$F$8*COS(B1960) + $B$7*COS($F$6*B1960))</x:f>
      </x:c>
      <x:c r="D1960" s="14">
        <x:f>IF(B1960="","",$F$8*SIN(B1960) - $B$7*SIN($F$6*B1960))</x:f>
      </x:c>
      <x:c r="E1960" s="14">
        <x:f>IF(B1960="","", C1960 + $F$12*$F$9*(-H1960)/IF(SQRT(G1960^2+H1960^2)=0,1,SQRT(G1960^2+H1960^2)))</x:f>
      </x:c>
      <x:c r="F1960" s="14">
        <x:f>IF(B1960="","", D1960 + $F$12*$F$9*(G1960)/IF(SQRT(G1960^2+H1960^2)=0,1,SQRT(G1960^2+H1960^2)))</x:f>
      </x:c>
      <x:c r="G1960" s="14">
        <x:f>IF(B1960="","", -$F$8*SIN(B1960) - $B$7*$F$6*SIN($F$6*B1960))</x:f>
      </x:c>
      <x:c r="H1960" s="14">
        <x:f>IF(B1960="","", $F$8*COS(B1960) - $B$7*$F$6*COS($F$6*B1960))</x:f>
      </x:c>
    </x:row>
    <x:row r="1961">
      <x:c r="A1961" s="13" t="n">
        <x:v>1942</x:v>
      </x:c>
      <x:c r="B1961" s="14">
        <x:f>IF($B$12&lt;1942,"",$B$13+(1942-1)*($B$14-$B$13)/($B$12-1))</x:f>
      </x:c>
      <x:c r="C1961" s="14">
        <x:f>IF(B1961="","",$F$8*COS(B1961) + $B$7*COS($F$6*B1961))</x:f>
      </x:c>
      <x:c r="D1961" s="14">
        <x:f>IF(B1961="","",$F$8*SIN(B1961) - $B$7*SIN($F$6*B1961))</x:f>
      </x:c>
      <x:c r="E1961" s="14">
        <x:f>IF(B1961="","", C1961 + $F$12*$F$9*(-H1961)/IF(SQRT(G1961^2+H1961^2)=0,1,SQRT(G1961^2+H1961^2)))</x:f>
      </x:c>
      <x:c r="F1961" s="14">
        <x:f>IF(B1961="","", D1961 + $F$12*$F$9*(G1961)/IF(SQRT(G1961^2+H1961^2)=0,1,SQRT(G1961^2+H1961^2)))</x:f>
      </x:c>
      <x:c r="G1961" s="14">
        <x:f>IF(B1961="","", -$F$8*SIN(B1961) - $B$7*$F$6*SIN($F$6*B1961))</x:f>
      </x:c>
      <x:c r="H1961" s="14">
        <x:f>IF(B1961="","", $F$8*COS(B1961) - $B$7*$F$6*COS($F$6*B1961))</x:f>
      </x:c>
    </x:row>
    <x:row r="1962">
      <x:c r="A1962" s="13" t="n">
        <x:v>1943</x:v>
      </x:c>
      <x:c r="B1962" s="14">
        <x:f>IF($B$12&lt;1943,"",$B$13+(1943-1)*($B$14-$B$13)/($B$12-1))</x:f>
      </x:c>
      <x:c r="C1962" s="14">
        <x:f>IF(B1962="","",$F$8*COS(B1962) + $B$7*COS($F$6*B1962))</x:f>
      </x:c>
      <x:c r="D1962" s="14">
        <x:f>IF(B1962="","",$F$8*SIN(B1962) - $B$7*SIN($F$6*B1962))</x:f>
      </x:c>
      <x:c r="E1962" s="14">
        <x:f>IF(B1962="","", C1962 + $F$12*$F$9*(-H1962)/IF(SQRT(G1962^2+H1962^2)=0,1,SQRT(G1962^2+H1962^2)))</x:f>
      </x:c>
      <x:c r="F1962" s="14">
        <x:f>IF(B1962="","", D1962 + $F$12*$F$9*(G1962)/IF(SQRT(G1962^2+H1962^2)=0,1,SQRT(G1962^2+H1962^2)))</x:f>
      </x:c>
      <x:c r="G1962" s="14">
        <x:f>IF(B1962="","", -$F$8*SIN(B1962) - $B$7*$F$6*SIN($F$6*B1962))</x:f>
      </x:c>
      <x:c r="H1962" s="14">
        <x:f>IF(B1962="","", $F$8*COS(B1962) - $B$7*$F$6*COS($F$6*B1962))</x:f>
      </x:c>
    </x:row>
    <x:row r="1963">
      <x:c r="A1963" s="13" t="n">
        <x:v>1944</x:v>
      </x:c>
      <x:c r="B1963" s="14">
        <x:f>IF($B$12&lt;1944,"",$B$13+(1944-1)*($B$14-$B$13)/($B$12-1))</x:f>
      </x:c>
      <x:c r="C1963" s="14">
        <x:f>IF(B1963="","",$F$8*COS(B1963) + $B$7*COS($F$6*B1963))</x:f>
      </x:c>
      <x:c r="D1963" s="14">
        <x:f>IF(B1963="","",$F$8*SIN(B1963) - $B$7*SIN($F$6*B1963))</x:f>
      </x:c>
      <x:c r="E1963" s="14">
        <x:f>IF(B1963="","", C1963 + $F$12*$F$9*(-H1963)/IF(SQRT(G1963^2+H1963^2)=0,1,SQRT(G1963^2+H1963^2)))</x:f>
      </x:c>
      <x:c r="F1963" s="14">
        <x:f>IF(B1963="","", D1963 + $F$12*$F$9*(G1963)/IF(SQRT(G1963^2+H1963^2)=0,1,SQRT(G1963^2+H1963^2)))</x:f>
      </x:c>
      <x:c r="G1963" s="14">
        <x:f>IF(B1963="","", -$F$8*SIN(B1963) - $B$7*$F$6*SIN($F$6*B1963))</x:f>
      </x:c>
      <x:c r="H1963" s="14">
        <x:f>IF(B1963="","", $F$8*COS(B1963) - $B$7*$F$6*COS($F$6*B1963))</x:f>
      </x:c>
    </x:row>
    <x:row r="1964">
      <x:c r="A1964" s="13" t="n">
        <x:v>1945</x:v>
      </x:c>
      <x:c r="B1964" s="14">
        <x:f>IF($B$12&lt;1945,"",$B$13+(1945-1)*($B$14-$B$13)/($B$12-1))</x:f>
      </x:c>
      <x:c r="C1964" s="14">
        <x:f>IF(B1964="","",$F$8*COS(B1964) + $B$7*COS($F$6*B1964))</x:f>
      </x:c>
      <x:c r="D1964" s="14">
        <x:f>IF(B1964="","",$F$8*SIN(B1964) - $B$7*SIN($F$6*B1964))</x:f>
      </x:c>
      <x:c r="E1964" s="14">
        <x:f>IF(B1964="","", C1964 + $F$12*$F$9*(-H1964)/IF(SQRT(G1964^2+H1964^2)=0,1,SQRT(G1964^2+H1964^2)))</x:f>
      </x:c>
      <x:c r="F1964" s="14">
        <x:f>IF(B1964="","", D1964 + $F$12*$F$9*(G1964)/IF(SQRT(G1964^2+H1964^2)=0,1,SQRT(G1964^2+H1964^2)))</x:f>
      </x:c>
      <x:c r="G1964" s="14">
        <x:f>IF(B1964="","", -$F$8*SIN(B1964) - $B$7*$F$6*SIN($F$6*B1964))</x:f>
      </x:c>
      <x:c r="H1964" s="14">
        <x:f>IF(B1964="","", $F$8*COS(B1964) - $B$7*$F$6*COS($F$6*B1964))</x:f>
      </x:c>
    </x:row>
    <x:row r="1965">
      <x:c r="A1965" s="13" t="n">
        <x:v>1946</x:v>
      </x:c>
      <x:c r="B1965" s="14">
        <x:f>IF($B$12&lt;1946,"",$B$13+(1946-1)*($B$14-$B$13)/($B$12-1))</x:f>
      </x:c>
      <x:c r="C1965" s="14">
        <x:f>IF(B1965="","",$F$8*COS(B1965) + $B$7*COS($F$6*B1965))</x:f>
      </x:c>
      <x:c r="D1965" s="14">
        <x:f>IF(B1965="","",$F$8*SIN(B1965) - $B$7*SIN($F$6*B1965))</x:f>
      </x:c>
      <x:c r="E1965" s="14">
        <x:f>IF(B1965="","", C1965 + $F$12*$F$9*(-H1965)/IF(SQRT(G1965^2+H1965^2)=0,1,SQRT(G1965^2+H1965^2)))</x:f>
      </x:c>
      <x:c r="F1965" s="14">
        <x:f>IF(B1965="","", D1965 + $F$12*$F$9*(G1965)/IF(SQRT(G1965^2+H1965^2)=0,1,SQRT(G1965^2+H1965^2)))</x:f>
      </x:c>
      <x:c r="G1965" s="14">
        <x:f>IF(B1965="","", -$F$8*SIN(B1965) - $B$7*$F$6*SIN($F$6*B1965))</x:f>
      </x:c>
      <x:c r="H1965" s="14">
        <x:f>IF(B1965="","", $F$8*COS(B1965) - $B$7*$F$6*COS($F$6*B1965))</x:f>
      </x:c>
    </x:row>
    <x:row r="1966">
      <x:c r="A1966" s="13" t="n">
        <x:v>1947</x:v>
      </x:c>
      <x:c r="B1966" s="14">
        <x:f>IF($B$12&lt;1947,"",$B$13+(1947-1)*($B$14-$B$13)/($B$12-1))</x:f>
      </x:c>
      <x:c r="C1966" s="14">
        <x:f>IF(B1966="","",$F$8*COS(B1966) + $B$7*COS($F$6*B1966))</x:f>
      </x:c>
      <x:c r="D1966" s="14">
        <x:f>IF(B1966="","",$F$8*SIN(B1966) - $B$7*SIN($F$6*B1966))</x:f>
      </x:c>
      <x:c r="E1966" s="14">
        <x:f>IF(B1966="","", C1966 + $F$12*$F$9*(-H1966)/IF(SQRT(G1966^2+H1966^2)=0,1,SQRT(G1966^2+H1966^2)))</x:f>
      </x:c>
      <x:c r="F1966" s="14">
        <x:f>IF(B1966="","", D1966 + $F$12*$F$9*(G1966)/IF(SQRT(G1966^2+H1966^2)=0,1,SQRT(G1966^2+H1966^2)))</x:f>
      </x:c>
      <x:c r="G1966" s="14">
        <x:f>IF(B1966="","", -$F$8*SIN(B1966) - $B$7*$F$6*SIN($F$6*B1966))</x:f>
      </x:c>
      <x:c r="H1966" s="14">
        <x:f>IF(B1966="","", $F$8*COS(B1966) - $B$7*$F$6*COS($F$6*B1966))</x:f>
      </x:c>
    </x:row>
    <x:row r="1967">
      <x:c r="A1967" s="13" t="n">
        <x:v>1948</x:v>
      </x:c>
      <x:c r="B1967" s="14">
        <x:f>IF($B$12&lt;1948,"",$B$13+(1948-1)*($B$14-$B$13)/($B$12-1))</x:f>
      </x:c>
      <x:c r="C1967" s="14">
        <x:f>IF(B1967="","",$F$8*COS(B1967) + $B$7*COS($F$6*B1967))</x:f>
      </x:c>
      <x:c r="D1967" s="14">
        <x:f>IF(B1967="","",$F$8*SIN(B1967) - $B$7*SIN($F$6*B1967))</x:f>
      </x:c>
      <x:c r="E1967" s="14">
        <x:f>IF(B1967="","", C1967 + $F$12*$F$9*(-H1967)/IF(SQRT(G1967^2+H1967^2)=0,1,SQRT(G1967^2+H1967^2)))</x:f>
      </x:c>
      <x:c r="F1967" s="14">
        <x:f>IF(B1967="","", D1967 + $F$12*$F$9*(G1967)/IF(SQRT(G1967^2+H1967^2)=0,1,SQRT(G1967^2+H1967^2)))</x:f>
      </x:c>
      <x:c r="G1967" s="14">
        <x:f>IF(B1967="","", -$F$8*SIN(B1967) - $B$7*$F$6*SIN($F$6*B1967))</x:f>
      </x:c>
      <x:c r="H1967" s="14">
        <x:f>IF(B1967="","", $F$8*COS(B1967) - $B$7*$F$6*COS($F$6*B1967))</x:f>
      </x:c>
    </x:row>
    <x:row r="1968">
      <x:c r="A1968" s="13" t="n">
        <x:v>1949</x:v>
      </x:c>
      <x:c r="B1968" s="14">
        <x:f>IF($B$12&lt;1949,"",$B$13+(1949-1)*($B$14-$B$13)/($B$12-1))</x:f>
      </x:c>
      <x:c r="C1968" s="14">
        <x:f>IF(B1968="","",$F$8*COS(B1968) + $B$7*COS($F$6*B1968))</x:f>
      </x:c>
      <x:c r="D1968" s="14">
        <x:f>IF(B1968="","",$F$8*SIN(B1968) - $B$7*SIN($F$6*B1968))</x:f>
      </x:c>
      <x:c r="E1968" s="14">
        <x:f>IF(B1968="","", C1968 + $F$12*$F$9*(-H1968)/IF(SQRT(G1968^2+H1968^2)=0,1,SQRT(G1968^2+H1968^2)))</x:f>
      </x:c>
      <x:c r="F1968" s="14">
        <x:f>IF(B1968="","", D1968 + $F$12*$F$9*(G1968)/IF(SQRT(G1968^2+H1968^2)=0,1,SQRT(G1968^2+H1968^2)))</x:f>
      </x:c>
      <x:c r="G1968" s="14">
        <x:f>IF(B1968="","", -$F$8*SIN(B1968) - $B$7*$F$6*SIN($F$6*B1968))</x:f>
      </x:c>
      <x:c r="H1968" s="14">
        <x:f>IF(B1968="","", $F$8*COS(B1968) - $B$7*$F$6*COS($F$6*B1968))</x:f>
      </x:c>
    </x:row>
    <x:row r="1969">
      <x:c r="A1969" s="13" t="n">
        <x:v>1950</x:v>
      </x:c>
      <x:c r="B1969" s="14">
        <x:f>IF($B$12&lt;1950,"",$B$13+(1950-1)*($B$14-$B$13)/($B$12-1))</x:f>
      </x:c>
      <x:c r="C1969" s="14">
        <x:f>IF(B1969="","",$F$8*COS(B1969) + $B$7*COS($F$6*B1969))</x:f>
      </x:c>
      <x:c r="D1969" s="14">
        <x:f>IF(B1969="","",$F$8*SIN(B1969) - $B$7*SIN($F$6*B1969))</x:f>
      </x:c>
      <x:c r="E1969" s="14">
        <x:f>IF(B1969="","", C1969 + $F$12*$F$9*(-H1969)/IF(SQRT(G1969^2+H1969^2)=0,1,SQRT(G1969^2+H1969^2)))</x:f>
      </x:c>
      <x:c r="F1969" s="14">
        <x:f>IF(B1969="","", D1969 + $F$12*$F$9*(G1969)/IF(SQRT(G1969^2+H1969^2)=0,1,SQRT(G1969^2+H1969^2)))</x:f>
      </x:c>
      <x:c r="G1969" s="14">
        <x:f>IF(B1969="","", -$F$8*SIN(B1969) - $B$7*$F$6*SIN($F$6*B1969))</x:f>
      </x:c>
      <x:c r="H1969" s="14">
        <x:f>IF(B1969="","", $F$8*COS(B1969) - $B$7*$F$6*COS($F$6*B1969))</x:f>
      </x:c>
    </x:row>
    <x:row r="1970">
      <x:c r="A1970" s="13" t="n">
        <x:v>1951</x:v>
      </x:c>
      <x:c r="B1970" s="14">
        <x:f>IF($B$12&lt;1951,"",$B$13+(1951-1)*($B$14-$B$13)/($B$12-1))</x:f>
      </x:c>
      <x:c r="C1970" s="14">
        <x:f>IF(B1970="","",$F$8*COS(B1970) + $B$7*COS($F$6*B1970))</x:f>
      </x:c>
      <x:c r="D1970" s="14">
        <x:f>IF(B1970="","",$F$8*SIN(B1970) - $B$7*SIN($F$6*B1970))</x:f>
      </x:c>
      <x:c r="E1970" s="14">
        <x:f>IF(B1970="","", C1970 + $F$12*$F$9*(-H1970)/IF(SQRT(G1970^2+H1970^2)=0,1,SQRT(G1970^2+H1970^2)))</x:f>
      </x:c>
      <x:c r="F1970" s="14">
        <x:f>IF(B1970="","", D1970 + $F$12*$F$9*(G1970)/IF(SQRT(G1970^2+H1970^2)=0,1,SQRT(G1970^2+H1970^2)))</x:f>
      </x:c>
      <x:c r="G1970" s="14">
        <x:f>IF(B1970="","", -$F$8*SIN(B1970) - $B$7*$F$6*SIN($F$6*B1970))</x:f>
      </x:c>
      <x:c r="H1970" s="14">
        <x:f>IF(B1970="","", $F$8*COS(B1970) - $B$7*$F$6*COS($F$6*B1970))</x:f>
      </x:c>
    </x:row>
    <x:row r="1971">
      <x:c r="A1971" s="13" t="n">
        <x:v>1952</x:v>
      </x:c>
      <x:c r="B1971" s="14">
        <x:f>IF($B$12&lt;1952,"",$B$13+(1952-1)*($B$14-$B$13)/($B$12-1))</x:f>
      </x:c>
      <x:c r="C1971" s="14">
        <x:f>IF(B1971="","",$F$8*COS(B1971) + $B$7*COS($F$6*B1971))</x:f>
      </x:c>
      <x:c r="D1971" s="14">
        <x:f>IF(B1971="","",$F$8*SIN(B1971) - $B$7*SIN($F$6*B1971))</x:f>
      </x:c>
      <x:c r="E1971" s="14">
        <x:f>IF(B1971="","", C1971 + $F$12*$F$9*(-H1971)/IF(SQRT(G1971^2+H1971^2)=0,1,SQRT(G1971^2+H1971^2)))</x:f>
      </x:c>
      <x:c r="F1971" s="14">
        <x:f>IF(B1971="","", D1971 + $F$12*$F$9*(G1971)/IF(SQRT(G1971^2+H1971^2)=0,1,SQRT(G1971^2+H1971^2)))</x:f>
      </x:c>
      <x:c r="G1971" s="14">
        <x:f>IF(B1971="","", -$F$8*SIN(B1971) - $B$7*$F$6*SIN($F$6*B1971))</x:f>
      </x:c>
      <x:c r="H1971" s="14">
        <x:f>IF(B1971="","", $F$8*COS(B1971) - $B$7*$F$6*COS($F$6*B1971))</x:f>
      </x:c>
    </x:row>
    <x:row r="1972">
      <x:c r="A1972" s="13" t="n">
        <x:v>1953</x:v>
      </x:c>
      <x:c r="B1972" s="14">
        <x:f>IF($B$12&lt;1953,"",$B$13+(1953-1)*($B$14-$B$13)/($B$12-1))</x:f>
      </x:c>
      <x:c r="C1972" s="14">
        <x:f>IF(B1972="","",$F$8*COS(B1972) + $B$7*COS($F$6*B1972))</x:f>
      </x:c>
      <x:c r="D1972" s="14">
        <x:f>IF(B1972="","",$F$8*SIN(B1972) - $B$7*SIN($F$6*B1972))</x:f>
      </x:c>
      <x:c r="E1972" s="14">
        <x:f>IF(B1972="","", C1972 + $F$12*$F$9*(-H1972)/IF(SQRT(G1972^2+H1972^2)=0,1,SQRT(G1972^2+H1972^2)))</x:f>
      </x:c>
      <x:c r="F1972" s="14">
        <x:f>IF(B1972="","", D1972 + $F$12*$F$9*(G1972)/IF(SQRT(G1972^2+H1972^2)=0,1,SQRT(G1972^2+H1972^2)))</x:f>
      </x:c>
      <x:c r="G1972" s="14">
        <x:f>IF(B1972="","", -$F$8*SIN(B1972) - $B$7*$F$6*SIN($F$6*B1972))</x:f>
      </x:c>
      <x:c r="H1972" s="14">
        <x:f>IF(B1972="","", $F$8*COS(B1972) - $B$7*$F$6*COS($F$6*B1972))</x:f>
      </x:c>
    </x:row>
    <x:row r="1973">
      <x:c r="A1973" s="13" t="n">
        <x:v>1954</x:v>
      </x:c>
      <x:c r="B1973" s="14">
        <x:f>IF($B$12&lt;1954,"",$B$13+(1954-1)*($B$14-$B$13)/($B$12-1))</x:f>
      </x:c>
      <x:c r="C1973" s="14">
        <x:f>IF(B1973="","",$F$8*COS(B1973) + $B$7*COS($F$6*B1973))</x:f>
      </x:c>
      <x:c r="D1973" s="14">
        <x:f>IF(B1973="","",$F$8*SIN(B1973) - $B$7*SIN($F$6*B1973))</x:f>
      </x:c>
      <x:c r="E1973" s="14">
        <x:f>IF(B1973="","", C1973 + $F$12*$F$9*(-H1973)/IF(SQRT(G1973^2+H1973^2)=0,1,SQRT(G1973^2+H1973^2)))</x:f>
      </x:c>
      <x:c r="F1973" s="14">
        <x:f>IF(B1973="","", D1973 + $F$12*$F$9*(G1973)/IF(SQRT(G1973^2+H1973^2)=0,1,SQRT(G1973^2+H1973^2)))</x:f>
      </x:c>
      <x:c r="G1973" s="14">
        <x:f>IF(B1973="","", -$F$8*SIN(B1973) - $B$7*$F$6*SIN($F$6*B1973))</x:f>
      </x:c>
      <x:c r="H1973" s="14">
        <x:f>IF(B1973="","", $F$8*COS(B1973) - $B$7*$F$6*COS($F$6*B1973))</x:f>
      </x:c>
    </x:row>
    <x:row r="1974">
      <x:c r="A1974" s="13" t="n">
        <x:v>1955</x:v>
      </x:c>
      <x:c r="B1974" s="14">
        <x:f>IF($B$12&lt;1955,"",$B$13+(1955-1)*($B$14-$B$13)/($B$12-1))</x:f>
      </x:c>
      <x:c r="C1974" s="14">
        <x:f>IF(B1974="","",$F$8*COS(B1974) + $B$7*COS($F$6*B1974))</x:f>
      </x:c>
      <x:c r="D1974" s="14">
        <x:f>IF(B1974="","",$F$8*SIN(B1974) - $B$7*SIN($F$6*B1974))</x:f>
      </x:c>
      <x:c r="E1974" s="14">
        <x:f>IF(B1974="","", C1974 + $F$12*$F$9*(-H1974)/IF(SQRT(G1974^2+H1974^2)=0,1,SQRT(G1974^2+H1974^2)))</x:f>
      </x:c>
      <x:c r="F1974" s="14">
        <x:f>IF(B1974="","", D1974 + $F$12*$F$9*(G1974)/IF(SQRT(G1974^2+H1974^2)=0,1,SQRT(G1974^2+H1974^2)))</x:f>
      </x:c>
      <x:c r="G1974" s="14">
        <x:f>IF(B1974="","", -$F$8*SIN(B1974) - $B$7*$F$6*SIN($F$6*B1974))</x:f>
      </x:c>
      <x:c r="H1974" s="14">
        <x:f>IF(B1974="","", $F$8*COS(B1974) - $B$7*$F$6*COS($F$6*B1974))</x:f>
      </x:c>
    </x:row>
    <x:row r="1975">
      <x:c r="A1975" s="13" t="n">
        <x:v>1956</x:v>
      </x:c>
      <x:c r="B1975" s="14">
        <x:f>IF($B$12&lt;1956,"",$B$13+(1956-1)*($B$14-$B$13)/($B$12-1))</x:f>
      </x:c>
      <x:c r="C1975" s="14">
        <x:f>IF(B1975="","",$F$8*COS(B1975) + $B$7*COS($F$6*B1975))</x:f>
      </x:c>
      <x:c r="D1975" s="14">
        <x:f>IF(B1975="","",$F$8*SIN(B1975) - $B$7*SIN($F$6*B1975))</x:f>
      </x:c>
      <x:c r="E1975" s="14">
        <x:f>IF(B1975="","", C1975 + $F$12*$F$9*(-H1975)/IF(SQRT(G1975^2+H1975^2)=0,1,SQRT(G1975^2+H1975^2)))</x:f>
      </x:c>
      <x:c r="F1975" s="14">
        <x:f>IF(B1975="","", D1975 + $F$12*$F$9*(G1975)/IF(SQRT(G1975^2+H1975^2)=0,1,SQRT(G1975^2+H1975^2)))</x:f>
      </x:c>
      <x:c r="G1975" s="14">
        <x:f>IF(B1975="","", -$F$8*SIN(B1975) - $B$7*$F$6*SIN($F$6*B1975))</x:f>
      </x:c>
      <x:c r="H1975" s="14">
        <x:f>IF(B1975="","", $F$8*COS(B1975) - $B$7*$F$6*COS($F$6*B1975))</x:f>
      </x:c>
    </x:row>
    <x:row r="1976">
      <x:c r="A1976" s="13" t="n">
        <x:v>1957</x:v>
      </x:c>
      <x:c r="B1976" s="14">
        <x:f>IF($B$12&lt;1957,"",$B$13+(1957-1)*($B$14-$B$13)/($B$12-1))</x:f>
      </x:c>
      <x:c r="C1976" s="14">
        <x:f>IF(B1976="","",$F$8*COS(B1976) + $B$7*COS($F$6*B1976))</x:f>
      </x:c>
      <x:c r="D1976" s="14">
        <x:f>IF(B1976="","",$F$8*SIN(B1976) - $B$7*SIN($F$6*B1976))</x:f>
      </x:c>
      <x:c r="E1976" s="14">
        <x:f>IF(B1976="","", C1976 + $F$12*$F$9*(-H1976)/IF(SQRT(G1976^2+H1976^2)=0,1,SQRT(G1976^2+H1976^2)))</x:f>
      </x:c>
      <x:c r="F1976" s="14">
        <x:f>IF(B1976="","", D1976 + $F$12*$F$9*(G1976)/IF(SQRT(G1976^2+H1976^2)=0,1,SQRT(G1976^2+H1976^2)))</x:f>
      </x:c>
      <x:c r="G1976" s="14">
        <x:f>IF(B1976="","", -$F$8*SIN(B1976) - $B$7*$F$6*SIN($F$6*B1976))</x:f>
      </x:c>
      <x:c r="H1976" s="14">
        <x:f>IF(B1976="","", $F$8*COS(B1976) - $B$7*$F$6*COS($F$6*B1976))</x:f>
      </x:c>
    </x:row>
    <x:row r="1977">
      <x:c r="A1977" s="13" t="n">
        <x:v>1958</x:v>
      </x:c>
      <x:c r="B1977" s="14">
        <x:f>IF($B$12&lt;1958,"",$B$13+(1958-1)*($B$14-$B$13)/($B$12-1))</x:f>
      </x:c>
      <x:c r="C1977" s="14">
        <x:f>IF(B1977="","",$F$8*COS(B1977) + $B$7*COS($F$6*B1977))</x:f>
      </x:c>
      <x:c r="D1977" s="14">
        <x:f>IF(B1977="","",$F$8*SIN(B1977) - $B$7*SIN($F$6*B1977))</x:f>
      </x:c>
      <x:c r="E1977" s="14">
        <x:f>IF(B1977="","", C1977 + $F$12*$F$9*(-H1977)/IF(SQRT(G1977^2+H1977^2)=0,1,SQRT(G1977^2+H1977^2)))</x:f>
      </x:c>
      <x:c r="F1977" s="14">
        <x:f>IF(B1977="","", D1977 + $F$12*$F$9*(G1977)/IF(SQRT(G1977^2+H1977^2)=0,1,SQRT(G1977^2+H1977^2)))</x:f>
      </x:c>
      <x:c r="G1977" s="14">
        <x:f>IF(B1977="","", -$F$8*SIN(B1977) - $B$7*$F$6*SIN($F$6*B1977))</x:f>
      </x:c>
      <x:c r="H1977" s="14">
        <x:f>IF(B1977="","", $F$8*COS(B1977) - $B$7*$F$6*COS($F$6*B1977))</x:f>
      </x:c>
    </x:row>
    <x:row r="1978">
      <x:c r="A1978" s="13" t="n">
        <x:v>1959</x:v>
      </x:c>
      <x:c r="B1978" s="14">
        <x:f>IF($B$12&lt;1959,"",$B$13+(1959-1)*($B$14-$B$13)/($B$12-1))</x:f>
      </x:c>
      <x:c r="C1978" s="14">
        <x:f>IF(B1978="","",$F$8*COS(B1978) + $B$7*COS($F$6*B1978))</x:f>
      </x:c>
      <x:c r="D1978" s="14">
        <x:f>IF(B1978="","",$F$8*SIN(B1978) - $B$7*SIN($F$6*B1978))</x:f>
      </x:c>
      <x:c r="E1978" s="14">
        <x:f>IF(B1978="","", C1978 + $F$12*$F$9*(-H1978)/IF(SQRT(G1978^2+H1978^2)=0,1,SQRT(G1978^2+H1978^2)))</x:f>
      </x:c>
      <x:c r="F1978" s="14">
        <x:f>IF(B1978="","", D1978 + $F$12*$F$9*(G1978)/IF(SQRT(G1978^2+H1978^2)=0,1,SQRT(G1978^2+H1978^2)))</x:f>
      </x:c>
      <x:c r="G1978" s="14">
        <x:f>IF(B1978="","", -$F$8*SIN(B1978) - $B$7*$F$6*SIN($F$6*B1978))</x:f>
      </x:c>
      <x:c r="H1978" s="14">
        <x:f>IF(B1978="","", $F$8*COS(B1978) - $B$7*$F$6*COS($F$6*B1978))</x:f>
      </x:c>
    </x:row>
    <x:row r="1979">
      <x:c r="A1979" s="13" t="n">
        <x:v>1960</x:v>
      </x:c>
      <x:c r="B1979" s="14">
        <x:f>IF($B$12&lt;1960,"",$B$13+(1960-1)*($B$14-$B$13)/($B$12-1))</x:f>
      </x:c>
      <x:c r="C1979" s="14">
        <x:f>IF(B1979="","",$F$8*COS(B1979) + $B$7*COS($F$6*B1979))</x:f>
      </x:c>
      <x:c r="D1979" s="14">
        <x:f>IF(B1979="","",$F$8*SIN(B1979) - $B$7*SIN($F$6*B1979))</x:f>
      </x:c>
      <x:c r="E1979" s="14">
        <x:f>IF(B1979="","", C1979 + $F$12*$F$9*(-H1979)/IF(SQRT(G1979^2+H1979^2)=0,1,SQRT(G1979^2+H1979^2)))</x:f>
      </x:c>
      <x:c r="F1979" s="14">
        <x:f>IF(B1979="","", D1979 + $F$12*$F$9*(G1979)/IF(SQRT(G1979^2+H1979^2)=0,1,SQRT(G1979^2+H1979^2)))</x:f>
      </x:c>
      <x:c r="G1979" s="14">
        <x:f>IF(B1979="","", -$F$8*SIN(B1979) - $B$7*$F$6*SIN($F$6*B1979))</x:f>
      </x:c>
      <x:c r="H1979" s="14">
        <x:f>IF(B1979="","", $F$8*COS(B1979) - $B$7*$F$6*COS($F$6*B1979))</x:f>
      </x:c>
    </x:row>
    <x:row r="1980">
      <x:c r="A1980" s="13" t="n">
        <x:v>1961</x:v>
      </x:c>
      <x:c r="B1980" s="14">
        <x:f>IF($B$12&lt;1961,"",$B$13+(1961-1)*($B$14-$B$13)/($B$12-1))</x:f>
      </x:c>
      <x:c r="C1980" s="14">
        <x:f>IF(B1980="","",$F$8*COS(B1980) + $B$7*COS($F$6*B1980))</x:f>
      </x:c>
      <x:c r="D1980" s="14">
        <x:f>IF(B1980="","",$F$8*SIN(B1980) - $B$7*SIN($F$6*B1980))</x:f>
      </x:c>
      <x:c r="E1980" s="14">
        <x:f>IF(B1980="","", C1980 + $F$12*$F$9*(-H1980)/IF(SQRT(G1980^2+H1980^2)=0,1,SQRT(G1980^2+H1980^2)))</x:f>
      </x:c>
      <x:c r="F1980" s="14">
        <x:f>IF(B1980="","", D1980 + $F$12*$F$9*(G1980)/IF(SQRT(G1980^2+H1980^2)=0,1,SQRT(G1980^2+H1980^2)))</x:f>
      </x:c>
      <x:c r="G1980" s="14">
        <x:f>IF(B1980="","", -$F$8*SIN(B1980) - $B$7*$F$6*SIN($F$6*B1980))</x:f>
      </x:c>
      <x:c r="H1980" s="14">
        <x:f>IF(B1980="","", $F$8*COS(B1980) - $B$7*$F$6*COS($F$6*B1980))</x:f>
      </x:c>
    </x:row>
    <x:row r="1981">
      <x:c r="A1981" s="13" t="n">
        <x:v>1962</x:v>
      </x:c>
      <x:c r="B1981" s="14">
        <x:f>IF($B$12&lt;1962,"",$B$13+(1962-1)*($B$14-$B$13)/($B$12-1))</x:f>
      </x:c>
      <x:c r="C1981" s="14">
        <x:f>IF(B1981="","",$F$8*COS(B1981) + $B$7*COS($F$6*B1981))</x:f>
      </x:c>
      <x:c r="D1981" s="14">
        <x:f>IF(B1981="","",$F$8*SIN(B1981) - $B$7*SIN($F$6*B1981))</x:f>
      </x:c>
      <x:c r="E1981" s="14">
        <x:f>IF(B1981="","", C1981 + $F$12*$F$9*(-H1981)/IF(SQRT(G1981^2+H1981^2)=0,1,SQRT(G1981^2+H1981^2)))</x:f>
      </x:c>
      <x:c r="F1981" s="14">
        <x:f>IF(B1981="","", D1981 + $F$12*$F$9*(G1981)/IF(SQRT(G1981^2+H1981^2)=0,1,SQRT(G1981^2+H1981^2)))</x:f>
      </x:c>
      <x:c r="G1981" s="14">
        <x:f>IF(B1981="","", -$F$8*SIN(B1981) - $B$7*$F$6*SIN($F$6*B1981))</x:f>
      </x:c>
      <x:c r="H1981" s="14">
        <x:f>IF(B1981="","", $F$8*COS(B1981) - $B$7*$F$6*COS($F$6*B1981))</x:f>
      </x:c>
    </x:row>
    <x:row r="1982">
      <x:c r="A1982" s="13" t="n">
        <x:v>1963</x:v>
      </x:c>
      <x:c r="B1982" s="14">
        <x:f>IF($B$12&lt;1963,"",$B$13+(1963-1)*($B$14-$B$13)/($B$12-1))</x:f>
      </x:c>
      <x:c r="C1982" s="14">
        <x:f>IF(B1982="","",$F$8*COS(B1982) + $B$7*COS($F$6*B1982))</x:f>
      </x:c>
      <x:c r="D1982" s="14">
        <x:f>IF(B1982="","",$F$8*SIN(B1982) - $B$7*SIN($F$6*B1982))</x:f>
      </x:c>
      <x:c r="E1982" s="14">
        <x:f>IF(B1982="","", C1982 + $F$12*$F$9*(-H1982)/IF(SQRT(G1982^2+H1982^2)=0,1,SQRT(G1982^2+H1982^2)))</x:f>
      </x:c>
      <x:c r="F1982" s="14">
        <x:f>IF(B1982="","", D1982 + $F$12*$F$9*(G1982)/IF(SQRT(G1982^2+H1982^2)=0,1,SQRT(G1982^2+H1982^2)))</x:f>
      </x:c>
      <x:c r="G1982" s="14">
        <x:f>IF(B1982="","", -$F$8*SIN(B1982) - $B$7*$F$6*SIN($F$6*B1982))</x:f>
      </x:c>
      <x:c r="H1982" s="14">
        <x:f>IF(B1982="","", $F$8*COS(B1982) - $B$7*$F$6*COS($F$6*B1982))</x:f>
      </x:c>
    </x:row>
    <x:row r="1983">
      <x:c r="A1983" s="13" t="n">
        <x:v>1964</x:v>
      </x:c>
      <x:c r="B1983" s="14">
        <x:f>IF($B$12&lt;1964,"",$B$13+(1964-1)*($B$14-$B$13)/($B$12-1))</x:f>
      </x:c>
      <x:c r="C1983" s="14">
        <x:f>IF(B1983="","",$F$8*COS(B1983) + $B$7*COS($F$6*B1983))</x:f>
      </x:c>
      <x:c r="D1983" s="14">
        <x:f>IF(B1983="","",$F$8*SIN(B1983) - $B$7*SIN($F$6*B1983))</x:f>
      </x:c>
      <x:c r="E1983" s="14">
        <x:f>IF(B1983="","", C1983 + $F$12*$F$9*(-H1983)/IF(SQRT(G1983^2+H1983^2)=0,1,SQRT(G1983^2+H1983^2)))</x:f>
      </x:c>
      <x:c r="F1983" s="14">
        <x:f>IF(B1983="","", D1983 + $F$12*$F$9*(G1983)/IF(SQRT(G1983^2+H1983^2)=0,1,SQRT(G1983^2+H1983^2)))</x:f>
      </x:c>
      <x:c r="G1983" s="14">
        <x:f>IF(B1983="","", -$F$8*SIN(B1983) - $B$7*$F$6*SIN($F$6*B1983))</x:f>
      </x:c>
      <x:c r="H1983" s="14">
        <x:f>IF(B1983="","", $F$8*COS(B1983) - $B$7*$F$6*COS($F$6*B1983))</x:f>
      </x:c>
    </x:row>
    <x:row r="1984">
      <x:c r="A1984" s="13" t="n">
        <x:v>1965</x:v>
      </x:c>
      <x:c r="B1984" s="14">
        <x:f>IF($B$12&lt;1965,"",$B$13+(1965-1)*($B$14-$B$13)/($B$12-1))</x:f>
      </x:c>
      <x:c r="C1984" s="14">
        <x:f>IF(B1984="","",$F$8*COS(B1984) + $B$7*COS($F$6*B1984))</x:f>
      </x:c>
      <x:c r="D1984" s="14">
        <x:f>IF(B1984="","",$F$8*SIN(B1984) - $B$7*SIN($F$6*B1984))</x:f>
      </x:c>
      <x:c r="E1984" s="14">
        <x:f>IF(B1984="","", C1984 + $F$12*$F$9*(-H1984)/IF(SQRT(G1984^2+H1984^2)=0,1,SQRT(G1984^2+H1984^2)))</x:f>
      </x:c>
      <x:c r="F1984" s="14">
        <x:f>IF(B1984="","", D1984 + $F$12*$F$9*(G1984)/IF(SQRT(G1984^2+H1984^2)=0,1,SQRT(G1984^2+H1984^2)))</x:f>
      </x:c>
      <x:c r="G1984" s="14">
        <x:f>IF(B1984="","", -$F$8*SIN(B1984) - $B$7*$F$6*SIN($F$6*B1984))</x:f>
      </x:c>
      <x:c r="H1984" s="14">
        <x:f>IF(B1984="","", $F$8*COS(B1984) - $B$7*$F$6*COS($F$6*B1984))</x:f>
      </x:c>
    </x:row>
    <x:row r="1985">
      <x:c r="A1985" s="13" t="n">
        <x:v>1966</x:v>
      </x:c>
      <x:c r="B1985" s="14">
        <x:f>IF($B$12&lt;1966,"",$B$13+(1966-1)*($B$14-$B$13)/($B$12-1))</x:f>
      </x:c>
      <x:c r="C1985" s="14">
        <x:f>IF(B1985="","",$F$8*COS(B1985) + $B$7*COS($F$6*B1985))</x:f>
      </x:c>
      <x:c r="D1985" s="14">
        <x:f>IF(B1985="","",$F$8*SIN(B1985) - $B$7*SIN($F$6*B1985))</x:f>
      </x:c>
      <x:c r="E1985" s="14">
        <x:f>IF(B1985="","", C1985 + $F$12*$F$9*(-H1985)/IF(SQRT(G1985^2+H1985^2)=0,1,SQRT(G1985^2+H1985^2)))</x:f>
      </x:c>
      <x:c r="F1985" s="14">
        <x:f>IF(B1985="","", D1985 + $F$12*$F$9*(G1985)/IF(SQRT(G1985^2+H1985^2)=0,1,SQRT(G1985^2+H1985^2)))</x:f>
      </x:c>
      <x:c r="G1985" s="14">
        <x:f>IF(B1985="","", -$F$8*SIN(B1985) - $B$7*$F$6*SIN($F$6*B1985))</x:f>
      </x:c>
      <x:c r="H1985" s="14">
        <x:f>IF(B1985="","", $F$8*COS(B1985) - $B$7*$F$6*COS($F$6*B1985))</x:f>
      </x:c>
    </x:row>
    <x:row r="1986">
      <x:c r="A1986" s="13" t="n">
        <x:v>1967</x:v>
      </x:c>
      <x:c r="B1986" s="14">
        <x:f>IF($B$12&lt;1967,"",$B$13+(1967-1)*($B$14-$B$13)/($B$12-1))</x:f>
      </x:c>
      <x:c r="C1986" s="14">
        <x:f>IF(B1986="","",$F$8*COS(B1986) + $B$7*COS($F$6*B1986))</x:f>
      </x:c>
      <x:c r="D1986" s="14">
        <x:f>IF(B1986="","",$F$8*SIN(B1986) - $B$7*SIN($F$6*B1986))</x:f>
      </x:c>
      <x:c r="E1986" s="14">
        <x:f>IF(B1986="","", C1986 + $F$12*$F$9*(-H1986)/IF(SQRT(G1986^2+H1986^2)=0,1,SQRT(G1986^2+H1986^2)))</x:f>
      </x:c>
      <x:c r="F1986" s="14">
        <x:f>IF(B1986="","", D1986 + $F$12*$F$9*(G1986)/IF(SQRT(G1986^2+H1986^2)=0,1,SQRT(G1986^2+H1986^2)))</x:f>
      </x:c>
      <x:c r="G1986" s="14">
        <x:f>IF(B1986="","", -$F$8*SIN(B1986) - $B$7*$F$6*SIN($F$6*B1986))</x:f>
      </x:c>
      <x:c r="H1986" s="14">
        <x:f>IF(B1986="","", $F$8*COS(B1986) - $B$7*$F$6*COS($F$6*B1986))</x:f>
      </x:c>
    </x:row>
    <x:row r="1987">
      <x:c r="A1987" s="13" t="n">
        <x:v>1968</x:v>
      </x:c>
      <x:c r="B1987" s="14">
        <x:f>IF($B$12&lt;1968,"",$B$13+(1968-1)*($B$14-$B$13)/($B$12-1))</x:f>
      </x:c>
      <x:c r="C1987" s="14">
        <x:f>IF(B1987="","",$F$8*COS(B1987) + $B$7*COS($F$6*B1987))</x:f>
      </x:c>
      <x:c r="D1987" s="14">
        <x:f>IF(B1987="","",$F$8*SIN(B1987) - $B$7*SIN($F$6*B1987))</x:f>
      </x:c>
      <x:c r="E1987" s="14">
        <x:f>IF(B1987="","", C1987 + $F$12*$F$9*(-H1987)/IF(SQRT(G1987^2+H1987^2)=0,1,SQRT(G1987^2+H1987^2)))</x:f>
      </x:c>
      <x:c r="F1987" s="14">
        <x:f>IF(B1987="","", D1987 + $F$12*$F$9*(G1987)/IF(SQRT(G1987^2+H1987^2)=0,1,SQRT(G1987^2+H1987^2)))</x:f>
      </x:c>
      <x:c r="G1987" s="14">
        <x:f>IF(B1987="","", -$F$8*SIN(B1987) - $B$7*$F$6*SIN($F$6*B1987))</x:f>
      </x:c>
      <x:c r="H1987" s="14">
        <x:f>IF(B1987="","", $F$8*COS(B1987) - $B$7*$F$6*COS($F$6*B1987))</x:f>
      </x:c>
    </x:row>
    <x:row r="1988">
      <x:c r="A1988" s="13" t="n">
        <x:v>1969</x:v>
      </x:c>
      <x:c r="B1988" s="14">
        <x:f>IF($B$12&lt;1969,"",$B$13+(1969-1)*($B$14-$B$13)/($B$12-1))</x:f>
      </x:c>
      <x:c r="C1988" s="14">
        <x:f>IF(B1988="","",$F$8*COS(B1988) + $B$7*COS($F$6*B1988))</x:f>
      </x:c>
      <x:c r="D1988" s="14">
        <x:f>IF(B1988="","",$F$8*SIN(B1988) - $B$7*SIN($F$6*B1988))</x:f>
      </x:c>
      <x:c r="E1988" s="14">
        <x:f>IF(B1988="","", C1988 + $F$12*$F$9*(-H1988)/IF(SQRT(G1988^2+H1988^2)=0,1,SQRT(G1988^2+H1988^2)))</x:f>
      </x:c>
      <x:c r="F1988" s="14">
        <x:f>IF(B1988="","", D1988 + $F$12*$F$9*(G1988)/IF(SQRT(G1988^2+H1988^2)=0,1,SQRT(G1988^2+H1988^2)))</x:f>
      </x:c>
      <x:c r="G1988" s="14">
        <x:f>IF(B1988="","", -$F$8*SIN(B1988) - $B$7*$F$6*SIN($F$6*B1988))</x:f>
      </x:c>
      <x:c r="H1988" s="14">
        <x:f>IF(B1988="","", $F$8*COS(B1988) - $B$7*$F$6*COS($F$6*B1988))</x:f>
      </x:c>
    </x:row>
    <x:row r="1989">
      <x:c r="A1989" s="13" t="n">
        <x:v>1970</x:v>
      </x:c>
      <x:c r="B1989" s="14">
        <x:f>IF($B$12&lt;1970,"",$B$13+(1970-1)*($B$14-$B$13)/($B$12-1))</x:f>
      </x:c>
      <x:c r="C1989" s="14">
        <x:f>IF(B1989="","",$F$8*COS(B1989) + $B$7*COS($F$6*B1989))</x:f>
      </x:c>
      <x:c r="D1989" s="14">
        <x:f>IF(B1989="","",$F$8*SIN(B1989) - $B$7*SIN($F$6*B1989))</x:f>
      </x:c>
      <x:c r="E1989" s="14">
        <x:f>IF(B1989="","", C1989 + $F$12*$F$9*(-H1989)/IF(SQRT(G1989^2+H1989^2)=0,1,SQRT(G1989^2+H1989^2)))</x:f>
      </x:c>
      <x:c r="F1989" s="14">
        <x:f>IF(B1989="","", D1989 + $F$12*$F$9*(G1989)/IF(SQRT(G1989^2+H1989^2)=0,1,SQRT(G1989^2+H1989^2)))</x:f>
      </x:c>
      <x:c r="G1989" s="14">
        <x:f>IF(B1989="","", -$F$8*SIN(B1989) - $B$7*$F$6*SIN($F$6*B1989))</x:f>
      </x:c>
      <x:c r="H1989" s="14">
        <x:f>IF(B1989="","", $F$8*COS(B1989) - $B$7*$F$6*COS($F$6*B1989))</x:f>
      </x:c>
    </x:row>
    <x:row r="1990">
      <x:c r="A1990" s="13" t="n">
        <x:v>1971</x:v>
      </x:c>
      <x:c r="B1990" s="14">
        <x:f>IF($B$12&lt;1971,"",$B$13+(1971-1)*($B$14-$B$13)/($B$12-1))</x:f>
      </x:c>
      <x:c r="C1990" s="14">
        <x:f>IF(B1990="","",$F$8*COS(B1990) + $B$7*COS($F$6*B1990))</x:f>
      </x:c>
      <x:c r="D1990" s="14">
        <x:f>IF(B1990="","",$F$8*SIN(B1990) - $B$7*SIN($F$6*B1990))</x:f>
      </x:c>
      <x:c r="E1990" s="14">
        <x:f>IF(B1990="","", C1990 + $F$12*$F$9*(-H1990)/IF(SQRT(G1990^2+H1990^2)=0,1,SQRT(G1990^2+H1990^2)))</x:f>
      </x:c>
      <x:c r="F1990" s="14">
        <x:f>IF(B1990="","", D1990 + $F$12*$F$9*(G1990)/IF(SQRT(G1990^2+H1990^2)=0,1,SQRT(G1990^2+H1990^2)))</x:f>
      </x:c>
      <x:c r="G1990" s="14">
        <x:f>IF(B1990="","", -$F$8*SIN(B1990) - $B$7*$F$6*SIN($F$6*B1990))</x:f>
      </x:c>
      <x:c r="H1990" s="14">
        <x:f>IF(B1990="","", $F$8*COS(B1990) - $B$7*$F$6*COS($F$6*B1990))</x:f>
      </x:c>
    </x:row>
    <x:row r="1991">
      <x:c r="A1991" s="13" t="n">
        <x:v>1972</x:v>
      </x:c>
      <x:c r="B1991" s="14">
        <x:f>IF($B$12&lt;1972,"",$B$13+(1972-1)*($B$14-$B$13)/($B$12-1))</x:f>
      </x:c>
      <x:c r="C1991" s="14">
        <x:f>IF(B1991="","",$F$8*COS(B1991) + $B$7*COS($F$6*B1991))</x:f>
      </x:c>
      <x:c r="D1991" s="14">
        <x:f>IF(B1991="","",$F$8*SIN(B1991) - $B$7*SIN($F$6*B1991))</x:f>
      </x:c>
      <x:c r="E1991" s="14">
        <x:f>IF(B1991="","", C1991 + $F$12*$F$9*(-H1991)/IF(SQRT(G1991^2+H1991^2)=0,1,SQRT(G1991^2+H1991^2)))</x:f>
      </x:c>
      <x:c r="F1991" s="14">
        <x:f>IF(B1991="","", D1991 + $F$12*$F$9*(G1991)/IF(SQRT(G1991^2+H1991^2)=0,1,SQRT(G1991^2+H1991^2)))</x:f>
      </x:c>
      <x:c r="G1991" s="14">
        <x:f>IF(B1991="","", -$F$8*SIN(B1991) - $B$7*$F$6*SIN($F$6*B1991))</x:f>
      </x:c>
      <x:c r="H1991" s="14">
        <x:f>IF(B1991="","", $F$8*COS(B1991) - $B$7*$F$6*COS($F$6*B1991))</x:f>
      </x:c>
    </x:row>
    <x:row r="1992">
      <x:c r="A1992" s="13" t="n">
        <x:v>1973</x:v>
      </x:c>
      <x:c r="B1992" s="14">
        <x:f>IF($B$12&lt;1973,"",$B$13+(1973-1)*($B$14-$B$13)/($B$12-1))</x:f>
      </x:c>
      <x:c r="C1992" s="14">
        <x:f>IF(B1992="","",$F$8*COS(B1992) + $B$7*COS($F$6*B1992))</x:f>
      </x:c>
      <x:c r="D1992" s="14">
        <x:f>IF(B1992="","",$F$8*SIN(B1992) - $B$7*SIN($F$6*B1992))</x:f>
      </x:c>
      <x:c r="E1992" s="14">
        <x:f>IF(B1992="","", C1992 + $F$12*$F$9*(-H1992)/IF(SQRT(G1992^2+H1992^2)=0,1,SQRT(G1992^2+H1992^2)))</x:f>
      </x:c>
      <x:c r="F1992" s="14">
        <x:f>IF(B1992="","", D1992 + $F$12*$F$9*(G1992)/IF(SQRT(G1992^2+H1992^2)=0,1,SQRT(G1992^2+H1992^2)))</x:f>
      </x:c>
      <x:c r="G1992" s="14">
        <x:f>IF(B1992="","", -$F$8*SIN(B1992) - $B$7*$F$6*SIN($F$6*B1992))</x:f>
      </x:c>
      <x:c r="H1992" s="14">
        <x:f>IF(B1992="","", $F$8*COS(B1992) - $B$7*$F$6*COS($F$6*B1992))</x:f>
      </x:c>
    </x:row>
    <x:row r="1993">
      <x:c r="A1993" s="13" t="n">
        <x:v>1974</x:v>
      </x:c>
      <x:c r="B1993" s="14">
        <x:f>IF($B$12&lt;1974,"",$B$13+(1974-1)*($B$14-$B$13)/($B$12-1))</x:f>
      </x:c>
      <x:c r="C1993" s="14">
        <x:f>IF(B1993="","",$F$8*COS(B1993) + $B$7*COS($F$6*B1993))</x:f>
      </x:c>
      <x:c r="D1993" s="14">
        <x:f>IF(B1993="","",$F$8*SIN(B1993) - $B$7*SIN($F$6*B1993))</x:f>
      </x:c>
      <x:c r="E1993" s="14">
        <x:f>IF(B1993="","", C1993 + $F$12*$F$9*(-H1993)/IF(SQRT(G1993^2+H1993^2)=0,1,SQRT(G1993^2+H1993^2)))</x:f>
      </x:c>
      <x:c r="F1993" s="14">
        <x:f>IF(B1993="","", D1993 + $F$12*$F$9*(G1993)/IF(SQRT(G1993^2+H1993^2)=0,1,SQRT(G1993^2+H1993^2)))</x:f>
      </x:c>
      <x:c r="G1993" s="14">
        <x:f>IF(B1993="","", -$F$8*SIN(B1993) - $B$7*$F$6*SIN($F$6*B1993))</x:f>
      </x:c>
      <x:c r="H1993" s="14">
        <x:f>IF(B1993="","", $F$8*COS(B1993) - $B$7*$F$6*COS($F$6*B1993))</x:f>
      </x:c>
    </x:row>
    <x:row r="1994">
      <x:c r="A1994" s="13" t="n">
        <x:v>1975</x:v>
      </x:c>
      <x:c r="B1994" s="14">
        <x:f>IF($B$12&lt;1975,"",$B$13+(1975-1)*($B$14-$B$13)/($B$12-1))</x:f>
      </x:c>
      <x:c r="C1994" s="14">
        <x:f>IF(B1994="","",$F$8*COS(B1994) + $B$7*COS($F$6*B1994))</x:f>
      </x:c>
      <x:c r="D1994" s="14">
        <x:f>IF(B1994="","",$F$8*SIN(B1994) - $B$7*SIN($F$6*B1994))</x:f>
      </x:c>
      <x:c r="E1994" s="14">
        <x:f>IF(B1994="","", C1994 + $F$12*$F$9*(-H1994)/IF(SQRT(G1994^2+H1994^2)=0,1,SQRT(G1994^2+H1994^2)))</x:f>
      </x:c>
      <x:c r="F1994" s="14">
        <x:f>IF(B1994="","", D1994 + $F$12*$F$9*(G1994)/IF(SQRT(G1994^2+H1994^2)=0,1,SQRT(G1994^2+H1994^2)))</x:f>
      </x:c>
      <x:c r="G1994" s="14">
        <x:f>IF(B1994="","", -$F$8*SIN(B1994) - $B$7*$F$6*SIN($F$6*B1994))</x:f>
      </x:c>
      <x:c r="H1994" s="14">
        <x:f>IF(B1994="","", $F$8*COS(B1994) - $B$7*$F$6*COS($F$6*B1994))</x:f>
      </x:c>
    </x:row>
    <x:row r="1995">
      <x:c r="A1995" s="13" t="n">
        <x:v>1976</x:v>
      </x:c>
      <x:c r="B1995" s="14">
        <x:f>IF($B$12&lt;1976,"",$B$13+(1976-1)*($B$14-$B$13)/($B$12-1))</x:f>
      </x:c>
      <x:c r="C1995" s="14">
        <x:f>IF(B1995="","",$F$8*COS(B1995) + $B$7*COS($F$6*B1995))</x:f>
      </x:c>
      <x:c r="D1995" s="14">
        <x:f>IF(B1995="","",$F$8*SIN(B1995) - $B$7*SIN($F$6*B1995))</x:f>
      </x:c>
      <x:c r="E1995" s="14">
        <x:f>IF(B1995="","", C1995 + $F$12*$F$9*(-H1995)/IF(SQRT(G1995^2+H1995^2)=0,1,SQRT(G1995^2+H1995^2)))</x:f>
      </x:c>
      <x:c r="F1995" s="14">
        <x:f>IF(B1995="","", D1995 + $F$12*$F$9*(G1995)/IF(SQRT(G1995^2+H1995^2)=0,1,SQRT(G1995^2+H1995^2)))</x:f>
      </x:c>
      <x:c r="G1995" s="14">
        <x:f>IF(B1995="","", -$F$8*SIN(B1995) - $B$7*$F$6*SIN($F$6*B1995))</x:f>
      </x:c>
      <x:c r="H1995" s="14">
        <x:f>IF(B1995="","", $F$8*COS(B1995) - $B$7*$F$6*COS($F$6*B1995))</x:f>
      </x:c>
    </x:row>
    <x:row r="1996">
      <x:c r="A1996" s="13" t="n">
        <x:v>1977</x:v>
      </x:c>
      <x:c r="B1996" s="14">
        <x:f>IF($B$12&lt;1977,"",$B$13+(1977-1)*($B$14-$B$13)/($B$12-1))</x:f>
      </x:c>
      <x:c r="C1996" s="14">
        <x:f>IF(B1996="","",$F$8*COS(B1996) + $B$7*COS($F$6*B1996))</x:f>
      </x:c>
      <x:c r="D1996" s="14">
        <x:f>IF(B1996="","",$F$8*SIN(B1996) - $B$7*SIN($F$6*B1996))</x:f>
      </x:c>
      <x:c r="E1996" s="14">
        <x:f>IF(B1996="","", C1996 + $F$12*$F$9*(-H1996)/IF(SQRT(G1996^2+H1996^2)=0,1,SQRT(G1996^2+H1996^2)))</x:f>
      </x:c>
      <x:c r="F1996" s="14">
        <x:f>IF(B1996="","", D1996 + $F$12*$F$9*(G1996)/IF(SQRT(G1996^2+H1996^2)=0,1,SQRT(G1996^2+H1996^2)))</x:f>
      </x:c>
      <x:c r="G1996" s="14">
        <x:f>IF(B1996="","", -$F$8*SIN(B1996) - $B$7*$F$6*SIN($F$6*B1996))</x:f>
      </x:c>
      <x:c r="H1996" s="14">
        <x:f>IF(B1996="","", $F$8*COS(B1996) - $B$7*$F$6*COS($F$6*B1996))</x:f>
      </x:c>
    </x:row>
    <x:row r="1997">
      <x:c r="A1997" s="13" t="n">
        <x:v>1978</x:v>
      </x:c>
      <x:c r="B1997" s="14">
        <x:f>IF($B$12&lt;1978,"",$B$13+(1978-1)*($B$14-$B$13)/($B$12-1))</x:f>
      </x:c>
      <x:c r="C1997" s="14">
        <x:f>IF(B1997="","",$F$8*COS(B1997) + $B$7*COS($F$6*B1997))</x:f>
      </x:c>
      <x:c r="D1997" s="14">
        <x:f>IF(B1997="","",$F$8*SIN(B1997) - $B$7*SIN($F$6*B1997))</x:f>
      </x:c>
      <x:c r="E1997" s="14">
        <x:f>IF(B1997="","", C1997 + $F$12*$F$9*(-H1997)/IF(SQRT(G1997^2+H1997^2)=0,1,SQRT(G1997^2+H1997^2)))</x:f>
      </x:c>
      <x:c r="F1997" s="14">
        <x:f>IF(B1997="","", D1997 + $F$12*$F$9*(G1997)/IF(SQRT(G1997^2+H1997^2)=0,1,SQRT(G1997^2+H1997^2)))</x:f>
      </x:c>
      <x:c r="G1997" s="14">
        <x:f>IF(B1997="","", -$F$8*SIN(B1997) - $B$7*$F$6*SIN($F$6*B1997))</x:f>
      </x:c>
      <x:c r="H1997" s="14">
        <x:f>IF(B1997="","", $F$8*COS(B1997) - $B$7*$F$6*COS($F$6*B1997))</x:f>
      </x:c>
    </x:row>
    <x:row r="1998">
      <x:c r="A1998" s="13" t="n">
        <x:v>1979</x:v>
      </x:c>
      <x:c r="B1998" s="14">
        <x:f>IF($B$12&lt;1979,"",$B$13+(1979-1)*($B$14-$B$13)/($B$12-1))</x:f>
      </x:c>
      <x:c r="C1998" s="14">
        <x:f>IF(B1998="","",$F$8*COS(B1998) + $B$7*COS($F$6*B1998))</x:f>
      </x:c>
      <x:c r="D1998" s="14">
        <x:f>IF(B1998="","",$F$8*SIN(B1998) - $B$7*SIN($F$6*B1998))</x:f>
      </x:c>
      <x:c r="E1998" s="14">
        <x:f>IF(B1998="","", C1998 + $F$12*$F$9*(-H1998)/IF(SQRT(G1998^2+H1998^2)=0,1,SQRT(G1998^2+H1998^2)))</x:f>
      </x:c>
      <x:c r="F1998" s="14">
        <x:f>IF(B1998="","", D1998 + $F$12*$F$9*(G1998)/IF(SQRT(G1998^2+H1998^2)=0,1,SQRT(G1998^2+H1998^2)))</x:f>
      </x:c>
      <x:c r="G1998" s="14">
        <x:f>IF(B1998="","", -$F$8*SIN(B1998) - $B$7*$F$6*SIN($F$6*B1998))</x:f>
      </x:c>
      <x:c r="H1998" s="14">
        <x:f>IF(B1998="","", $F$8*COS(B1998) - $B$7*$F$6*COS($F$6*B1998))</x:f>
      </x:c>
    </x:row>
    <x:row r="1999">
      <x:c r="A1999" s="13" t="n">
        <x:v>1980</x:v>
      </x:c>
      <x:c r="B1999" s="14">
        <x:f>IF($B$12&lt;1980,"",$B$13+(1980-1)*($B$14-$B$13)/($B$12-1))</x:f>
      </x:c>
      <x:c r="C1999" s="14">
        <x:f>IF(B1999="","",$F$8*COS(B1999) + $B$7*COS($F$6*B1999))</x:f>
      </x:c>
      <x:c r="D1999" s="14">
        <x:f>IF(B1999="","",$F$8*SIN(B1999) - $B$7*SIN($F$6*B1999))</x:f>
      </x:c>
      <x:c r="E1999" s="14">
        <x:f>IF(B1999="","", C1999 + $F$12*$F$9*(-H1999)/IF(SQRT(G1999^2+H1999^2)=0,1,SQRT(G1999^2+H1999^2)))</x:f>
      </x:c>
      <x:c r="F1999" s="14">
        <x:f>IF(B1999="","", D1999 + $F$12*$F$9*(G1999)/IF(SQRT(G1999^2+H1999^2)=0,1,SQRT(G1999^2+H1999^2)))</x:f>
      </x:c>
      <x:c r="G1999" s="14">
        <x:f>IF(B1999="","", -$F$8*SIN(B1999) - $B$7*$F$6*SIN($F$6*B1999))</x:f>
      </x:c>
      <x:c r="H1999" s="14">
        <x:f>IF(B1999="","", $F$8*COS(B1999) - $B$7*$F$6*COS($F$6*B1999))</x:f>
      </x:c>
    </x:row>
    <x:row r="2000">
      <x:c r="A2000" s="13" t="n">
        <x:v>1981</x:v>
      </x:c>
      <x:c r="B2000" s="14">
        <x:f>IF($B$12&lt;1981,"",$B$13+(1981-1)*($B$14-$B$13)/($B$12-1))</x:f>
      </x:c>
      <x:c r="C2000" s="14">
        <x:f>IF(B2000="","",$F$8*COS(B2000) + $B$7*COS($F$6*B2000))</x:f>
      </x:c>
      <x:c r="D2000" s="14">
        <x:f>IF(B2000="","",$F$8*SIN(B2000) - $B$7*SIN($F$6*B2000))</x:f>
      </x:c>
      <x:c r="E2000" s="14">
        <x:f>IF(B2000="","", C2000 + $F$12*$F$9*(-H2000)/IF(SQRT(G2000^2+H2000^2)=0,1,SQRT(G2000^2+H2000^2)))</x:f>
      </x:c>
      <x:c r="F2000" s="14">
        <x:f>IF(B2000="","", D2000 + $F$12*$F$9*(G2000)/IF(SQRT(G2000^2+H2000^2)=0,1,SQRT(G2000^2+H2000^2)))</x:f>
      </x:c>
      <x:c r="G2000" s="14">
        <x:f>IF(B2000="","", -$F$8*SIN(B2000) - $B$7*$F$6*SIN($F$6*B2000))</x:f>
      </x:c>
      <x:c r="H2000" s="14">
        <x:f>IF(B2000="","", $F$8*COS(B2000) - $B$7*$F$6*COS($F$6*B2000))</x:f>
      </x:c>
    </x:row>
    <x:row r="2001">
      <x:c r="A2001" s="13" t="n">
        <x:v>1982</x:v>
      </x:c>
      <x:c r="B2001" s="14">
        <x:f>IF($B$12&lt;1982,"",$B$13+(1982-1)*($B$14-$B$13)/($B$12-1))</x:f>
      </x:c>
      <x:c r="C2001" s="14">
        <x:f>IF(B2001="","",$F$8*COS(B2001) + $B$7*COS($F$6*B2001))</x:f>
      </x:c>
      <x:c r="D2001" s="14">
        <x:f>IF(B2001="","",$F$8*SIN(B2001) - $B$7*SIN($F$6*B2001))</x:f>
      </x:c>
      <x:c r="E2001" s="14">
        <x:f>IF(B2001="","", C2001 + $F$12*$F$9*(-H2001)/IF(SQRT(G2001^2+H2001^2)=0,1,SQRT(G2001^2+H2001^2)))</x:f>
      </x:c>
      <x:c r="F2001" s="14">
        <x:f>IF(B2001="","", D2001 + $F$12*$F$9*(G2001)/IF(SQRT(G2001^2+H2001^2)=0,1,SQRT(G2001^2+H2001^2)))</x:f>
      </x:c>
      <x:c r="G2001" s="14">
        <x:f>IF(B2001="","", -$F$8*SIN(B2001) - $B$7*$F$6*SIN($F$6*B2001))</x:f>
      </x:c>
      <x:c r="H2001" s="14">
        <x:f>IF(B2001="","", $F$8*COS(B2001) - $B$7*$F$6*COS($F$6*B2001))</x:f>
      </x:c>
    </x:row>
    <x:row r="2002">
      <x:c r="A2002" s="13" t="n">
        <x:v>1983</x:v>
      </x:c>
      <x:c r="B2002" s="14">
        <x:f>IF($B$12&lt;1983,"",$B$13+(1983-1)*($B$14-$B$13)/($B$12-1))</x:f>
      </x:c>
      <x:c r="C2002" s="14">
        <x:f>IF(B2002="","",$F$8*COS(B2002) + $B$7*COS($F$6*B2002))</x:f>
      </x:c>
      <x:c r="D2002" s="14">
        <x:f>IF(B2002="","",$F$8*SIN(B2002) - $B$7*SIN($F$6*B2002))</x:f>
      </x:c>
      <x:c r="E2002" s="14">
        <x:f>IF(B2002="","", C2002 + $F$12*$F$9*(-H2002)/IF(SQRT(G2002^2+H2002^2)=0,1,SQRT(G2002^2+H2002^2)))</x:f>
      </x:c>
      <x:c r="F2002" s="14">
        <x:f>IF(B2002="","", D2002 + $F$12*$F$9*(G2002)/IF(SQRT(G2002^2+H2002^2)=0,1,SQRT(G2002^2+H2002^2)))</x:f>
      </x:c>
      <x:c r="G2002" s="14">
        <x:f>IF(B2002="","", -$F$8*SIN(B2002) - $B$7*$F$6*SIN($F$6*B2002))</x:f>
      </x:c>
      <x:c r="H2002" s="14">
        <x:f>IF(B2002="","", $F$8*COS(B2002) - $B$7*$F$6*COS($F$6*B2002))</x:f>
      </x:c>
    </x:row>
    <x:row r="2003">
      <x:c r="A2003" s="13" t="n">
        <x:v>1984</x:v>
      </x:c>
      <x:c r="B2003" s="14">
        <x:f>IF($B$12&lt;1984,"",$B$13+(1984-1)*($B$14-$B$13)/($B$12-1))</x:f>
      </x:c>
      <x:c r="C2003" s="14">
        <x:f>IF(B2003="","",$F$8*COS(B2003) + $B$7*COS($F$6*B2003))</x:f>
      </x:c>
      <x:c r="D2003" s="14">
        <x:f>IF(B2003="","",$F$8*SIN(B2003) - $B$7*SIN($F$6*B2003))</x:f>
      </x:c>
      <x:c r="E2003" s="14">
        <x:f>IF(B2003="","", C2003 + $F$12*$F$9*(-H2003)/IF(SQRT(G2003^2+H2003^2)=0,1,SQRT(G2003^2+H2003^2)))</x:f>
      </x:c>
      <x:c r="F2003" s="14">
        <x:f>IF(B2003="","", D2003 + $F$12*$F$9*(G2003)/IF(SQRT(G2003^2+H2003^2)=0,1,SQRT(G2003^2+H2003^2)))</x:f>
      </x:c>
      <x:c r="G2003" s="14">
        <x:f>IF(B2003="","", -$F$8*SIN(B2003) - $B$7*$F$6*SIN($F$6*B2003))</x:f>
      </x:c>
      <x:c r="H2003" s="14">
        <x:f>IF(B2003="","", $F$8*COS(B2003) - $B$7*$F$6*COS($F$6*B2003))</x:f>
      </x:c>
    </x:row>
    <x:row r="2004">
      <x:c r="A2004" s="13" t="n">
        <x:v>1985</x:v>
      </x:c>
      <x:c r="B2004" s="14">
        <x:f>IF($B$12&lt;1985,"",$B$13+(1985-1)*($B$14-$B$13)/($B$12-1))</x:f>
      </x:c>
      <x:c r="C2004" s="14">
        <x:f>IF(B2004="","",$F$8*COS(B2004) + $B$7*COS($F$6*B2004))</x:f>
      </x:c>
      <x:c r="D2004" s="14">
        <x:f>IF(B2004="","",$F$8*SIN(B2004) - $B$7*SIN($F$6*B2004))</x:f>
      </x:c>
      <x:c r="E2004" s="14">
        <x:f>IF(B2004="","", C2004 + $F$12*$F$9*(-H2004)/IF(SQRT(G2004^2+H2004^2)=0,1,SQRT(G2004^2+H2004^2)))</x:f>
      </x:c>
      <x:c r="F2004" s="14">
        <x:f>IF(B2004="","", D2004 + $F$12*$F$9*(G2004)/IF(SQRT(G2004^2+H2004^2)=0,1,SQRT(G2004^2+H2004^2)))</x:f>
      </x:c>
      <x:c r="G2004" s="14">
        <x:f>IF(B2004="","", -$F$8*SIN(B2004) - $B$7*$F$6*SIN($F$6*B2004))</x:f>
      </x:c>
      <x:c r="H2004" s="14">
        <x:f>IF(B2004="","", $F$8*COS(B2004) - $B$7*$F$6*COS($F$6*B2004))</x:f>
      </x:c>
    </x:row>
    <x:row r="2005">
      <x:c r="A2005" s="13" t="n">
        <x:v>1986</x:v>
      </x:c>
      <x:c r="B2005" s="14">
        <x:f>IF($B$12&lt;1986,"",$B$13+(1986-1)*($B$14-$B$13)/($B$12-1))</x:f>
      </x:c>
      <x:c r="C2005" s="14">
        <x:f>IF(B2005="","",$F$8*COS(B2005) + $B$7*COS($F$6*B2005))</x:f>
      </x:c>
      <x:c r="D2005" s="14">
        <x:f>IF(B2005="","",$F$8*SIN(B2005) - $B$7*SIN($F$6*B2005))</x:f>
      </x:c>
      <x:c r="E2005" s="14">
        <x:f>IF(B2005="","", C2005 + $F$12*$F$9*(-H2005)/IF(SQRT(G2005^2+H2005^2)=0,1,SQRT(G2005^2+H2005^2)))</x:f>
      </x:c>
      <x:c r="F2005" s="14">
        <x:f>IF(B2005="","", D2005 + $F$12*$F$9*(G2005)/IF(SQRT(G2005^2+H2005^2)=0,1,SQRT(G2005^2+H2005^2)))</x:f>
      </x:c>
      <x:c r="G2005" s="14">
        <x:f>IF(B2005="","", -$F$8*SIN(B2005) - $B$7*$F$6*SIN($F$6*B2005))</x:f>
      </x:c>
      <x:c r="H2005" s="14">
        <x:f>IF(B2005="","", $F$8*COS(B2005) - $B$7*$F$6*COS($F$6*B2005))</x:f>
      </x:c>
    </x:row>
    <x:row r="2006">
      <x:c r="A2006" s="13" t="n">
        <x:v>1987</x:v>
      </x:c>
      <x:c r="B2006" s="14">
        <x:f>IF($B$12&lt;1987,"",$B$13+(1987-1)*($B$14-$B$13)/($B$12-1))</x:f>
      </x:c>
      <x:c r="C2006" s="14">
        <x:f>IF(B2006="","",$F$8*COS(B2006) + $B$7*COS($F$6*B2006))</x:f>
      </x:c>
      <x:c r="D2006" s="14">
        <x:f>IF(B2006="","",$F$8*SIN(B2006) - $B$7*SIN($F$6*B2006))</x:f>
      </x:c>
      <x:c r="E2006" s="14">
        <x:f>IF(B2006="","", C2006 + $F$12*$F$9*(-H2006)/IF(SQRT(G2006^2+H2006^2)=0,1,SQRT(G2006^2+H2006^2)))</x:f>
      </x:c>
      <x:c r="F2006" s="14">
        <x:f>IF(B2006="","", D2006 + $F$12*$F$9*(G2006)/IF(SQRT(G2006^2+H2006^2)=0,1,SQRT(G2006^2+H2006^2)))</x:f>
      </x:c>
      <x:c r="G2006" s="14">
        <x:f>IF(B2006="","", -$F$8*SIN(B2006) - $B$7*$F$6*SIN($F$6*B2006))</x:f>
      </x:c>
      <x:c r="H2006" s="14">
        <x:f>IF(B2006="","", $F$8*COS(B2006) - $B$7*$F$6*COS($F$6*B2006))</x:f>
      </x:c>
    </x:row>
    <x:row r="2007">
      <x:c r="A2007" s="13" t="n">
        <x:v>1988</x:v>
      </x:c>
      <x:c r="B2007" s="14">
        <x:f>IF($B$12&lt;1988,"",$B$13+(1988-1)*($B$14-$B$13)/($B$12-1))</x:f>
      </x:c>
      <x:c r="C2007" s="14">
        <x:f>IF(B2007="","",$F$8*COS(B2007) + $B$7*COS($F$6*B2007))</x:f>
      </x:c>
      <x:c r="D2007" s="14">
        <x:f>IF(B2007="","",$F$8*SIN(B2007) - $B$7*SIN($F$6*B2007))</x:f>
      </x:c>
      <x:c r="E2007" s="14">
        <x:f>IF(B2007="","", C2007 + $F$12*$F$9*(-H2007)/IF(SQRT(G2007^2+H2007^2)=0,1,SQRT(G2007^2+H2007^2)))</x:f>
      </x:c>
      <x:c r="F2007" s="14">
        <x:f>IF(B2007="","", D2007 + $F$12*$F$9*(G2007)/IF(SQRT(G2007^2+H2007^2)=0,1,SQRT(G2007^2+H2007^2)))</x:f>
      </x:c>
      <x:c r="G2007" s="14">
        <x:f>IF(B2007="","", -$F$8*SIN(B2007) - $B$7*$F$6*SIN($F$6*B2007))</x:f>
      </x:c>
      <x:c r="H2007" s="14">
        <x:f>IF(B2007="","", $F$8*COS(B2007) - $B$7*$F$6*COS($F$6*B2007))</x:f>
      </x:c>
    </x:row>
    <x:row r="2008">
      <x:c r="A2008" s="13" t="n">
        <x:v>1989</x:v>
      </x:c>
      <x:c r="B2008" s="14">
        <x:f>IF($B$12&lt;1989,"",$B$13+(1989-1)*($B$14-$B$13)/($B$12-1))</x:f>
      </x:c>
      <x:c r="C2008" s="14">
        <x:f>IF(B2008="","",$F$8*COS(B2008) + $B$7*COS($F$6*B2008))</x:f>
      </x:c>
      <x:c r="D2008" s="14">
        <x:f>IF(B2008="","",$F$8*SIN(B2008) - $B$7*SIN($F$6*B2008))</x:f>
      </x:c>
      <x:c r="E2008" s="14">
        <x:f>IF(B2008="","", C2008 + $F$12*$F$9*(-H2008)/IF(SQRT(G2008^2+H2008^2)=0,1,SQRT(G2008^2+H2008^2)))</x:f>
      </x:c>
      <x:c r="F2008" s="14">
        <x:f>IF(B2008="","", D2008 + $F$12*$F$9*(G2008)/IF(SQRT(G2008^2+H2008^2)=0,1,SQRT(G2008^2+H2008^2)))</x:f>
      </x:c>
      <x:c r="G2008" s="14">
        <x:f>IF(B2008="","", -$F$8*SIN(B2008) - $B$7*$F$6*SIN($F$6*B2008))</x:f>
      </x:c>
      <x:c r="H2008" s="14">
        <x:f>IF(B2008="","", $F$8*COS(B2008) - $B$7*$F$6*COS($F$6*B2008))</x:f>
      </x:c>
    </x:row>
    <x:row r="2009">
      <x:c r="A2009" s="13" t="n">
        <x:v>1990</x:v>
      </x:c>
      <x:c r="B2009" s="14">
        <x:f>IF($B$12&lt;1990,"",$B$13+(1990-1)*($B$14-$B$13)/($B$12-1))</x:f>
      </x:c>
      <x:c r="C2009" s="14">
        <x:f>IF(B2009="","",$F$8*COS(B2009) + $B$7*COS($F$6*B2009))</x:f>
      </x:c>
      <x:c r="D2009" s="14">
        <x:f>IF(B2009="","",$F$8*SIN(B2009) - $B$7*SIN($F$6*B2009))</x:f>
      </x:c>
      <x:c r="E2009" s="14">
        <x:f>IF(B2009="","", C2009 + $F$12*$F$9*(-H2009)/IF(SQRT(G2009^2+H2009^2)=0,1,SQRT(G2009^2+H2009^2)))</x:f>
      </x:c>
      <x:c r="F2009" s="14">
        <x:f>IF(B2009="","", D2009 + $F$12*$F$9*(G2009)/IF(SQRT(G2009^2+H2009^2)=0,1,SQRT(G2009^2+H2009^2)))</x:f>
      </x:c>
      <x:c r="G2009" s="14">
        <x:f>IF(B2009="","", -$F$8*SIN(B2009) - $B$7*$F$6*SIN($F$6*B2009))</x:f>
      </x:c>
      <x:c r="H2009" s="14">
        <x:f>IF(B2009="","", $F$8*COS(B2009) - $B$7*$F$6*COS($F$6*B2009))</x:f>
      </x:c>
    </x:row>
    <x:row r="2010">
      <x:c r="A2010" s="13" t="n">
        <x:v>1991</x:v>
      </x:c>
      <x:c r="B2010" s="14">
        <x:f>IF($B$12&lt;1991,"",$B$13+(1991-1)*($B$14-$B$13)/($B$12-1))</x:f>
      </x:c>
      <x:c r="C2010" s="14">
        <x:f>IF(B2010="","",$F$8*COS(B2010) + $B$7*COS($F$6*B2010))</x:f>
      </x:c>
      <x:c r="D2010" s="14">
        <x:f>IF(B2010="","",$F$8*SIN(B2010) - $B$7*SIN($F$6*B2010))</x:f>
      </x:c>
      <x:c r="E2010" s="14">
        <x:f>IF(B2010="","", C2010 + $F$12*$F$9*(-H2010)/IF(SQRT(G2010^2+H2010^2)=0,1,SQRT(G2010^2+H2010^2)))</x:f>
      </x:c>
      <x:c r="F2010" s="14">
        <x:f>IF(B2010="","", D2010 + $F$12*$F$9*(G2010)/IF(SQRT(G2010^2+H2010^2)=0,1,SQRT(G2010^2+H2010^2)))</x:f>
      </x:c>
      <x:c r="G2010" s="14">
        <x:f>IF(B2010="","", -$F$8*SIN(B2010) - $B$7*$F$6*SIN($F$6*B2010))</x:f>
      </x:c>
      <x:c r="H2010" s="14">
        <x:f>IF(B2010="","", $F$8*COS(B2010) - $B$7*$F$6*COS($F$6*B2010))</x:f>
      </x:c>
    </x:row>
    <x:row r="2011">
      <x:c r="A2011" s="13" t="n">
        <x:v>1992</x:v>
      </x:c>
      <x:c r="B2011" s="14">
        <x:f>IF($B$12&lt;1992,"",$B$13+(1992-1)*($B$14-$B$13)/($B$12-1))</x:f>
      </x:c>
      <x:c r="C2011" s="14">
        <x:f>IF(B2011="","",$F$8*COS(B2011) + $B$7*COS($F$6*B2011))</x:f>
      </x:c>
      <x:c r="D2011" s="14">
        <x:f>IF(B2011="","",$F$8*SIN(B2011) - $B$7*SIN($F$6*B2011))</x:f>
      </x:c>
      <x:c r="E2011" s="14">
        <x:f>IF(B2011="","", C2011 + $F$12*$F$9*(-H2011)/IF(SQRT(G2011^2+H2011^2)=0,1,SQRT(G2011^2+H2011^2)))</x:f>
      </x:c>
      <x:c r="F2011" s="14">
        <x:f>IF(B2011="","", D2011 + $F$12*$F$9*(G2011)/IF(SQRT(G2011^2+H2011^2)=0,1,SQRT(G2011^2+H2011^2)))</x:f>
      </x:c>
      <x:c r="G2011" s="14">
        <x:f>IF(B2011="","", -$F$8*SIN(B2011) - $B$7*$F$6*SIN($F$6*B2011))</x:f>
      </x:c>
      <x:c r="H2011" s="14">
        <x:f>IF(B2011="","", $F$8*COS(B2011) - $B$7*$F$6*COS($F$6*B2011))</x:f>
      </x:c>
    </x:row>
    <x:row r="2012">
      <x:c r="A2012" s="13" t="n">
        <x:v>1993</x:v>
      </x:c>
      <x:c r="B2012" s="14">
        <x:f>IF($B$12&lt;1993,"",$B$13+(1993-1)*($B$14-$B$13)/($B$12-1))</x:f>
      </x:c>
      <x:c r="C2012" s="14">
        <x:f>IF(B2012="","",$F$8*COS(B2012) + $B$7*COS($F$6*B2012))</x:f>
      </x:c>
      <x:c r="D2012" s="14">
        <x:f>IF(B2012="","",$F$8*SIN(B2012) - $B$7*SIN($F$6*B2012))</x:f>
      </x:c>
      <x:c r="E2012" s="14">
        <x:f>IF(B2012="","", C2012 + $F$12*$F$9*(-H2012)/IF(SQRT(G2012^2+H2012^2)=0,1,SQRT(G2012^2+H2012^2)))</x:f>
      </x:c>
      <x:c r="F2012" s="14">
        <x:f>IF(B2012="","", D2012 + $F$12*$F$9*(G2012)/IF(SQRT(G2012^2+H2012^2)=0,1,SQRT(G2012^2+H2012^2)))</x:f>
      </x:c>
      <x:c r="G2012" s="14">
        <x:f>IF(B2012="","", -$F$8*SIN(B2012) - $B$7*$F$6*SIN($F$6*B2012))</x:f>
      </x:c>
      <x:c r="H2012" s="14">
        <x:f>IF(B2012="","", $F$8*COS(B2012) - $B$7*$F$6*COS($F$6*B2012))</x:f>
      </x:c>
    </x:row>
    <x:row r="2013">
      <x:c r="A2013" s="13" t="n">
        <x:v>1994</x:v>
      </x:c>
      <x:c r="B2013" s="14">
        <x:f>IF($B$12&lt;1994,"",$B$13+(1994-1)*($B$14-$B$13)/($B$12-1))</x:f>
      </x:c>
      <x:c r="C2013" s="14">
        <x:f>IF(B2013="","",$F$8*COS(B2013) + $B$7*COS($F$6*B2013))</x:f>
      </x:c>
      <x:c r="D2013" s="14">
        <x:f>IF(B2013="","",$F$8*SIN(B2013) - $B$7*SIN($F$6*B2013))</x:f>
      </x:c>
      <x:c r="E2013" s="14">
        <x:f>IF(B2013="","", C2013 + $F$12*$F$9*(-H2013)/IF(SQRT(G2013^2+H2013^2)=0,1,SQRT(G2013^2+H2013^2)))</x:f>
      </x:c>
      <x:c r="F2013" s="14">
        <x:f>IF(B2013="","", D2013 + $F$12*$F$9*(G2013)/IF(SQRT(G2013^2+H2013^2)=0,1,SQRT(G2013^2+H2013^2)))</x:f>
      </x:c>
      <x:c r="G2013" s="14">
        <x:f>IF(B2013="","", -$F$8*SIN(B2013) - $B$7*$F$6*SIN($F$6*B2013))</x:f>
      </x:c>
      <x:c r="H2013" s="14">
        <x:f>IF(B2013="","", $F$8*COS(B2013) - $B$7*$F$6*COS($F$6*B2013))</x:f>
      </x:c>
    </x:row>
    <x:row r="2014">
      <x:c r="A2014" s="13" t="n">
        <x:v>1995</x:v>
      </x:c>
      <x:c r="B2014" s="14">
        <x:f>IF($B$12&lt;1995,"",$B$13+(1995-1)*($B$14-$B$13)/($B$12-1))</x:f>
      </x:c>
      <x:c r="C2014" s="14">
        <x:f>IF(B2014="","",$F$8*COS(B2014) + $B$7*COS($F$6*B2014))</x:f>
      </x:c>
      <x:c r="D2014" s="14">
        <x:f>IF(B2014="","",$F$8*SIN(B2014) - $B$7*SIN($F$6*B2014))</x:f>
      </x:c>
      <x:c r="E2014" s="14">
        <x:f>IF(B2014="","", C2014 + $F$12*$F$9*(-H2014)/IF(SQRT(G2014^2+H2014^2)=0,1,SQRT(G2014^2+H2014^2)))</x:f>
      </x:c>
      <x:c r="F2014" s="14">
        <x:f>IF(B2014="","", D2014 + $F$12*$F$9*(G2014)/IF(SQRT(G2014^2+H2014^2)=0,1,SQRT(G2014^2+H2014^2)))</x:f>
      </x:c>
      <x:c r="G2014" s="14">
        <x:f>IF(B2014="","", -$F$8*SIN(B2014) - $B$7*$F$6*SIN($F$6*B2014))</x:f>
      </x:c>
      <x:c r="H2014" s="14">
        <x:f>IF(B2014="","", $F$8*COS(B2014) - $B$7*$F$6*COS($F$6*B2014))</x:f>
      </x:c>
    </x:row>
    <x:row r="2015">
      <x:c r="A2015" s="13" t="n">
        <x:v>1996</x:v>
      </x:c>
      <x:c r="B2015" s="14">
        <x:f>IF($B$12&lt;1996,"",$B$13+(1996-1)*($B$14-$B$13)/($B$12-1))</x:f>
      </x:c>
      <x:c r="C2015" s="14">
        <x:f>IF(B2015="","",$F$8*COS(B2015) + $B$7*COS($F$6*B2015))</x:f>
      </x:c>
      <x:c r="D2015" s="14">
        <x:f>IF(B2015="","",$F$8*SIN(B2015) - $B$7*SIN($F$6*B2015))</x:f>
      </x:c>
      <x:c r="E2015" s="14">
        <x:f>IF(B2015="","", C2015 + $F$12*$F$9*(-H2015)/IF(SQRT(G2015^2+H2015^2)=0,1,SQRT(G2015^2+H2015^2)))</x:f>
      </x:c>
      <x:c r="F2015" s="14">
        <x:f>IF(B2015="","", D2015 + $F$12*$F$9*(G2015)/IF(SQRT(G2015^2+H2015^2)=0,1,SQRT(G2015^2+H2015^2)))</x:f>
      </x:c>
      <x:c r="G2015" s="14">
        <x:f>IF(B2015="","", -$F$8*SIN(B2015) - $B$7*$F$6*SIN($F$6*B2015))</x:f>
      </x:c>
      <x:c r="H2015" s="14">
        <x:f>IF(B2015="","", $F$8*COS(B2015) - $B$7*$F$6*COS($F$6*B2015))</x:f>
      </x:c>
    </x:row>
    <x:row r="2016">
      <x:c r="A2016" s="13" t="n">
        <x:v>1997</x:v>
      </x:c>
      <x:c r="B2016" s="14">
        <x:f>IF($B$12&lt;1997,"",$B$13+(1997-1)*($B$14-$B$13)/($B$12-1))</x:f>
      </x:c>
      <x:c r="C2016" s="14">
        <x:f>IF(B2016="","",$F$8*COS(B2016) + $B$7*COS($F$6*B2016))</x:f>
      </x:c>
      <x:c r="D2016" s="14">
        <x:f>IF(B2016="","",$F$8*SIN(B2016) - $B$7*SIN($F$6*B2016))</x:f>
      </x:c>
      <x:c r="E2016" s="14">
        <x:f>IF(B2016="","", C2016 + $F$12*$F$9*(-H2016)/IF(SQRT(G2016^2+H2016^2)=0,1,SQRT(G2016^2+H2016^2)))</x:f>
      </x:c>
      <x:c r="F2016" s="14">
        <x:f>IF(B2016="","", D2016 + $F$12*$F$9*(G2016)/IF(SQRT(G2016^2+H2016^2)=0,1,SQRT(G2016^2+H2016^2)))</x:f>
      </x:c>
      <x:c r="G2016" s="14">
        <x:f>IF(B2016="","", -$F$8*SIN(B2016) - $B$7*$F$6*SIN($F$6*B2016))</x:f>
      </x:c>
      <x:c r="H2016" s="14">
        <x:f>IF(B2016="","", $F$8*COS(B2016) - $B$7*$F$6*COS($F$6*B2016))</x:f>
      </x:c>
    </x:row>
    <x:row r="2017">
      <x:c r="A2017" s="13" t="n">
        <x:v>1998</x:v>
      </x:c>
      <x:c r="B2017" s="14">
        <x:f>IF($B$12&lt;1998,"",$B$13+(1998-1)*($B$14-$B$13)/($B$12-1))</x:f>
      </x:c>
      <x:c r="C2017" s="14">
        <x:f>IF(B2017="","",$F$8*COS(B2017) + $B$7*COS($F$6*B2017))</x:f>
      </x:c>
      <x:c r="D2017" s="14">
        <x:f>IF(B2017="","",$F$8*SIN(B2017) - $B$7*SIN($F$6*B2017))</x:f>
      </x:c>
      <x:c r="E2017" s="14">
        <x:f>IF(B2017="","", C2017 + $F$12*$F$9*(-H2017)/IF(SQRT(G2017^2+H2017^2)=0,1,SQRT(G2017^2+H2017^2)))</x:f>
      </x:c>
      <x:c r="F2017" s="14">
        <x:f>IF(B2017="","", D2017 + $F$12*$F$9*(G2017)/IF(SQRT(G2017^2+H2017^2)=0,1,SQRT(G2017^2+H2017^2)))</x:f>
      </x:c>
      <x:c r="G2017" s="14">
        <x:f>IF(B2017="","", -$F$8*SIN(B2017) - $B$7*$F$6*SIN($F$6*B2017))</x:f>
      </x:c>
      <x:c r="H2017" s="14">
        <x:f>IF(B2017="","", $F$8*COS(B2017) - $B$7*$F$6*COS($F$6*B2017))</x:f>
      </x:c>
    </x:row>
    <x:row r="2018">
      <x:c r="A2018" s="13" t="n">
        <x:v>1999</x:v>
      </x:c>
      <x:c r="B2018" s="14">
        <x:f>IF($B$12&lt;1999,"",$B$13+(1999-1)*($B$14-$B$13)/($B$12-1))</x:f>
      </x:c>
      <x:c r="C2018" s="14">
        <x:f>IF(B2018="","",$F$8*COS(B2018) + $B$7*COS($F$6*B2018))</x:f>
      </x:c>
      <x:c r="D2018" s="14">
        <x:f>IF(B2018="","",$F$8*SIN(B2018) - $B$7*SIN($F$6*B2018))</x:f>
      </x:c>
      <x:c r="E2018" s="14">
        <x:f>IF(B2018="","", C2018 + $F$12*$F$9*(-H2018)/IF(SQRT(G2018^2+H2018^2)=0,1,SQRT(G2018^2+H2018^2)))</x:f>
      </x:c>
      <x:c r="F2018" s="14">
        <x:f>IF(B2018="","", D2018 + $F$12*$F$9*(G2018)/IF(SQRT(G2018^2+H2018^2)=0,1,SQRT(G2018^2+H2018^2)))</x:f>
      </x:c>
      <x:c r="G2018" s="14">
        <x:f>IF(B2018="","", -$F$8*SIN(B2018) - $B$7*$F$6*SIN($F$6*B2018))</x:f>
      </x:c>
      <x:c r="H2018" s="14">
        <x:f>IF(B2018="","", $F$8*COS(B2018) - $B$7*$F$6*COS($F$6*B2018))</x:f>
      </x:c>
    </x:row>
    <x:row r="2019">
      <x:c r="A2019" s="13" t="n">
        <x:v>2000</x:v>
      </x:c>
      <x:c r="B2019" s="14">
        <x:f>IF($B$12&lt;2000,"",$B$13+(2000-1)*($B$14-$B$13)/($B$12-1))</x:f>
      </x:c>
      <x:c r="C2019" s="14">
        <x:f>IF(B2019="","",$F$8*COS(B2019) + $B$7*COS($F$6*B2019))</x:f>
      </x:c>
      <x:c r="D2019" s="14">
        <x:f>IF(B2019="","",$F$8*SIN(B2019) - $B$7*SIN($F$6*B2019))</x:f>
      </x:c>
      <x:c r="E2019" s="14">
        <x:f>IF(B2019="","", C2019 + $F$12*$F$9*(-H2019)/IF(SQRT(G2019^2+H2019^2)=0,1,SQRT(G2019^2+H2019^2)))</x:f>
      </x:c>
      <x:c r="F2019" s="14">
        <x:f>IF(B2019="","", D2019 + $F$12*$F$9*(G2019)/IF(SQRT(G2019^2+H2019^2)=0,1,SQRT(G2019^2+H2019^2)))</x:f>
      </x:c>
      <x:c r="G2019" s="14">
        <x:f>IF(B2019="","", -$F$8*SIN(B2019) - $B$7*$F$6*SIN($F$6*B2019))</x:f>
      </x:c>
      <x:c r="H2019" s="14">
        <x:f>IF(B2019="","", $F$8*COS(B2019) - $B$7*$F$6*COS($F$6*B2019))</x:f>
      </x:c>
    </x:row>
  </x:sheetData>
  <x:mergeCells>
    <x:mergeCell ref="A16:C17"/>
    <x:mergeCell ref="E18:H18"/>
    <x:mergeCell ref="E3:H3"/>
    <x:mergeCell ref="A3:C3"/>
    <x:mergeCell ref="A1:H1"/>
    <x:mergeCell ref="E13:H13"/>
  </x:mergeCells>
  <x:conditionalFormatting sqref="F11:F11">
    <x:cfRule type="expression" dxfId="0" priority="1">
      <x:formula>$F$11="Mismatch"</x:formula>
    </x:cfRule>
    <x:cfRule type="expression" dxfId="1" priority="2">
      <x:formula>$F$11="OK"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s="15" t="inlineStr">
        <x:is>
          <x:t xml:space="preserve">How to use this workbook</x:t>
        </x:is>
      </x:c>
    </x:row>
    <x:row r="2">
      <x:c r="A2" s="5" t="n"/>
    </x:row>
    <x:row r="3">
      <x:c r="A3" s="16" t="inlineStr">
        <x:is>
          <x:t xml:space="preserve">1) Go to the Cycloidal_Disc sheet and edit the blue input cells.
2) In SolidWorks: Sketch &gt; Spline drop-down &gt; Equation Driven Curve.
   - Choose Parametric.
   - Paste X(t) from cell F14 into X.
   - Paste Y(t) from cell F15 into Y.
   - Set T1 = t start (cell B13) and T2 = t end (cell B14).
3) To get the actual disc profile that fits around the rollers:
   Option A (easy): Offset Entities by rp (cell F9) and keep the correct side.
   Option B (robust): Use the x_offset/y_offset point list for a curve-through-points.
4) If SolidWorks complains about coincident endpoints, keep t start/end as-is or split the curve into halves.</x:t>
        </x:is>
      </x:c>
    </x:row>
    <x:row r="4">
      <x:c r="A4" s="5" t="n"/>
    </x:row>
    <x:row r="5">
      <x:c r="A5" s="5" t="n"/>
    </x:row>
  </x:sheetData>
  <x:pageMargins left="0.7" right="0.7" top="0.75" bottom="0.75" header="0.3" footer="0.3"/>
</x:worksheet>
</file>