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55a1d278943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urator" sheetId="1" r:id="R76545a7f7cde44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4"/>
    </x:font>
    <x:font>
      <x:b/>
      <x:color rgb="00FFFFFF"/>
    </x:font>
    <x:font>
      <x:color rgb="000000FF"/>
    </x:font>
    <x:font>
      <x:i/>
    </x:font>
    <x:font>
      <x:b/>
    </x:font>
    <x:font>
      <x:name val="Consolas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Alignment="1">
      <x:alignment horizontal="left" vertical="center"/>
    </x:xf>
    <x:xf numFmtId="0" fontId="2" fillId="2" borderId="0" xfId="0" applyAlignment="1">
      <x:alignment horizontal="left" vertical="center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center" wrapText="1"/>
    </x:xf>
    <x:xf numFmtId="2" fontId="3" fillId="3" borderId="1" xfId="0" applyAlignment="1">
      <x:alignment vertical="center" wrapText="1"/>
    </x:xf>
    <x:xf numFmtId="1" fontId="3" fillId="3" borderId="1" xfId="0" applyAlignment="1">
      <x:alignment vertical="center" wrapText="1"/>
    </x:xf>
    <x:xf numFmtId="0" fontId="4" fillId="0" borderId="0" xfId="0" applyAlignment="1">
      <x:alignment wrapText="1"/>
    </x:xf>
    <x:xf numFmtId="0" fontId="5" fillId="0" borderId="1" xfId="0"/>
    <x:xf numFmtId="0" fontId="6" fillId="0" borderId="1" xfId="0" applyAlignment="1">
      <x:alignment vertical="top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f7e07b2114209" /><Relationship Type="http://schemas.openxmlformats.org/officeDocument/2006/relationships/theme" Target="/xl/theme/theme1.xml" Id="R6b108d00bfca4fe8" /><Relationship Type="http://schemas.openxmlformats.org/officeDocument/2006/relationships/sharedStrings" Target="/xl/sharedStrings.xml" Id="R021bd56e63db4581" /><Relationship Type="http://schemas.openxmlformats.org/officeDocument/2006/relationships/worksheet" Target="/xl/worksheets/sheet1.xml" Id="R76545a7f7cde443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customWidth="1"/>
    <x:col min="2" max="2" width="10" customWidth="1"/>
    <x:col min="3" max="3" width="14" customWidth="1"/>
    <x:col min="4" max="4" width="10" customWidth="1"/>
    <x:col min="5" max="5" width="54" customWidth="1"/>
  </x:cols>
  <x:sheetData>
    <x:row r="1" ht="24" customHeight="1">
      <x:c r="A1" s="1" t="inlineStr">
        <x:is>
          <x:t xml:space="preserve">Cycloidal Drive – Parameter Configurator</x:t>
        </x:is>
      </x:c>
    </x:row>
    <x:row r="3">
      <x:c r="A3" s="2" t="inlineStr">
        <x:is>
          <x:t xml:space="preserve">Inputs (edit blue cells)</x:t>
        </x:is>
      </x:c>
    </x:row>
    <x:row r="4">
      <x:c r="A4" s="3" t="inlineStr">
        <x:is>
          <x:t xml:space="preserve">Parameter</x:t>
        </x:is>
      </x:c>
      <x:c r="B4" s="3" t="inlineStr">
        <x:is>
          <x:t xml:space="preserve">Symbol</x:t>
        </x:is>
      </x:c>
      <x:c r="C4" s="3" t="inlineStr">
        <x:is>
          <x:t xml:space="preserve">Value</x:t>
        </x:is>
      </x:c>
      <x:c r="D4" s="3" t="inlineStr">
        <x:is>
          <x:t xml:space="preserve">Units</x:t>
        </x:is>
      </x:c>
      <x:c r="E4" s="3" t="inlineStr">
        <x:is>
          <x:t xml:space="preserve">Description</x:t>
        </x:is>
      </x:c>
    </x:row>
    <x:row r="5">
      <x:c r="A5" s="4" t="inlineStr">
        <x:is>
          <x:t xml:space="preserve">Rotor radius</x:t>
        </x:is>
      </x:c>
      <x:c r="B5" s="4" t="inlineStr">
        <x:is>
          <x:t xml:space="preserve">R</x:t>
        </x:is>
      </x:c>
      <x:c r="C5" s="5" t="n">
        <x:v>10</x:v>
      </x:c>
      <x:c r="D5" s="4" t="inlineStr">
        <x:is>
          <x:t xml:space="preserve">mm</x:t>
        </x:is>
      </x:c>
      <x:c r="E5" s="4" t="inlineStr">
        <x:is>
          <x:t xml:space="preserve">Radius of cycloidal rotor</x:t>
        </x:is>
      </x:c>
    </x:row>
    <x:row r="6">
      <x:c r="A6" s="4" t="inlineStr">
        <x:is>
          <x:t xml:space="preserve">Eccentricity</x:t>
        </x:is>
      </x:c>
      <x:c r="B6" s="4" t="inlineStr">
        <x:is>
          <x:t xml:space="preserve">E</x:t>
        </x:is>
      </x:c>
      <x:c r="C6" s="5" t="n">
        <x:v>0.75</x:v>
      </x:c>
      <x:c r="D6" s="4" t="inlineStr">
        <x:is>
          <x:t xml:space="preserve">mm</x:t>
        </x:is>
      </x:c>
      <x:c r="E6" s="4" t="inlineStr">
        <x:is>
          <x:t xml:space="preserve">Offset between input shaft and rotor centre</x:t>
        </x:is>
      </x:c>
    </x:row>
    <x:row r="7">
      <x:c r="A7" s="4" t="inlineStr">
        <x:is>
          <x:t xml:space="preserve">Roller radius</x:t>
        </x:is>
      </x:c>
      <x:c r="B7" s="4" t="inlineStr">
        <x:is>
          <x:t xml:space="preserve">Rr</x:t>
        </x:is>
      </x:c>
      <x:c r="C7" s="5" t="n">
        <x:v>1.5</x:v>
      </x:c>
      <x:c r="D7" s="4" t="inlineStr">
        <x:is>
          <x:t xml:space="preserve">mm</x:t>
        </x:is>
      </x:c>
      <x:c r="E7" s="4" t="inlineStr">
        <x:is>
          <x:t xml:space="preserve">Radius of ring rollers (pins)</x:t>
        </x:is>
      </x:c>
    </x:row>
    <x:row r="8">
      <x:c r="A8" s="4" t="inlineStr">
        <x:is>
          <x:t xml:space="preserve">Number of rollers (pins)</x:t>
        </x:is>
      </x:c>
      <x:c r="B8" s="4" t="inlineStr">
        <x:is>
          <x:t xml:space="preserve">N</x:t>
        </x:is>
      </x:c>
      <x:c r="C8" s="6" t="n">
        <x:v>10</x:v>
      </x:c>
      <x:c r="D8" s="4" t="inlineStr">
        <x:is>
          <x:t xml:space="preserve">-</x:t>
        </x:is>
      </x:c>
      <x:c r="E8" s="4" t="inlineStr">
        <x:is>
          <x:t xml:space="preserve">Number of pins in ring gear</x:t>
        </x:is>
      </x:c>
    </x:row>
    <x:row r="9">
      <x:c r="A9" s="4" t="inlineStr">
        <x:is>
          <x:t xml:space="preserve">Pad angle for half-profile</x:t>
        </x:is>
      </x:c>
      <x:c r="B9" s="4" t="inlineStr">
        <x:is>
          <x:t xml:space="preserve">pad</x:t>
        </x:is>
      </x:c>
      <x:c r="C9" s="6" t="n">
        <x:v>10</x:v>
      </x:c>
      <x:c r="D9" s="4" t="inlineStr">
        <x:is>
          <x:t xml:space="preserve">deg</x:t>
        </x:is>
      </x:c>
      <x:c r="E9" s="4" t="inlineStr">
        <x:is>
          <x:t xml:space="preserve">SolidWorks mirror trick: t from -pad to π+pad</x:t>
        </x:is>
      </x:c>
    </x:row>
    <x:row r="11">
      <x:c r="A11" s="2" t="inlineStr">
        <x:is>
          <x:t xml:space="preserve">Derived values</x:t>
        </x:is>
      </x:c>
    </x:row>
    <x:row r="12">
      <x:c r="A12" s="3" t="inlineStr">
        <x:is>
          <x:t xml:space="preserve">Derived</x:t>
        </x:is>
      </x:c>
      <x:c r="B12" s="3" t="inlineStr">
        <x:is>
          <x:t xml:space="preserve">Symbol</x:t>
        </x:is>
      </x:c>
      <x:c r="C12" s="3" t="inlineStr">
        <x:is>
          <x:t xml:space="preserve">Value</x:t>
        </x:is>
      </x:c>
      <x:c r="D12" s="3" t="inlineStr">
        <x:is>
          <x:t xml:space="preserve">Units</x:t>
        </x:is>
      </x:c>
      <x:c r="E12" s="3" t="inlineStr">
        <x:is>
          <x:t xml:space="preserve">Notes</x:t>
        </x:is>
      </x:c>
    </x:row>
    <x:row r="13">
      <x:c r="A13" s="4" t="inlineStr">
        <x:is>
          <x:t xml:space="preserve">Rotor diameter</x:t>
        </x:is>
      </x:c>
      <x:c r="B13" s="4" t="inlineStr">
        <x:is>
          <x:t xml:space="preserve">D_rotor</x:t>
        </x:is>
      </x:c>
      <x:c r="C13" s="4">
        <x:f>2*C5</x:f>
        <x:v>20</x:v>
      </x:c>
      <x:c r="D13" s="4" t="inlineStr">
        <x:is>
          <x:t xml:space="preserve">mm</x:t>
        </x:is>
      </x:c>
      <x:c r="E13" s="4" t="inlineStr">
        <x:is>
          <x:t xml:space="preserve">Convenience</x:t>
        </x:is>
      </x:c>
    </x:row>
    <x:row r="14">
      <x:c r="A14" s="4" t="inlineStr">
        <x:is>
          <x:t xml:space="preserve">Roller diameter</x:t>
        </x:is>
      </x:c>
      <x:c r="B14" s="4" t="inlineStr">
        <x:is>
          <x:t xml:space="preserve">d_roller</x:t>
        </x:is>
      </x:c>
      <x:c r="C14" s="4">
        <x:f>2*C7</x:f>
        <x:v>3</x:v>
      </x:c>
      <x:c r="D14" s="4" t="inlineStr">
        <x:is>
          <x:t xml:space="preserve">mm</x:t>
        </x:is>
      </x:c>
      <x:c r="E14" s="4" t="inlineStr">
        <x:is>
          <x:t xml:space="preserve">Convenience</x:t>
        </x:is>
      </x:c>
    </x:row>
    <x:row r="15">
      <x:c r="A15" s="4" t="inlineStr">
        <x:is>
          <x:t xml:space="preserve">t1 (half-profile)</x:t>
        </x:is>
      </x:c>
      <x:c r="B15" s="4" t="inlineStr">
        <x:is>
          <x:t xml:space="preserve">t1_half</x:t>
        </x:is>
      </x:c>
      <x:c r="C15" s="4">
        <x:f>-C9/360*2*PI()</x:f>
        <x:v>-0.17453292519943295</x:v>
      </x:c>
      <x:c r="D15" s="4" t="inlineStr">
        <x:is>
          <x:t xml:space="preserve">rad</x:t>
        </x:is>
      </x:c>
      <x:c r="E15" s="4" t="inlineStr">
        <x:is>
          <x:t xml:space="preserve">Start for mirror trick</x:t>
        </x:is>
      </x:c>
    </x:row>
    <x:row r="16">
      <x:c r="A16" s="4" t="inlineStr">
        <x:is>
          <x:t xml:space="preserve">t2 (half-profile)</x:t>
        </x:is>
      </x:c>
      <x:c r="B16" s="4" t="inlineStr">
        <x:is>
          <x:t xml:space="preserve">t2_half</x:t>
        </x:is>
      </x:c>
      <x:c r="C16" s="4">
        <x:f>PI()+C9/360*2*PI()</x:f>
        <x:v>3.316125578789226</x:v>
      </x:c>
      <x:c r="D16" s="4" t="inlineStr">
        <x:is>
          <x:t xml:space="preserve">rad</x:t>
        </x:is>
      </x:c>
      <x:c r="E16" s="4" t="inlineStr">
        <x:is>
          <x:t xml:space="preserve">End for mirror trick</x:t>
        </x:is>
      </x:c>
    </x:row>
    <x:row r="17">
      <x:c r="A17" s="4" t="inlineStr">
        <x:is>
          <x:t xml:space="preserve">t1 (full profile)</x:t>
        </x:is>
      </x:c>
      <x:c r="B17" s="4" t="inlineStr">
        <x:is>
          <x:t xml:space="preserve">t1_full</x:t>
        </x:is>
      </x:c>
      <x:c r="C17" s="4">
        <x:f>0</x:f>
        <x:v>0</x:v>
      </x:c>
      <x:c r="D17" s="4" t="inlineStr">
        <x:is>
          <x:t xml:space="preserve">rad</x:t>
        </x:is>
      </x:c>
      <x:c r="E17" s="4" t="inlineStr">
        <x:is>
          <x:t xml:space="preserve">Start for full curve</x:t>
        </x:is>
      </x:c>
    </x:row>
    <x:row r="18">
      <x:c r="A18" s="4" t="inlineStr">
        <x:is>
          <x:t xml:space="preserve">t2 (full profile)</x:t>
        </x:is>
      </x:c>
      <x:c r="B18" s="4" t="inlineStr">
        <x:is>
          <x:t xml:space="preserve">t2_full</x:t>
        </x:is>
      </x:c>
      <x:c r="C18" s="4">
        <x:f>2*PI()</x:f>
        <x:v>6.283185307179586</x:v>
      </x:c>
      <x:c r="D18" s="4" t="inlineStr">
        <x:is>
          <x:t xml:space="preserve">rad</x:t>
        </x:is>
      </x:c>
      <x:c r="E18" s="4" t="inlineStr">
        <x:is>
          <x:t xml:space="preserve">End for full curve</x:t>
        </x:is>
      </x:c>
    </x:row>
    <x:row r="21">
      <x:c r="A21" s="2" t="inlineStr">
        <x:is>
          <x:t xml:space="preserve">SolidWorks Equation Driven Curve (Parametric) – auto-generated text</x:t>
        </x:is>
      </x:c>
    </x:row>
    <x:row r="22">
      <x:c r="A22" s="7" t="inlineStr">
        <x:is>
          <x:t xml:space="preserve">Paste into: Sketch &gt; Equation Driven Curve &gt; Parametric. Use the t1/t2 cells above.</x:t>
        </x:is>
      </x:c>
    </x:row>
    <x:row r="24" ht="64" customHeight="1">
      <x:c r="A24" s="8" t="inlineStr">
        <x:is>
          <x:t xml:space="preserve">X(t) =</x:t>
        </x:is>
      </x:c>
      <x:c r="B24" s="9" t="str">
        <x:f> "X = ("&amp;C5&amp;"*cos(t))-("&amp;C7&amp;"*cos(t+atan(sin((1-"&amp;C8&amp;")*t)/(("&amp;C5&amp;"/("&amp;C6&amp;"*"&amp;C8&amp;"))-cos((1-"&amp;C8&amp;")*t)))))-("&amp;C6&amp;"*cos("&amp;C8&amp;"*t))"</x:f>
        <x:v>X = (10*cos(t))-(1.5*cos(t+atan(sin((1-10)*t)/((10/(0.75*10))-cos((1-10)*t)))))-(0.75*cos(10*t))</x:v>
      </x:c>
      <x:c r="C24" s="10" t="n"/>
      <x:c r="D24" s="10" t="n"/>
      <x:c r="E24" s="10" t="n"/>
    </x:row>
    <x:row r="25" ht="64" customHeight="1">
      <x:c r="A25" s="8" t="inlineStr">
        <x:is>
          <x:t xml:space="preserve">Y(t) =</x:t>
        </x:is>
      </x:c>
      <x:c r="B25" s="9" t="str">
        <x:f> "Y = (-"&amp;C5&amp;"*sin(t))+("&amp;C7&amp;"*sin(t+atan(sin((1-"&amp;C8&amp;")*t)/(("&amp;C5&amp;"/("&amp;C6&amp;"*"&amp;C8&amp;"))-cos((1-"&amp;C8&amp;")*t)))))+("&amp;C6&amp;"*sin("&amp;C8&amp;"*t))"</x:f>
        <x:v>Y = (-10*sin(t))+(1.5*sin(t+atan(sin((1-10)*t)/((10/(0.75*10))-cos((1-10)*t)))))+(0.75*sin(10*t))</x:v>
      </x:c>
      <x:c r="C25" s="10" t="n"/>
      <x:c r="D25" s="10" t="n"/>
      <x:c r="E25" s="10" t="n"/>
    </x:row>
  </x:sheetData>
  <x:mergeCells>
    <x:mergeCell ref="A21:E21"/>
    <x:mergeCell ref="A11:E11"/>
    <x:mergeCell ref="A1:E1"/>
    <x:mergeCell ref="B25:E25"/>
    <x:mergeCell ref="B24:E24"/>
    <x:mergeCell ref="A22:E22"/>
    <x:mergeCell ref="A3:E3"/>
  </x:mergeCells>
  <x:pageMargins left="0.7" right="0.7" top="0.75" bottom="0.75" header="0.3" footer="0.3"/>
</x:worksheet>
</file>