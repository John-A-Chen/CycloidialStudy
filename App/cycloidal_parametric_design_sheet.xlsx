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n\Documents\GitHub\CycloidialStudy\App\"/>
    </mc:Choice>
  </mc:AlternateContent>
  <xr:revisionPtr revIDLastSave="0" documentId="13_ncr:1_{940F3BC3-D79E-4BE8-9FD4-386D3F19A92B}" xr6:coauthVersionLast="47" xr6:coauthVersionMax="47" xr10:uidLastSave="{00000000-0000-0000-0000-000000000000}"/>
  <bookViews>
    <workbookView xWindow="-96" yWindow="0" windowWidth="18432" windowHeight="13776" xr2:uid="{00000000-000D-0000-FFFF-FFFF00000000}"/>
  </bookViews>
  <sheets>
    <sheet name="DesignSheet" sheetId="1" r:id="rId1"/>
    <sheet name="Point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3" i="1"/>
  <c r="A721" i="2"/>
  <c r="A720" i="2"/>
  <c r="A719" i="2"/>
  <c r="A718" i="2"/>
  <c r="A717" i="2"/>
  <c r="A716" i="2"/>
  <c r="A715" i="2"/>
  <c r="A714" i="2"/>
  <c r="A713" i="2"/>
  <c r="A712" i="2"/>
  <c r="A711" i="2"/>
  <c r="A710" i="2"/>
  <c r="C710" i="2" s="1"/>
  <c r="A709" i="2"/>
  <c r="C708" i="2"/>
  <c r="A708" i="2"/>
  <c r="A707" i="2"/>
  <c r="A706" i="2"/>
  <c r="A705" i="2"/>
  <c r="A704" i="2"/>
  <c r="A703" i="2"/>
  <c r="C702" i="2"/>
  <c r="A702" i="2"/>
  <c r="A701" i="2"/>
  <c r="A700" i="2"/>
  <c r="C700" i="2" s="1"/>
  <c r="A699" i="2"/>
  <c r="A698" i="2"/>
  <c r="A697" i="2"/>
  <c r="B697" i="2" s="1"/>
  <c r="A696" i="2"/>
  <c r="A695" i="2"/>
  <c r="A694" i="2"/>
  <c r="A693" i="2"/>
  <c r="A692" i="2"/>
  <c r="A691" i="2"/>
  <c r="A690" i="2"/>
  <c r="C689" i="2"/>
  <c r="A689" i="2"/>
  <c r="A688" i="2"/>
  <c r="A687" i="2"/>
  <c r="A686" i="2"/>
  <c r="A685" i="2"/>
  <c r="A684" i="2"/>
  <c r="A683" i="2"/>
  <c r="A682" i="2"/>
  <c r="B682" i="2" s="1"/>
  <c r="A681" i="2"/>
  <c r="A680" i="2"/>
  <c r="A679" i="2"/>
  <c r="A678" i="2"/>
  <c r="A677" i="2"/>
  <c r="A676" i="2"/>
  <c r="C676" i="2" s="1"/>
  <c r="A675" i="2"/>
  <c r="A674" i="2"/>
  <c r="A673" i="2"/>
  <c r="A672" i="2"/>
  <c r="A671" i="2"/>
  <c r="A670" i="2"/>
  <c r="B669" i="2"/>
  <c r="A669" i="2"/>
  <c r="A668" i="2"/>
  <c r="A667" i="2"/>
  <c r="A666" i="2"/>
  <c r="A665" i="2"/>
  <c r="A664" i="2"/>
  <c r="A663" i="2"/>
  <c r="B663" i="2" s="1"/>
  <c r="A662" i="2"/>
  <c r="B662" i="2" s="1"/>
  <c r="A661" i="2"/>
  <c r="C660" i="2"/>
  <c r="A660" i="2"/>
  <c r="A659" i="2"/>
  <c r="A658" i="2"/>
  <c r="A657" i="2"/>
  <c r="B657" i="2" s="1"/>
  <c r="A656" i="2"/>
  <c r="A655" i="2"/>
  <c r="A654" i="2"/>
  <c r="A653" i="2"/>
  <c r="A652" i="2"/>
  <c r="A651" i="2"/>
  <c r="A650" i="2"/>
  <c r="C650" i="2" s="1"/>
  <c r="C649" i="2"/>
  <c r="A649" i="2"/>
  <c r="B649" i="2" s="1"/>
  <c r="C648" i="2"/>
  <c r="A648" i="2"/>
  <c r="B647" i="2"/>
  <c r="A647" i="2"/>
  <c r="A646" i="2"/>
  <c r="A645" i="2"/>
  <c r="A644" i="2"/>
  <c r="A643" i="2"/>
  <c r="C643" i="2" s="1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B629" i="2" s="1"/>
  <c r="A628" i="2"/>
  <c r="A627" i="2"/>
  <c r="A626" i="2"/>
  <c r="A625" i="2"/>
  <c r="A624" i="2"/>
  <c r="A623" i="2"/>
  <c r="A622" i="2"/>
  <c r="A621" i="2"/>
  <c r="A620" i="2"/>
  <c r="C620" i="2" s="1"/>
  <c r="A619" i="2"/>
  <c r="A618" i="2"/>
  <c r="B617" i="2"/>
  <c r="A617" i="2"/>
  <c r="B616" i="2"/>
  <c r="A616" i="2"/>
  <c r="C615" i="2"/>
  <c r="A615" i="2"/>
  <c r="A614" i="2"/>
  <c r="A613" i="2"/>
  <c r="A612" i="2"/>
  <c r="A611" i="2"/>
  <c r="A610" i="2"/>
  <c r="A609" i="2"/>
  <c r="C608" i="2"/>
  <c r="A608" i="2"/>
  <c r="A607" i="2"/>
  <c r="A606" i="2"/>
  <c r="A605" i="2"/>
  <c r="A604" i="2"/>
  <c r="A603" i="2"/>
  <c r="C603" i="2" s="1"/>
  <c r="A602" i="2"/>
  <c r="A601" i="2"/>
  <c r="A600" i="2"/>
  <c r="A599" i="2"/>
  <c r="A598" i="2"/>
  <c r="A597" i="2"/>
  <c r="B597" i="2" s="1"/>
  <c r="B596" i="2"/>
  <c r="A596" i="2"/>
  <c r="A595" i="2"/>
  <c r="A594" i="2"/>
  <c r="A593" i="2"/>
  <c r="A592" i="2"/>
  <c r="A591" i="2"/>
  <c r="A590" i="2"/>
  <c r="A589" i="2"/>
  <c r="C589" i="2" s="1"/>
  <c r="C588" i="2"/>
  <c r="B588" i="2"/>
  <c r="A588" i="2"/>
  <c r="A587" i="2"/>
  <c r="B586" i="2"/>
  <c r="A586" i="2"/>
  <c r="A585" i="2"/>
  <c r="A584" i="2"/>
  <c r="A583" i="2"/>
  <c r="A582" i="2"/>
  <c r="C582" i="2" s="1"/>
  <c r="A581" i="2"/>
  <c r="A580" i="2"/>
  <c r="C580" i="2" s="1"/>
  <c r="C579" i="2"/>
  <c r="A579" i="2"/>
  <c r="A578" i="2"/>
  <c r="A577" i="2"/>
  <c r="A576" i="2"/>
  <c r="B576" i="2" s="1"/>
  <c r="A575" i="2"/>
  <c r="A574" i="2"/>
  <c r="A573" i="2"/>
  <c r="B573" i="2" s="1"/>
  <c r="A572" i="2"/>
  <c r="A571" i="2"/>
  <c r="A570" i="2"/>
  <c r="C570" i="2" s="1"/>
  <c r="C569" i="2"/>
  <c r="B569" i="2"/>
  <c r="A569" i="2"/>
  <c r="A568" i="2"/>
  <c r="A567" i="2"/>
  <c r="A566" i="2"/>
  <c r="A565" i="2"/>
  <c r="A564" i="2"/>
  <c r="A563" i="2"/>
  <c r="A562" i="2"/>
  <c r="C562" i="2" s="1"/>
  <c r="C561" i="2"/>
  <c r="A561" i="2"/>
  <c r="C560" i="2"/>
  <c r="A560" i="2"/>
  <c r="A559" i="2"/>
  <c r="C559" i="2" s="1"/>
  <c r="A558" i="2"/>
  <c r="B557" i="2"/>
  <c r="A557" i="2"/>
  <c r="A556" i="2"/>
  <c r="A555" i="2"/>
  <c r="A554" i="2"/>
  <c r="A553" i="2"/>
  <c r="B553" i="2" s="1"/>
  <c r="A552" i="2"/>
  <c r="A551" i="2"/>
  <c r="A550" i="2"/>
  <c r="A549" i="2"/>
  <c r="C549" i="2" s="1"/>
  <c r="A548" i="2"/>
  <c r="A547" i="2"/>
  <c r="C546" i="2"/>
  <c r="A546" i="2"/>
  <c r="A545" i="2"/>
  <c r="A544" i="2"/>
  <c r="A543" i="2"/>
  <c r="C543" i="2" s="1"/>
  <c r="A542" i="2"/>
  <c r="A541" i="2"/>
  <c r="C540" i="2"/>
  <c r="A540" i="2"/>
  <c r="A539" i="2"/>
  <c r="A538" i="2"/>
  <c r="A537" i="2"/>
  <c r="C536" i="2"/>
  <c r="A536" i="2"/>
  <c r="B536" i="2" s="1"/>
  <c r="A535" i="2"/>
  <c r="A534" i="2"/>
  <c r="B533" i="2"/>
  <c r="A533" i="2"/>
  <c r="C532" i="2"/>
  <c r="B532" i="2"/>
  <c r="A532" i="2"/>
  <c r="A531" i="2"/>
  <c r="A530" i="2"/>
  <c r="A529" i="2"/>
  <c r="A528" i="2"/>
  <c r="A527" i="2"/>
  <c r="B526" i="2"/>
  <c r="A526" i="2"/>
  <c r="A525" i="2"/>
  <c r="A524" i="2"/>
  <c r="C523" i="2"/>
  <c r="B523" i="2"/>
  <c r="A523" i="2"/>
  <c r="A522" i="2"/>
  <c r="A521" i="2"/>
  <c r="A520" i="2"/>
  <c r="C519" i="2"/>
  <c r="A519" i="2"/>
  <c r="B519" i="2" s="1"/>
  <c r="A518" i="2"/>
  <c r="A517" i="2"/>
  <c r="A516" i="2"/>
  <c r="C515" i="2"/>
  <c r="B515" i="2"/>
  <c r="A515" i="2"/>
  <c r="A514" i="2"/>
  <c r="A513" i="2"/>
  <c r="A512" i="2"/>
  <c r="A511" i="2"/>
  <c r="B510" i="2"/>
  <c r="A510" i="2"/>
  <c r="A509" i="2"/>
  <c r="C509" i="2" s="1"/>
  <c r="C508" i="2"/>
  <c r="A508" i="2"/>
  <c r="A507" i="2"/>
  <c r="C506" i="2"/>
  <c r="B506" i="2"/>
  <c r="A506" i="2"/>
  <c r="A505" i="2"/>
  <c r="A504" i="2"/>
  <c r="A503" i="2"/>
  <c r="B502" i="2"/>
  <c r="A502" i="2"/>
  <c r="C502" i="2" s="1"/>
  <c r="A501" i="2"/>
  <c r="A500" i="2"/>
  <c r="B499" i="2"/>
  <c r="A499" i="2"/>
  <c r="A498" i="2"/>
  <c r="A497" i="2"/>
  <c r="B497" i="2" s="1"/>
  <c r="C496" i="2"/>
  <c r="A496" i="2"/>
  <c r="A495" i="2"/>
  <c r="C495" i="2" s="1"/>
  <c r="A494" i="2"/>
  <c r="A493" i="2"/>
  <c r="B493" i="2" s="1"/>
  <c r="A492" i="2"/>
  <c r="A491" i="2"/>
  <c r="A490" i="2"/>
  <c r="B489" i="2"/>
  <c r="A489" i="2"/>
  <c r="C489" i="2" s="1"/>
  <c r="A488" i="2"/>
  <c r="A487" i="2"/>
  <c r="A486" i="2"/>
  <c r="A485" i="2"/>
  <c r="A484" i="2"/>
  <c r="B484" i="2" s="1"/>
  <c r="A483" i="2"/>
  <c r="C482" i="2"/>
  <c r="B482" i="2"/>
  <c r="A482" i="2"/>
  <c r="C481" i="2"/>
  <c r="A481" i="2"/>
  <c r="C480" i="2"/>
  <c r="A480" i="2"/>
  <c r="A479" i="2"/>
  <c r="A478" i="2"/>
  <c r="A477" i="2"/>
  <c r="B476" i="2"/>
  <c r="A476" i="2"/>
  <c r="C476" i="2" s="1"/>
  <c r="A475" i="2"/>
  <c r="A474" i="2"/>
  <c r="A473" i="2"/>
  <c r="B473" i="2" s="1"/>
  <c r="B472" i="2"/>
  <c r="A472" i="2"/>
  <c r="A471" i="2"/>
  <c r="C470" i="2"/>
  <c r="A470" i="2"/>
  <c r="A469" i="2"/>
  <c r="C469" i="2" s="1"/>
  <c r="C468" i="2"/>
  <c r="A468" i="2"/>
  <c r="A467" i="2"/>
  <c r="B466" i="2"/>
  <c r="A466" i="2"/>
  <c r="A465" i="2"/>
  <c r="A464" i="2"/>
  <c r="B464" i="2" s="1"/>
  <c r="C463" i="2"/>
  <c r="A463" i="2"/>
  <c r="A462" i="2"/>
  <c r="A461" i="2"/>
  <c r="C461" i="2" s="1"/>
  <c r="A460" i="2"/>
  <c r="C460" i="2" s="1"/>
  <c r="A459" i="2"/>
  <c r="A458" i="2"/>
  <c r="C457" i="2"/>
  <c r="B457" i="2"/>
  <c r="A457" i="2"/>
  <c r="A456" i="2"/>
  <c r="C456" i="2" s="1"/>
  <c r="C455" i="2"/>
  <c r="B455" i="2"/>
  <c r="A455" i="2"/>
  <c r="A454" i="2"/>
  <c r="A453" i="2"/>
  <c r="A452" i="2"/>
  <c r="A451" i="2"/>
  <c r="A450" i="2"/>
  <c r="A449" i="2"/>
  <c r="C449" i="2" s="1"/>
  <c r="B448" i="2"/>
  <c r="A448" i="2"/>
  <c r="C447" i="2"/>
  <c r="B447" i="2"/>
  <c r="A447" i="2"/>
  <c r="A446" i="2"/>
  <c r="A445" i="2"/>
  <c r="A444" i="2"/>
  <c r="B444" i="2" s="1"/>
  <c r="A443" i="2"/>
  <c r="B442" i="2"/>
  <c r="A442" i="2"/>
  <c r="A441" i="2"/>
  <c r="A440" i="2"/>
  <c r="C440" i="2" s="1"/>
  <c r="C439" i="2"/>
  <c r="A439" i="2"/>
  <c r="A438" i="2"/>
  <c r="A437" i="2"/>
  <c r="C437" i="2" s="1"/>
  <c r="A436" i="2"/>
  <c r="B436" i="2" s="1"/>
  <c r="A435" i="2"/>
  <c r="A434" i="2"/>
  <c r="B434" i="2" s="1"/>
  <c r="B433" i="2"/>
  <c r="A433" i="2"/>
  <c r="B432" i="2"/>
  <c r="A432" i="2"/>
  <c r="A431" i="2"/>
  <c r="C430" i="2"/>
  <c r="A430" i="2"/>
  <c r="A429" i="2"/>
  <c r="A428" i="2"/>
  <c r="A427" i="2"/>
  <c r="B426" i="2"/>
  <c r="A426" i="2"/>
  <c r="A425" i="2"/>
  <c r="A424" i="2"/>
  <c r="B424" i="2" s="1"/>
  <c r="C423" i="2"/>
  <c r="B423" i="2"/>
  <c r="A423" i="2"/>
  <c r="A422" i="2"/>
  <c r="C422" i="2" s="1"/>
  <c r="A421" i="2"/>
  <c r="C421" i="2" s="1"/>
  <c r="A420" i="2"/>
  <c r="C420" i="2" s="1"/>
  <c r="A419" i="2"/>
  <c r="A418" i="2"/>
  <c r="C417" i="2"/>
  <c r="A417" i="2"/>
  <c r="B417" i="2" s="1"/>
  <c r="A416" i="2"/>
  <c r="C415" i="2"/>
  <c r="B415" i="2"/>
  <c r="A415" i="2"/>
  <c r="A414" i="2"/>
  <c r="A413" i="2"/>
  <c r="C412" i="2"/>
  <c r="A412" i="2"/>
  <c r="A411" i="2"/>
  <c r="A410" i="2"/>
  <c r="C410" i="2" s="1"/>
  <c r="C409" i="2"/>
  <c r="B409" i="2"/>
  <c r="A409" i="2"/>
  <c r="B408" i="2"/>
  <c r="A408" i="2"/>
  <c r="C407" i="2"/>
  <c r="B407" i="2"/>
  <c r="A407" i="2"/>
  <c r="A406" i="2"/>
  <c r="A405" i="2"/>
  <c r="A404" i="2"/>
  <c r="A403" i="2"/>
  <c r="B402" i="2"/>
  <c r="A402" i="2"/>
  <c r="A401" i="2"/>
  <c r="A400" i="2"/>
  <c r="C400" i="2" s="1"/>
  <c r="C399" i="2"/>
  <c r="B399" i="2"/>
  <c r="A399" i="2"/>
  <c r="A398" i="2"/>
  <c r="A397" i="2"/>
  <c r="C397" i="2" s="1"/>
  <c r="A396" i="2"/>
  <c r="B396" i="2" s="1"/>
  <c r="A395" i="2"/>
  <c r="A394" i="2"/>
  <c r="B394" i="2" s="1"/>
  <c r="A393" i="2"/>
  <c r="B393" i="2" s="1"/>
  <c r="A392" i="2"/>
  <c r="A391" i="2"/>
  <c r="C390" i="2"/>
  <c r="A390" i="2"/>
  <c r="A389" i="2"/>
  <c r="A388" i="2"/>
  <c r="A387" i="2"/>
  <c r="B386" i="2"/>
  <c r="A386" i="2"/>
  <c r="C386" i="2" s="1"/>
  <c r="C385" i="2"/>
  <c r="A385" i="2"/>
  <c r="A384" i="2"/>
  <c r="B384" i="2" s="1"/>
  <c r="C383" i="2"/>
  <c r="B383" i="2"/>
  <c r="A383" i="2"/>
  <c r="A382" i="2"/>
  <c r="A381" i="2"/>
  <c r="A380" i="2"/>
  <c r="A379" i="2"/>
  <c r="A378" i="2"/>
  <c r="C377" i="2"/>
  <c r="A377" i="2"/>
  <c r="B377" i="2" s="1"/>
  <c r="A376" i="2"/>
  <c r="C376" i="2" s="1"/>
  <c r="C375" i="2"/>
  <c r="B375" i="2"/>
  <c r="A375" i="2"/>
  <c r="A374" i="2"/>
  <c r="A373" i="2"/>
  <c r="C372" i="2"/>
  <c r="A372" i="2"/>
  <c r="A371" i="2"/>
  <c r="A370" i="2"/>
  <c r="C370" i="2" s="1"/>
  <c r="C369" i="2"/>
  <c r="A369" i="2"/>
  <c r="B369" i="2" s="1"/>
  <c r="B368" i="2"/>
  <c r="A368" i="2"/>
  <c r="C367" i="2"/>
  <c r="B367" i="2"/>
  <c r="A367" i="2"/>
  <c r="A366" i="2"/>
  <c r="A365" i="2"/>
  <c r="A364" i="2"/>
  <c r="B364" i="2" s="1"/>
  <c r="A363" i="2"/>
  <c r="B362" i="2"/>
  <c r="A362" i="2"/>
  <c r="C362" i="2" s="1"/>
  <c r="C361" i="2"/>
  <c r="A361" i="2"/>
  <c r="A360" i="2"/>
  <c r="C360" i="2" s="1"/>
  <c r="C359" i="2"/>
  <c r="A359" i="2"/>
  <c r="A358" i="2"/>
  <c r="A357" i="2"/>
  <c r="B356" i="2"/>
  <c r="A356" i="2"/>
  <c r="A355" i="2"/>
  <c r="C355" i="2" s="1"/>
  <c r="B354" i="2"/>
  <c r="A354" i="2"/>
  <c r="A353" i="2"/>
  <c r="C352" i="2"/>
  <c r="B352" i="2"/>
  <c r="A352" i="2"/>
  <c r="A351" i="2"/>
  <c r="A350" i="2"/>
  <c r="C350" i="2" s="1"/>
  <c r="B349" i="2"/>
  <c r="A349" i="2"/>
  <c r="C348" i="2"/>
  <c r="A348" i="2"/>
  <c r="A347" i="2"/>
  <c r="C346" i="2"/>
  <c r="A346" i="2"/>
  <c r="C345" i="2"/>
  <c r="A345" i="2"/>
  <c r="A344" i="2"/>
  <c r="B344" i="2" s="1"/>
  <c r="A343" i="2"/>
  <c r="A342" i="2"/>
  <c r="A341" i="2"/>
  <c r="A340" i="2"/>
  <c r="A339" i="2"/>
  <c r="C339" i="2" s="1"/>
  <c r="A338" i="2"/>
  <c r="A337" i="2"/>
  <c r="C337" i="2" s="1"/>
  <c r="C336" i="2"/>
  <c r="B336" i="2"/>
  <c r="A336" i="2"/>
  <c r="A335" i="2"/>
  <c r="C335" i="2" s="1"/>
  <c r="A334" i="2"/>
  <c r="B334" i="2" s="1"/>
  <c r="A333" i="2"/>
  <c r="A332" i="2"/>
  <c r="A331" i="2"/>
  <c r="C330" i="2"/>
  <c r="B330" i="2"/>
  <c r="A330" i="2"/>
  <c r="A329" i="2"/>
  <c r="C329" i="2" s="1"/>
  <c r="C328" i="2"/>
  <c r="A328" i="2"/>
  <c r="B327" i="2"/>
  <c r="A327" i="2"/>
  <c r="C327" i="2" s="1"/>
  <c r="C326" i="2"/>
  <c r="A326" i="2"/>
  <c r="B326" i="2" s="1"/>
  <c r="A325" i="2"/>
  <c r="A324" i="2"/>
  <c r="B324" i="2" s="1"/>
  <c r="C323" i="2"/>
  <c r="B323" i="2"/>
  <c r="A323" i="2"/>
  <c r="A322" i="2"/>
  <c r="C322" i="2" s="1"/>
  <c r="A321" i="2"/>
  <c r="C321" i="2" s="1"/>
  <c r="A320" i="2"/>
  <c r="A319" i="2"/>
  <c r="A318" i="2"/>
  <c r="A317" i="2"/>
  <c r="B317" i="2" s="1"/>
  <c r="A316" i="2"/>
  <c r="C315" i="2"/>
  <c r="B315" i="2"/>
  <c r="A315" i="2"/>
  <c r="B314" i="2"/>
  <c r="A314" i="2"/>
  <c r="C313" i="2"/>
  <c r="B313" i="2"/>
  <c r="A313" i="2"/>
  <c r="A312" i="2"/>
  <c r="A311" i="2"/>
  <c r="A310" i="2"/>
  <c r="B310" i="2" s="1"/>
  <c r="A309" i="2"/>
  <c r="B308" i="2"/>
  <c r="A308" i="2"/>
  <c r="A307" i="2"/>
  <c r="A306" i="2"/>
  <c r="B306" i="2" s="1"/>
  <c r="A305" i="2"/>
  <c r="A304" i="2"/>
  <c r="B304" i="2" s="1"/>
  <c r="B303" i="2"/>
  <c r="A303" i="2"/>
  <c r="C302" i="2"/>
  <c r="A302" i="2"/>
  <c r="B302" i="2" s="1"/>
  <c r="A301" i="2"/>
  <c r="C301" i="2" s="1"/>
  <c r="C300" i="2"/>
  <c r="B300" i="2"/>
  <c r="A300" i="2"/>
  <c r="A299" i="2"/>
  <c r="C299" i="2" s="1"/>
  <c r="A298" i="2"/>
  <c r="C297" i="2"/>
  <c r="A297" i="2"/>
  <c r="A296" i="2"/>
  <c r="A295" i="2"/>
  <c r="B295" i="2" s="1"/>
  <c r="A294" i="2"/>
  <c r="B294" i="2" s="1"/>
  <c r="A293" i="2"/>
  <c r="C292" i="2"/>
  <c r="B292" i="2"/>
  <c r="A292" i="2"/>
  <c r="A291" i="2"/>
  <c r="A290" i="2"/>
  <c r="B290" i="2" s="1"/>
  <c r="A289" i="2"/>
  <c r="A288" i="2"/>
  <c r="B287" i="2"/>
  <c r="A287" i="2"/>
  <c r="A286" i="2"/>
  <c r="C286" i="2" s="1"/>
  <c r="C285" i="2"/>
  <c r="A285" i="2"/>
  <c r="A284" i="2"/>
  <c r="A283" i="2"/>
  <c r="C283" i="2" s="1"/>
  <c r="C282" i="2"/>
  <c r="A282" i="2"/>
  <c r="A281" i="2"/>
  <c r="C281" i="2" s="1"/>
  <c r="B280" i="2"/>
  <c r="A280" i="2"/>
  <c r="C279" i="2"/>
  <c r="A279" i="2"/>
  <c r="B279" i="2" s="1"/>
  <c r="A278" i="2"/>
  <c r="A277" i="2"/>
  <c r="C276" i="2"/>
  <c r="A276" i="2"/>
  <c r="C275" i="2"/>
  <c r="B275" i="2"/>
  <c r="A275" i="2"/>
  <c r="A274" i="2"/>
  <c r="A273" i="2"/>
  <c r="C273" i="2" s="1"/>
  <c r="C272" i="2"/>
  <c r="A272" i="2"/>
  <c r="A271" i="2"/>
  <c r="A270" i="2"/>
  <c r="C270" i="2" s="1"/>
  <c r="A269" i="2"/>
  <c r="C269" i="2" s="1"/>
  <c r="B268" i="2"/>
  <c r="A268" i="2"/>
  <c r="C267" i="2"/>
  <c r="A267" i="2"/>
  <c r="A266" i="2"/>
  <c r="A265" i="2"/>
  <c r="A264" i="2"/>
  <c r="B264" i="2" s="1"/>
  <c r="A263" i="2"/>
  <c r="A262" i="2"/>
  <c r="A261" i="2"/>
  <c r="C260" i="2"/>
  <c r="B260" i="2"/>
  <c r="A260" i="2"/>
  <c r="C259" i="2"/>
  <c r="A259" i="2"/>
  <c r="A258" i="2"/>
  <c r="A257" i="2"/>
  <c r="B257" i="2" s="1"/>
  <c r="B256" i="2"/>
  <c r="A256" i="2"/>
  <c r="C256" i="2" s="1"/>
  <c r="A255" i="2"/>
  <c r="A254" i="2"/>
  <c r="B254" i="2" s="1"/>
  <c r="A253" i="2"/>
  <c r="B253" i="2" s="1"/>
  <c r="C252" i="2"/>
  <c r="A252" i="2"/>
  <c r="A251" i="2"/>
  <c r="A250" i="2"/>
  <c r="B249" i="2"/>
  <c r="A249" i="2"/>
  <c r="C248" i="2"/>
  <c r="A248" i="2"/>
  <c r="A247" i="2"/>
  <c r="C246" i="2"/>
  <c r="B246" i="2"/>
  <c r="A246" i="2"/>
  <c r="C245" i="2"/>
  <c r="A245" i="2"/>
  <c r="A244" i="2"/>
  <c r="B244" i="2" s="1"/>
  <c r="A243" i="2"/>
  <c r="A242" i="2"/>
  <c r="B242" i="2" s="1"/>
  <c r="A241" i="2"/>
  <c r="C241" i="2" s="1"/>
  <c r="A240" i="2"/>
  <c r="A239" i="2"/>
  <c r="A238" i="2"/>
  <c r="A237" i="2"/>
  <c r="C237" i="2" s="1"/>
  <c r="C236" i="2"/>
  <c r="B236" i="2"/>
  <c r="A236" i="2"/>
  <c r="A235" i="2"/>
  <c r="A234" i="2"/>
  <c r="B234" i="2" s="1"/>
  <c r="B233" i="2"/>
  <c r="A233" i="2"/>
  <c r="C233" i="2" s="1"/>
  <c r="A232" i="2"/>
  <c r="A231" i="2"/>
  <c r="B230" i="2"/>
  <c r="A230" i="2"/>
  <c r="C229" i="2"/>
  <c r="B229" i="2"/>
  <c r="A229" i="2"/>
  <c r="A228" i="2"/>
  <c r="B227" i="2"/>
  <c r="A227" i="2"/>
  <c r="C227" i="2" s="1"/>
  <c r="C226" i="2"/>
  <c r="A226" i="2"/>
  <c r="B226" i="2" s="1"/>
  <c r="A225" i="2"/>
  <c r="A224" i="2"/>
  <c r="B224" i="2" s="1"/>
  <c r="A223" i="2"/>
  <c r="B223" i="2" s="1"/>
  <c r="A222" i="2"/>
  <c r="C222" i="2" s="1"/>
  <c r="A221" i="2"/>
  <c r="C221" i="2" s="1"/>
  <c r="A220" i="2"/>
  <c r="A219" i="2"/>
  <c r="B219" i="2" s="1"/>
  <c r="A218" i="2"/>
  <c r="A217" i="2"/>
  <c r="A216" i="2"/>
  <c r="C215" i="2"/>
  <c r="B215" i="2"/>
  <c r="A215" i="2"/>
  <c r="A214" i="2"/>
  <c r="B214" i="2" s="1"/>
  <c r="C213" i="2"/>
  <c r="B213" i="2"/>
  <c r="A213" i="2"/>
  <c r="A212" i="2"/>
  <c r="A211" i="2"/>
  <c r="C210" i="2"/>
  <c r="A210" i="2"/>
  <c r="A209" i="2"/>
  <c r="B208" i="2"/>
  <c r="A208" i="2"/>
  <c r="C207" i="2"/>
  <c r="A207" i="2"/>
  <c r="B207" i="2" s="1"/>
  <c r="A206" i="2"/>
  <c r="C206" i="2" s="1"/>
  <c r="A205" i="2"/>
  <c r="A204" i="2"/>
  <c r="B204" i="2" s="1"/>
  <c r="C203" i="2"/>
  <c r="B203" i="2"/>
  <c r="A203" i="2"/>
  <c r="C202" i="2"/>
  <c r="A202" i="2"/>
  <c r="B202" i="2" s="1"/>
  <c r="A201" i="2"/>
  <c r="C201" i="2" s="1"/>
  <c r="A200" i="2"/>
  <c r="B200" i="2" s="1"/>
  <c r="A199" i="2"/>
  <c r="A198" i="2"/>
  <c r="A197" i="2"/>
  <c r="B196" i="2"/>
  <c r="A196" i="2"/>
  <c r="A195" i="2"/>
  <c r="B195" i="2" s="1"/>
  <c r="A194" i="2"/>
  <c r="B194" i="2" s="1"/>
  <c r="A193" i="2"/>
  <c r="C192" i="2"/>
  <c r="B192" i="2"/>
  <c r="A192" i="2"/>
  <c r="A191" i="2"/>
  <c r="A190" i="2"/>
  <c r="B190" i="2" s="1"/>
  <c r="A189" i="2"/>
  <c r="C188" i="2"/>
  <c r="A188" i="2"/>
  <c r="B187" i="2"/>
  <c r="A187" i="2"/>
  <c r="A186" i="2"/>
  <c r="C186" i="2" s="1"/>
  <c r="C185" i="2"/>
  <c r="A185" i="2"/>
  <c r="A184" i="2"/>
  <c r="A183" i="2"/>
  <c r="B183" i="2" s="1"/>
  <c r="C182" i="2"/>
  <c r="A182" i="2"/>
  <c r="A181" i="2"/>
  <c r="C181" i="2" s="1"/>
  <c r="C180" i="2"/>
  <c r="B180" i="2"/>
  <c r="A180" i="2"/>
  <c r="C179" i="2"/>
  <c r="A179" i="2"/>
  <c r="B179" i="2" s="1"/>
  <c r="A178" i="2"/>
  <c r="A177" i="2"/>
  <c r="C177" i="2" s="1"/>
  <c r="A176" i="2"/>
  <c r="B176" i="2" s="1"/>
  <c r="C175" i="2"/>
  <c r="A175" i="2"/>
  <c r="B175" i="2" s="1"/>
  <c r="A174" i="2"/>
  <c r="A173" i="2"/>
  <c r="C173" i="2" s="1"/>
  <c r="C172" i="2"/>
  <c r="A172" i="2"/>
  <c r="A171" i="2"/>
  <c r="A170" i="2"/>
  <c r="C170" i="2" s="1"/>
  <c r="A169" i="2"/>
  <c r="B169" i="2" s="1"/>
  <c r="B168" i="2"/>
  <c r="A168" i="2"/>
  <c r="B167" i="2"/>
  <c r="A167" i="2"/>
  <c r="A166" i="2"/>
  <c r="C165" i="2"/>
  <c r="A165" i="2"/>
  <c r="A164" i="2"/>
  <c r="A163" i="2"/>
  <c r="A162" i="2"/>
  <c r="C162" i="2" s="1"/>
  <c r="C161" i="2"/>
  <c r="A161" i="2"/>
  <c r="A160" i="2"/>
  <c r="C160" i="2" s="1"/>
  <c r="C159" i="2"/>
  <c r="A159" i="2"/>
  <c r="A158" i="2"/>
  <c r="C157" i="2"/>
  <c r="B157" i="2"/>
  <c r="A157" i="2"/>
  <c r="B156" i="2"/>
  <c r="A156" i="2"/>
  <c r="C156" i="2" s="1"/>
  <c r="A155" i="2"/>
  <c r="B154" i="2"/>
  <c r="A154" i="2"/>
  <c r="A153" i="2"/>
  <c r="C152" i="2"/>
  <c r="B152" i="2"/>
  <c r="A152" i="2"/>
  <c r="A151" i="2"/>
  <c r="A150" i="2"/>
  <c r="C149" i="2"/>
  <c r="B149" i="2"/>
  <c r="A149" i="2"/>
  <c r="C148" i="2"/>
  <c r="A148" i="2"/>
  <c r="A147" i="2"/>
  <c r="C147" i="2" s="1"/>
  <c r="B146" i="2"/>
  <c r="A146" i="2"/>
  <c r="A145" i="2"/>
  <c r="B144" i="2"/>
  <c r="A144" i="2"/>
  <c r="A143" i="2"/>
  <c r="A142" i="2"/>
  <c r="B142" i="2" s="1"/>
  <c r="A141" i="2"/>
  <c r="C141" i="2" s="1"/>
  <c r="A140" i="2"/>
  <c r="C139" i="2"/>
  <c r="B139" i="2"/>
  <c r="A139" i="2"/>
  <c r="A138" i="2"/>
  <c r="A137" i="2"/>
  <c r="C137" i="2" s="1"/>
  <c r="C136" i="2"/>
  <c r="A136" i="2"/>
  <c r="A135" i="2"/>
  <c r="A134" i="2"/>
  <c r="B134" i="2" s="1"/>
  <c r="B133" i="2"/>
  <c r="A133" i="2"/>
  <c r="A132" i="2"/>
  <c r="A131" i="2"/>
  <c r="C130" i="2"/>
  <c r="B130" i="2"/>
  <c r="A130" i="2"/>
  <c r="A129" i="2"/>
  <c r="C129" i="2" s="1"/>
  <c r="C128" i="2"/>
  <c r="A128" i="2"/>
  <c r="A127" i="2"/>
  <c r="C127" i="2" s="1"/>
  <c r="C126" i="2"/>
  <c r="A126" i="2"/>
  <c r="A125" i="2"/>
  <c r="A124" i="2"/>
  <c r="B124" i="2" s="1"/>
  <c r="A123" i="2"/>
  <c r="C123" i="2" s="1"/>
  <c r="A122" i="2"/>
  <c r="A121" i="2"/>
  <c r="C121" i="2" s="1"/>
  <c r="A120" i="2"/>
  <c r="C119" i="2"/>
  <c r="A119" i="2"/>
  <c r="B119" i="2" s="1"/>
  <c r="A118" i="2"/>
  <c r="C117" i="2"/>
  <c r="A117" i="2"/>
  <c r="B117" i="2" s="1"/>
  <c r="A116" i="2"/>
  <c r="C116" i="2" s="1"/>
  <c r="C115" i="2"/>
  <c r="A115" i="2"/>
  <c r="B114" i="2"/>
  <c r="A114" i="2"/>
  <c r="C113" i="2"/>
  <c r="B113" i="2"/>
  <c r="A113" i="2"/>
  <c r="A112" i="2"/>
  <c r="A111" i="2"/>
  <c r="A110" i="2"/>
  <c r="B110" i="2" s="1"/>
  <c r="A109" i="2"/>
  <c r="C108" i="2"/>
  <c r="B108" i="2"/>
  <c r="A108" i="2"/>
  <c r="A107" i="2"/>
  <c r="B107" i="2" s="1"/>
  <c r="A106" i="2"/>
  <c r="B106" i="2" s="1"/>
  <c r="A105" i="2"/>
  <c r="A104" i="2"/>
  <c r="B104" i="2" s="1"/>
  <c r="C103" i="2"/>
  <c r="B103" i="2"/>
  <c r="A103" i="2"/>
  <c r="C102" i="2"/>
  <c r="A102" i="2"/>
  <c r="A101" i="2"/>
  <c r="A100" i="2"/>
  <c r="B100" i="2" s="1"/>
  <c r="B99" i="2"/>
  <c r="A99" i="2"/>
  <c r="C99" i="2" s="1"/>
  <c r="A98" i="2"/>
  <c r="C97" i="2"/>
  <c r="A97" i="2"/>
  <c r="A96" i="2"/>
  <c r="C96" i="2" s="1"/>
  <c r="A95" i="2"/>
  <c r="B95" i="2" s="1"/>
  <c r="A94" i="2"/>
  <c r="A93" i="2"/>
  <c r="C93" i="2" s="1"/>
  <c r="C92" i="2"/>
  <c r="B92" i="2"/>
  <c r="A92" i="2"/>
  <c r="A91" i="2"/>
  <c r="A90" i="2"/>
  <c r="C90" i="2" s="1"/>
  <c r="A89" i="2"/>
  <c r="C88" i="2"/>
  <c r="B88" i="2"/>
  <c r="A88" i="2"/>
  <c r="B87" i="2"/>
  <c r="A87" i="2"/>
  <c r="C87" i="2" s="1"/>
  <c r="A86" i="2"/>
  <c r="C85" i="2"/>
  <c r="A85" i="2"/>
  <c r="B84" i="2"/>
  <c r="A84" i="2"/>
  <c r="C83" i="2"/>
  <c r="B83" i="2"/>
  <c r="A83" i="2"/>
  <c r="C82" i="2"/>
  <c r="A82" i="2"/>
  <c r="A81" i="2"/>
  <c r="B80" i="2"/>
  <c r="A80" i="2"/>
  <c r="C79" i="2"/>
  <c r="A79" i="2"/>
  <c r="B79" i="2" s="1"/>
  <c r="A78" i="2"/>
  <c r="C77" i="2"/>
  <c r="B77" i="2"/>
  <c r="A77" i="2"/>
  <c r="A76" i="2"/>
  <c r="B76" i="2" s="1"/>
  <c r="C75" i="2"/>
  <c r="B75" i="2"/>
  <c r="A75" i="2"/>
  <c r="A74" i="2"/>
  <c r="B73" i="2"/>
  <c r="A73" i="2"/>
  <c r="C73" i="2" s="1"/>
  <c r="C72" i="2"/>
  <c r="A72" i="2"/>
  <c r="A71" i="2"/>
  <c r="A70" i="2"/>
  <c r="A69" i="2"/>
  <c r="B69" i="2" s="1"/>
  <c r="B68" i="2"/>
  <c r="A68" i="2"/>
  <c r="C67" i="2"/>
  <c r="B67" i="2"/>
  <c r="A67" i="2"/>
  <c r="A66" i="2"/>
  <c r="C65" i="2"/>
  <c r="A65" i="2"/>
  <c r="A64" i="2"/>
  <c r="B64" i="2" s="1"/>
  <c r="A63" i="2"/>
  <c r="C62" i="2"/>
  <c r="B62" i="2"/>
  <c r="A62" i="2"/>
  <c r="C61" i="2"/>
  <c r="A61" i="2"/>
  <c r="A60" i="2"/>
  <c r="C60" i="2" s="1"/>
  <c r="C59" i="2"/>
  <c r="A59" i="2"/>
  <c r="A58" i="2"/>
  <c r="A57" i="2"/>
  <c r="C57" i="2" s="1"/>
  <c r="B56" i="2"/>
  <c r="A56" i="2"/>
  <c r="C56" i="2" s="1"/>
  <c r="A55" i="2"/>
  <c r="A54" i="2"/>
  <c r="B54" i="2" s="1"/>
  <c r="A53" i="2"/>
  <c r="B53" i="2" s="1"/>
  <c r="C52" i="2"/>
  <c r="B52" i="2"/>
  <c r="A52" i="2"/>
  <c r="A51" i="2"/>
  <c r="A50" i="2"/>
  <c r="B49" i="2"/>
  <c r="A49" i="2"/>
  <c r="C48" i="2"/>
  <c r="A48" i="2"/>
  <c r="A47" i="2"/>
  <c r="C47" i="2" s="1"/>
  <c r="C46" i="2"/>
  <c r="B46" i="2"/>
  <c r="A46" i="2"/>
  <c r="C45" i="2"/>
  <c r="A45" i="2"/>
  <c r="B44" i="2"/>
  <c r="A44" i="2"/>
  <c r="A43" i="2"/>
  <c r="A42" i="2"/>
  <c r="C42" i="2" s="1"/>
  <c r="B41" i="2"/>
  <c r="A41" i="2"/>
  <c r="A40" i="2"/>
  <c r="A39" i="2"/>
  <c r="C39" i="2" s="1"/>
  <c r="A38" i="2"/>
  <c r="A37" i="2"/>
  <c r="C37" i="2" s="1"/>
  <c r="C36" i="2"/>
  <c r="A36" i="2"/>
  <c r="A35" i="2"/>
  <c r="C35" i="2" s="1"/>
  <c r="C34" i="2"/>
  <c r="A34" i="2"/>
  <c r="A33" i="2"/>
  <c r="C32" i="2"/>
  <c r="B32" i="2"/>
  <c r="A32" i="2"/>
  <c r="A31" i="2"/>
  <c r="A30" i="2"/>
  <c r="C29" i="2"/>
  <c r="B29" i="2"/>
  <c r="A29" i="2"/>
  <c r="A28" i="2"/>
  <c r="C27" i="2"/>
  <c r="B27" i="2"/>
  <c r="A27" i="2"/>
  <c r="C26" i="2"/>
  <c r="A26" i="2"/>
  <c r="B26" i="2" s="1"/>
  <c r="A25" i="2"/>
  <c r="A24" i="2"/>
  <c r="B24" i="2" s="1"/>
  <c r="A23" i="2"/>
  <c r="B23" i="2" s="1"/>
  <c r="A22" i="2"/>
  <c r="C22" i="2" s="1"/>
  <c r="A21" i="2"/>
  <c r="A20" i="2"/>
  <c r="C20" i="2" s="1"/>
  <c r="B19" i="2"/>
  <c r="A19" i="2"/>
  <c r="C19" i="2" s="1"/>
  <c r="A18" i="2"/>
  <c r="A17" i="2"/>
  <c r="C17" i="2" s="1"/>
  <c r="C16" i="2"/>
  <c r="B16" i="2"/>
  <c r="A16" i="2"/>
  <c r="A15" i="2"/>
  <c r="C15" i="2" s="1"/>
  <c r="A14" i="2"/>
  <c r="B13" i="2"/>
  <c r="A13" i="2"/>
  <c r="C13" i="2" s="1"/>
  <c r="C12" i="2"/>
  <c r="A12" i="2"/>
  <c r="A11" i="2"/>
  <c r="A10" i="2"/>
  <c r="A9" i="2"/>
  <c r="B9" i="2" s="1"/>
  <c r="B8" i="2"/>
  <c r="A8" i="2"/>
  <c r="C8" i="2" s="1"/>
  <c r="C7" i="2"/>
  <c r="B7" i="2"/>
  <c r="A7" i="2"/>
  <c r="A6" i="2"/>
  <c r="C5" i="2"/>
  <c r="A5" i="2"/>
  <c r="A4" i="2"/>
  <c r="B4" i="2" s="1"/>
  <c r="A3" i="2"/>
  <c r="C2" i="2"/>
  <c r="B2" i="2"/>
  <c r="A2" i="2"/>
  <c r="C17" i="1"/>
  <c r="C16" i="1"/>
  <c r="B713" i="2" s="1"/>
  <c r="C15" i="1"/>
  <c r="C14" i="1"/>
  <c r="C13" i="1"/>
  <c r="C716" i="2" s="1"/>
  <c r="C12" i="1"/>
  <c r="C629" i="2" l="1"/>
  <c r="C76" i="2"/>
  <c r="C257" i="2"/>
  <c r="C290" i="2"/>
  <c r="B360" i="2"/>
  <c r="B456" i="2"/>
  <c r="C107" i="2"/>
  <c r="C169" i="2"/>
  <c r="C190" i="2"/>
  <c r="C223" i="2"/>
  <c r="C235" i="2"/>
  <c r="B235" i="2"/>
  <c r="B269" i="2"/>
  <c r="C446" i="2"/>
  <c r="B446" i="2"/>
  <c r="B508" i="2"/>
  <c r="C520" i="2"/>
  <c r="C586" i="2"/>
  <c r="C616" i="2"/>
  <c r="C630" i="2"/>
  <c r="B15" i="2"/>
  <c r="B35" i="2"/>
  <c r="C106" i="2"/>
  <c r="C200" i="2"/>
  <c r="C6" i="2"/>
  <c r="B6" i="2"/>
  <c r="C66" i="2"/>
  <c r="B66" i="2"/>
  <c r="C86" i="2"/>
  <c r="B86" i="2"/>
  <c r="B96" i="2"/>
  <c r="C247" i="2"/>
  <c r="B247" i="2"/>
  <c r="B37" i="2"/>
  <c r="B57" i="2"/>
  <c r="B129" i="2"/>
  <c r="B160" i="2"/>
  <c r="B337" i="2"/>
  <c r="C483" i="2"/>
  <c r="B483" i="2"/>
  <c r="B710" i="2"/>
  <c r="B17" i="2"/>
  <c r="B47" i="2"/>
  <c r="C150" i="2"/>
  <c r="B150" i="2"/>
  <c r="C535" i="2"/>
  <c r="B535" i="2"/>
  <c r="C680" i="2"/>
  <c r="C95" i="2"/>
  <c r="B222" i="2"/>
  <c r="C690" i="2"/>
  <c r="B690" i="2"/>
  <c r="B116" i="2"/>
  <c r="C9" i="2"/>
  <c r="C69" i="2"/>
  <c r="B90" i="2"/>
  <c r="C100" i="2"/>
  <c r="C142" i="2"/>
  <c r="B162" i="2"/>
  <c r="C216" i="2"/>
  <c r="B216" i="2"/>
  <c r="C239" i="2"/>
  <c r="C261" i="2"/>
  <c r="B273" i="2"/>
  <c r="C295" i="2"/>
  <c r="C306" i="2"/>
  <c r="C317" i="2"/>
  <c r="B329" i="2"/>
  <c r="C341" i="2"/>
  <c r="B353" i="2"/>
  <c r="B376" i="2"/>
  <c r="C388" i="2"/>
  <c r="B449" i="2"/>
  <c r="C462" i="2"/>
  <c r="C499" i="2"/>
  <c r="B537" i="2"/>
  <c r="B550" i="2"/>
  <c r="B563" i="2"/>
  <c r="B577" i="2"/>
  <c r="B590" i="2"/>
  <c r="B636" i="2"/>
  <c r="B650" i="2"/>
  <c r="C682" i="2"/>
  <c r="B147" i="2"/>
  <c r="B137" i="2"/>
  <c r="C396" i="2"/>
  <c r="C28" i="2"/>
  <c r="B28" i="2"/>
  <c r="B283" i="2"/>
  <c r="C316" i="2"/>
  <c r="B316" i="2"/>
  <c r="C436" i="2"/>
  <c r="C486" i="2"/>
  <c r="B486" i="2"/>
  <c r="B549" i="2"/>
  <c r="B39" i="2"/>
  <c r="C110" i="2"/>
  <c r="B173" i="2"/>
  <c r="C183" i="2"/>
  <c r="B709" i="2"/>
  <c r="C688" i="2"/>
  <c r="B667" i="2"/>
  <c r="B656" i="2"/>
  <c r="C646" i="2"/>
  <c r="C635" i="2"/>
  <c r="B575" i="2"/>
  <c r="B566" i="2"/>
  <c r="B548" i="2"/>
  <c r="B530" i="2"/>
  <c r="B522" i="2"/>
  <c r="B487" i="2"/>
  <c r="B479" i="2"/>
  <c r="B454" i="2"/>
  <c r="B414" i="2"/>
  <c r="B374" i="2"/>
  <c r="B343" i="2"/>
  <c r="B320" i="2"/>
  <c r="C312" i="2"/>
  <c r="B289" i="2"/>
  <c r="B243" i="2"/>
  <c r="B220" i="2"/>
  <c r="C212" i="2"/>
  <c r="B189" i="2"/>
  <c r="B143" i="2"/>
  <c r="B120" i="2"/>
  <c r="C112" i="2"/>
  <c r="B89" i="2"/>
  <c r="B43" i="2"/>
  <c r="B21" i="2"/>
  <c r="B635" i="2"/>
  <c r="B593" i="2"/>
  <c r="C512" i="2"/>
  <c r="B312" i="2"/>
  <c r="B212" i="2"/>
  <c r="B112" i="2"/>
  <c r="B687" i="2"/>
  <c r="B676" i="2"/>
  <c r="C666" i="2"/>
  <c r="C655" i="2"/>
  <c r="B613" i="2"/>
  <c r="B583" i="2"/>
  <c r="C565" i="2"/>
  <c r="B547" i="2"/>
  <c r="C521" i="2"/>
  <c r="B512" i="2"/>
  <c r="B469" i="2"/>
  <c r="B453" i="2"/>
  <c r="B437" i="2"/>
  <c r="B429" i="2"/>
  <c r="B413" i="2"/>
  <c r="B397" i="2"/>
  <c r="B389" i="2"/>
  <c r="B373" i="2"/>
  <c r="B495" i="2"/>
  <c r="C696" i="2"/>
  <c r="B655" i="2"/>
  <c r="C602" i="2"/>
  <c r="C555" i="2"/>
  <c r="C445" i="2"/>
  <c r="C405" i="2"/>
  <c r="C365" i="2"/>
  <c r="C349" i="2"/>
  <c r="C303" i="2"/>
  <c r="B288" i="2"/>
  <c r="C280" i="2"/>
  <c r="C265" i="2"/>
  <c r="C249" i="2"/>
  <c r="B707" i="2"/>
  <c r="B696" i="2"/>
  <c r="C686" i="2"/>
  <c r="C675" i="2"/>
  <c r="B633" i="2"/>
  <c r="B602" i="2"/>
  <c r="C485" i="2"/>
  <c r="B468" i="2"/>
  <c r="B452" i="2"/>
  <c r="B428" i="2"/>
  <c r="B412" i="2"/>
  <c r="B388" i="2"/>
  <c r="B372" i="2"/>
  <c r="B272" i="2"/>
  <c r="B172" i="2"/>
  <c r="B72" i="2"/>
  <c r="B12" i="2"/>
  <c r="B716" i="2"/>
  <c r="C706" i="2"/>
  <c r="C695" i="2"/>
  <c r="C663" i="2"/>
  <c r="B653" i="2"/>
  <c r="B622" i="2"/>
  <c r="C610" i="2"/>
  <c r="C601" i="2"/>
  <c r="C642" i="2"/>
  <c r="C581" i="2"/>
  <c r="C545" i="2"/>
  <c r="C492" i="2"/>
  <c r="C467" i="2"/>
  <c r="C459" i="2"/>
  <c r="C443" i="2"/>
  <c r="C435" i="2"/>
  <c r="C427" i="2"/>
  <c r="C419" i="2"/>
  <c r="C403" i="2"/>
  <c r="C395" i="2"/>
  <c r="C387" i="2"/>
  <c r="C379" i="2"/>
  <c r="C363" i="2"/>
  <c r="B348" i="2"/>
  <c r="C340" i="2"/>
  <c r="C325" i="2"/>
  <c r="C309" i="2"/>
  <c r="C263" i="2"/>
  <c r="B248" i="2"/>
  <c r="C240" i="2"/>
  <c r="C225" i="2"/>
  <c r="C209" i="2"/>
  <c r="C163" i="2"/>
  <c r="B148" i="2"/>
  <c r="C140" i="2"/>
  <c r="C125" i="2"/>
  <c r="C109" i="2"/>
  <c r="C63" i="2"/>
  <c r="B48" i="2"/>
  <c r="C33" i="2"/>
  <c r="C3" i="2"/>
  <c r="B642" i="2"/>
  <c r="C600" i="2"/>
  <c r="B527" i="2"/>
  <c r="C501" i="2"/>
  <c r="B492" i="2"/>
  <c r="B467" i="2"/>
  <c r="B459" i="2"/>
  <c r="B443" i="2"/>
  <c r="B435" i="2"/>
  <c r="B427" i="2"/>
  <c r="B419" i="2"/>
  <c r="B403" i="2"/>
  <c r="B395" i="2"/>
  <c r="B387" i="2"/>
  <c r="B379" i="2"/>
  <c r="B363" i="2"/>
  <c r="B340" i="2"/>
  <c r="C332" i="2"/>
  <c r="B309" i="2"/>
  <c r="B263" i="2"/>
  <c r="B240" i="2"/>
  <c r="C232" i="2"/>
  <c r="B209" i="2"/>
  <c r="B163" i="2"/>
  <c r="B140" i="2"/>
  <c r="C132" i="2"/>
  <c r="B109" i="2"/>
  <c r="B63" i="2"/>
  <c r="B33" i="2"/>
  <c r="B3" i="2"/>
  <c r="C552" i="2"/>
  <c r="B332" i="2"/>
  <c r="B232" i="2"/>
  <c r="B132" i="2"/>
  <c r="C25" i="2"/>
  <c r="B693" i="2"/>
  <c r="B552" i="2"/>
  <c r="C308" i="2"/>
  <c r="C208" i="2"/>
  <c r="C628" i="2"/>
  <c r="B607" i="2"/>
  <c r="B587" i="2"/>
  <c r="C568" i="2"/>
  <c r="B507" i="2"/>
  <c r="C472" i="2"/>
  <c r="C448" i="2"/>
  <c r="C432" i="2"/>
  <c r="C408" i="2"/>
  <c r="C392" i="2"/>
  <c r="C368" i="2"/>
  <c r="C268" i="2"/>
  <c r="C168" i="2"/>
  <c r="C68" i="2"/>
  <c r="C10" i="2"/>
  <c r="B10" i="2"/>
  <c r="B20" i="2"/>
  <c r="C30" i="2"/>
  <c r="C40" i="2"/>
  <c r="B40" i="2"/>
  <c r="C49" i="2"/>
  <c r="B60" i="2"/>
  <c r="C70" i="2"/>
  <c r="B70" i="2"/>
  <c r="C80" i="2"/>
  <c r="C101" i="2"/>
  <c r="C122" i="2"/>
  <c r="B153" i="2"/>
  <c r="B184" i="2"/>
  <c r="C195" i="2"/>
  <c r="B206" i="2"/>
  <c r="B217" i="2"/>
  <c r="C228" i="2"/>
  <c r="B239" i="2"/>
  <c r="C262" i="2"/>
  <c r="B284" i="2"/>
  <c r="C296" i="2"/>
  <c r="B307" i="2"/>
  <c r="C342" i="2"/>
  <c r="B342" i="2"/>
  <c r="C353" i="2"/>
  <c r="C366" i="2"/>
  <c r="C389" i="2"/>
  <c r="C401" i="2"/>
  <c r="C425" i="2"/>
  <c r="B488" i="2"/>
  <c r="C500" i="2"/>
  <c r="C525" i="2"/>
  <c r="C550" i="2"/>
  <c r="C606" i="2"/>
  <c r="C636" i="2"/>
  <c r="C668" i="2"/>
  <c r="C250" i="2"/>
  <c r="B250" i="2"/>
  <c r="C576" i="2"/>
  <c r="B30" i="2"/>
  <c r="C41" i="2"/>
  <c r="C50" i="2"/>
  <c r="B50" i="2"/>
  <c r="C81" i="2"/>
  <c r="B102" i="2"/>
  <c r="B122" i="2"/>
  <c r="C133" i="2"/>
  <c r="C153" i="2"/>
  <c r="B164" i="2"/>
  <c r="C196" i="2"/>
  <c r="C217" i="2"/>
  <c r="B252" i="2"/>
  <c r="B262" i="2"/>
  <c r="B296" i="2"/>
  <c r="C307" i="2"/>
  <c r="C319" i="2"/>
  <c r="B319" i="2"/>
  <c r="C402" i="2"/>
  <c r="C426" i="2"/>
  <c r="B439" i="2"/>
  <c r="C450" i="2"/>
  <c r="B463" i="2"/>
  <c r="C475" i="2"/>
  <c r="C488" i="2"/>
  <c r="C526" i="2"/>
  <c r="C539" i="2"/>
  <c r="C623" i="2"/>
  <c r="B637" i="2"/>
  <c r="C669" i="2"/>
  <c r="B702" i="2"/>
  <c r="B123" i="2"/>
  <c r="B717" i="2"/>
  <c r="B22" i="2"/>
  <c r="B42" i="2"/>
  <c r="C145" i="2"/>
  <c r="C155" i="2"/>
  <c r="B155" i="2"/>
  <c r="C166" i="2"/>
  <c r="B166" i="2"/>
  <c r="C176" i="2"/>
  <c r="C187" i="2"/>
  <c r="C197" i="2"/>
  <c r="C219" i="2"/>
  <c r="C242" i="2"/>
  <c r="C253" i="2"/>
  <c r="B276" i="2"/>
  <c r="C287" i="2"/>
  <c r="C356" i="2"/>
  <c r="B404" i="2"/>
  <c r="C416" i="2"/>
  <c r="C452" i="2"/>
  <c r="B477" i="2"/>
  <c r="C503" i="2"/>
  <c r="B503" i="2"/>
  <c r="B567" i="2"/>
  <c r="C609" i="2"/>
  <c r="B609" i="2"/>
  <c r="B670" i="2"/>
  <c r="C703" i="2"/>
  <c r="C55" i="2"/>
  <c r="B55" i="2"/>
  <c r="C135" i="2"/>
  <c r="B135" i="2"/>
  <c r="C266" i="2"/>
  <c r="B266" i="2"/>
  <c r="C380" i="2"/>
  <c r="B392" i="2"/>
  <c r="B416" i="2"/>
  <c r="C428" i="2"/>
  <c r="B490" i="2"/>
  <c r="B516" i="2"/>
  <c r="B528" i="2"/>
  <c r="C541" i="2"/>
  <c r="B595" i="2"/>
  <c r="B610" i="2"/>
  <c r="C626" i="2"/>
  <c r="C640" i="2"/>
  <c r="C670" i="2"/>
  <c r="B703" i="2"/>
  <c r="B93" i="2"/>
  <c r="B177" i="2"/>
  <c r="C199" i="2"/>
  <c r="C230" i="2"/>
  <c r="C277" i="2"/>
  <c r="B299" i="2"/>
  <c r="C310" i="2"/>
  <c r="B322" i="2"/>
  <c r="C333" i="2"/>
  <c r="C357" i="2"/>
  <c r="B357" i="2"/>
  <c r="C381" i="2"/>
  <c r="C406" i="2"/>
  <c r="C429" i="2"/>
  <c r="C441" i="2"/>
  <c r="C465" i="2"/>
  <c r="C490" i="2"/>
  <c r="C516" i="2"/>
  <c r="C529" i="2"/>
  <c r="B529" i="2"/>
  <c r="B542" i="2"/>
  <c r="B555" i="2"/>
  <c r="B568" i="2"/>
  <c r="C595" i="2"/>
  <c r="C347" i="2"/>
  <c r="B347" i="2"/>
  <c r="B543" i="2"/>
  <c r="B127" i="2"/>
  <c r="C293" i="2"/>
  <c r="B293" i="2"/>
  <c r="C193" i="2"/>
  <c r="B193" i="2"/>
  <c r="B237" i="2"/>
  <c r="B339" i="2"/>
  <c r="C14" i="2"/>
  <c r="C23" i="2"/>
  <c r="B34" i="2"/>
  <c r="C53" i="2"/>
  <c r="B94" i="2"/>
  <c r="B115" i="2"/>
  <c r="B126" i="2"/>
  <c r="B136" i="2"/>
  <c r="C146" i="2"/>
  <c r="C167" i="2"/>
  <c r="B188" i="2"/>
  <c r="B199" i="2"/>
  <c r="B210" i="2"/>
  <c r="C255" i="2"/>
  <c r="B267" i="2"/>
  <c r="B277" i="2"/>
  <c r="C288" i="2"/>
  <c r="B333" i="2"/>
  <c r="B346" i="2"/>
  <c r="C382" i="2"/>
  <c r="C442" i="2"/>
  <c r="C466" i="2"/>
  <c r="B517" i="2"/>
  <c r="C542" i="2"/>
  <c r="C556" i="2"/>
  <c r="C583" i="2"/>
  <c r="C596" i="2"/>
  <c r="B627" i="2"/>
  <c r="B689" i="2"/>
  <c r="B170" i="2"/>
  <c r="B186" i="2"/>
  <c r="B255" i="2"/>
  <c r="B270" i="2"/>
  <c r="B286" i="2"/>
  <c r="B355" i="2"/>
  <c r="B370" i="2"/>
  <c r="B410" i="2"/>
  <c r="B450" i="2"/>
  <c r="B475" i="2"/>
  <c r="B509" i="2"/>
  <c r="B562" i="2"/>
  <c r="B570" i="2"/>
  <c r="B589" i="2"/>
  <c r="B630" i="2"/>
  <c r="C662" i="2"/>
  <c r="B683" i="2"/>
  <c r="B715" i="2"/>
  <c r="B673" i="2"/>
  <c r="C683" i="2"/>
  <c r="C715" i="2"/>
  <c r="B695" i="2"/>
  <c r="C510" i="2"/>
  <c r="C528" i="2"/>
  <c r="B546" i="2"/>
  <c r="C563" i="2"/>
  <c r="B572" i="2"/>
  <c r="B582" i="2"/>
  <c r="C590" i="2"/>
  <c r="C622" i="2"/>
  <c r="B643" i="2"/>
  <c r="B675" i="2"/>
  <c r="B623" i="2"/>
  <c r="B335" i="2"/>
  <c r="B350" i="2"/>
  <c r="B366" i="2"/>
  <c r="B382" i="2"/>
  <c r="B406" i="2"/>
  <c r="B422" i="2"/>
  <c r="B462" i="2"/>
  <c r="B539" i="2"/>
  <c r="B556" i="2"/>
  <c r="B603" i="2"/>
  <c r="C721" i="2"/>
  <c r="B708" i="2"/>
  <c r="C701" i="2"/>
  <c r="B688" i="2"/>
  <c r="C681" i="2"/>
  <c r="B668" i="2"/>
  <c r="C661" i="2"/>
  <c r="B648" i="2"/>
  <c r="C641" i="2"/>
  <c r="B628" i="2"/>
  <c r="C621" i="2"/>
  <c r="B608" i="2"/>
  <c r="B721" i="2"/>
  <c r="C714" i="2"/>
  <c r="B701" i="2"/>
  <c r="C694" i="2"/>
  <c r="B681" i="2"/>
  <c r="C674" i="2"/>
  <c r="B661" i="2"/>
  <c r="C654" i="2"/>
  <c r="B641" i="2"/>
  <c r="C634" i="2"/>
  <c r="B621" i="2"/>
  <c r="C614" i="2"/>
  <c r="B601" i="2"/>
  <c r="C594" i="2"/>
  <c r="B581" i="2"/>
  <c r="C574" i="2"/>
  <c r="B561" i="2"/>
  <c r="C554" i="2"/>
  <c r="B541" i="2"/>
  <c r="C534" i="2"/>
  <c r="B521" i="2"/>
  <c r="C514" i="2"/>
  <c r="B501" i="2"/>
  <c r="C494" i="2"/>
  <c r="B481" i="2"/>
  <c r="C474" i="2"/>
  <c r="B461" i="2"/>
  <c r="C454" i="2"/>
  <c r="B441" i="2"/>
  <c r="C434" i="2"/>
  <c r="B421" i="2"/>
  <c r="C414" i="2"/>
  <c r="B401" i="2"/>
  <c r="C394" i="2"/>
  <c r="B381" i="2"/>
  <c r="C374" i="2"/>
  <c r="B361" i="2"/>
  <c r="C354" i="2"/>
  <c r="B341" i="2"/>
  <c r="C334" i="2"/>
  <c r="B321" i="2"/>
  <c r="C314" i="2"/>
  <c r="B301" i="2"/>
  <c r="C294" i="2"/>
  <c r="B281" i="2"/>
  <c r="C274" i="2"/>
  <c r="B261" i="2"/>
  <c r="C254" i="2"/>
  <c r="B241" i="2"/>
  <c r="C234" i="2"/>
  <c r="B221" i="2"/>
  <c r="C214" i="2"/>
  <c r="B201" i="2"/>
  <c r="C194" i="2"/>
  <c r="B181" i="2"/>
  <c r="C174" i="2"/>
  <c r="B161" i="2"/>
  <c r="C154" i="2"/>
  <c r="B141" i="2"/>
  <c r="C134" i="2"/>
  <c r="B121" i="2"/>
  <c r="C114" i="2"/>
  <c r="B101" i="2"/>
  <c r="C94" i="2"/>
  <c r="B81" i="2"/>
  <c r="C74" i="2"/>
  <c r="B61" i="2"/>
  <c r="C54" i="2"/>
  <c r="B714" i="2"/>
  <c r="C707" i="2"/>
  <c r="B694" i="2"/>
  <c r="C687" i="2"/>
  <c r="B674" i="2"/>
  <c r="C667" i="2"/>
  <c r="B654" i="2"/>
  <c r="C647" i="2"/>
  <c r="B634" i="2"/>
  <c r="C627" i="2"/>
  <c r="B614" i="2"/>
  <c r="C607" i="2"/>
  <c r="B594" i="2"/>
  <c r="C587" i="2"/>
  <c r="B574" i="2"/>
  <c r="C567" i="2"/>
  <c r="B554" i="2"/>
  <c r="C547" i="2"/>
  <c r="B534" i="2"/>
  <c r="C527" i="2"/>
  <c r="B514" i="2"/>
  <c r="C507" i="2"/>
  <c r="B494" i="2"/>
  <c r="C487" i="2"/>
  <c r="B474" i="2"/>
  <c r="C720" i="2"/>
  <c r="B720" i="2"/>
  <c r="C713" i="2"/>
  <c r="B700" i="2"/>
  <c r="C693" i="2"/>
  <c r="B680" i="2"/>
  <c r="C673" i="2"/>
  <c r="B660" i="2"/>
  <c r="C653" i="2"/>
  <c r="B640" i="2"/>
  <c r="C633" i="2"/>
  <c r="B620" i="2"/>
  <c r="C613" i="2"/>
  <c r="B600" i="2"/>
  <c r="C593" i="2"/>
  <c r="B580" i="2"/>
  <c r="C573" i="2"/>
  <c r="B560" i="2"/>
  <c r="C553" i="2"/>
  <c r="B540" i="2"/>
  <c r="C533" i="2"/>
  <c r="B520" i="2"/>
  <c r="C513" i="2"/>
  <c r="B500" i="2"/>
  <c r="C493" i="2"/>
  <c r="B480" i="2"/>
  <c r="C473" i="2"/>
  <c r="B460" i="2"/>
  <c r="C453" i="2"/>
  <c r="B440" i="2"/>
  <c r="C433" i="2"/>
  <c r="B420" i="2"/>
  <c r="C413" i="2"/>
  <c r="B400" i="2"/>
  <c r="C393" i="2"/>
  <c r="B380" i="2"/>
  <c r="C373" i="2"/>
  <c r="C719" i="2"/>
  <c r="B706" i="2"/>
  <c r="C699" i="2"/>
  <c r="B686" i="2"/>
  <c r="C679" i="2"/>
  <c r="B666" i="2"/>
  <c r="C659" i="2"/>
  <c r="B646" i="2"/>
  <c r="C639" i="2"/>
  <c r="B626" i="2"/>
  <c r="C619" i="2"/>
  <c r="B606" i="2"/>
  <c r="C599" i="2"/>
  <c r="B719" i="2"/>
  <c r="C712" i="2"/>
  <c r="B699" i="2"/>
  <c r="C692" i="2"/>
  <c r="B679" i="2"/>
  <c r="C672" i="2"/>
  <c r="B659" i="2"/>
  <c r="C652" i="2"/>
  <c r="B639" i="2"/>
  <c r="C632" i="2"/>
  <c r="B619" i="2"/>
  <c r="C612" i="2"/>
  <c r="B599" i="2"/>
  <c r="C592" i="2"/>
  <c r="B579" i="2"/>
  <c r="C572" i="2"/>
  <c r="B559" i="2"/>
  <c r="B712" i="2"/>
  <c r="C705" i="2"/>
  <c r="B692" i="2"/>
  <c r="C685" i="2"/>
  <c r="B672" i="2"/>
  <c r="C665" i="2"/>
  <c r="B652" i="2"/>
  <c r="C645" i="2"/>
  <c r="B632" i="2"/>
  <c r="C625" i="2"/>
  <c r="B612" i="2"/>
  <c r="C605" i="2"/>
  <c r="B592" i="2"/>
  <c r="C585" i="2"/>
  <c r="C718" i="2"/>
  <c r="B705" i="2"/>
  <c r="C698" i="2"/>
  <c r="B685" i="2"/>
  <c r="C678" i="2"/>
  <c r="B665" i="2"/>
  <c r="C658" i="2"/>
  <c r="B645" i="2"/>
  <c r="C638" i="2"/>
  <c r="B625" i="2"/>
  <c r="C618" i="2"/>
  <c r="B605" i="2"/>
  <c r="C598" i="2"/>
  <c r="B585" i="2"/>
  <c r="C578" i="2"/>
  <c r="B565" i="2"/>
  <c r="C558" i="2"/>
  <c r="B545" i="2"/>
  <c r="C538" i="2"/>
  <c r="B525" i="2"/>
  <c r="C518" i="2"/>
  <c r="B505" i="2"/>
  <c r="C498" i="2"/>
  <c r="B485" i="2"/>
  <c r="C478" i="2"/>
  <c r="B465" i="2"/>
  <c r="C458" i="2"/>
  <c r="B445" i="2"/>
  <c r="C438" i="2"/>
  <c r="B425" i="2"/>
  <c r="C418" i="2"/>
  <c r="B405" i="2"/>
  <c r="C398" i="2"/>
  <c r="B385" i="2"/>
  <c r="C378" i="2"/>
  <c r="B365" i="2"/>
  <c r="C358" i="2"/>
  <c r="B345" i="2"/>
  <c r="C338" i="2"/>
  <c r="B325" i="2"/>
  <c r="C318" i="2"/>
  <c r="B305" i="2"/>
  <c r="C298" i="2"/>
  <c r="B285" i="2"/>
  <c r="C278" i="2"/>
  <c r="B265" i="2"/>
  <c r="C258" i="2"/>
  <c r="B245" i="2"/>
  <c r="C238" i="2"/>
  <c r="B225" i="2"/>
  <c r="C218" i="2"/>
  <c r="B205" i="2"/>
  <c r="C198" i="2"/>
  <c r="B185" i="2"/>
  <c r="C178" i="2"/>
  <c r="B165" i="2"/>
  <c r="C158" i="2"/>
  <c r="B145" i="2"/>
  <c r="C138" i="2"/>
  <c r="B125" i="2"/>
  <c r="C118" i="2"/>
  <c r="B105" i="2"/>
  <c r="C98" i="2"/>
  <c r="B85" i="2"/>
  <c r="C78" i="2"/>
  <c r="B65" i="2"/>
  <c r="C58" i="2"/>
  <c r="B45" i="2"/>
  <c r="C38" i="2"/>
  <c r="B25" i="2"/>
  <c r="C18" i="2"/>
  <c r="B5" i="2"/>
  <c r="B718" i="2"/>
  <c r="C711" i="2"/>
  <c r="B698" i="2"/>
  <c r="C691" i="2"/>
  <c r="B678" i="2"/>
  <c r="C671" i="2"/>
  <c r="B658" i="2"/>
  <c r="C651" i="2"/>
  <c r="B638" i="2"/>
  <c r="C631" i="2"/>
  <c r="B618" i="2"/>
  <c r="C611" i="2"/>
  <c r="B598" i="2"/>
  <c r="C591" i="2"/>
  <c r="B578" i="2"/>
  <c r="C571" i="2"/>
  <c r="B558" i="2"/>
  <c r="C551" i="2"/>
  <c r="B538" i="2"/>
  <c r="C531" i="2"/>
  <c r="B518" i="2"/>
  <c r="C511" i="2"/>
  <c r="B498" i="2"/>
  <c r="C491" i="2"/>
  <c r="B478" i="2"/>
  <c r="C471" i="2"/>
  <c r="B458" i="2"/>
  <c r="C451" i="2"/>
  <c r="B438" i="2"/>
  <c r="C431" i="2"/>
  <c r="B418" i="2"/>
  <c r="C411" i="2"/>
  <c r="B398" i="2"/>
  <c r="C391" i="2"/>
  <c r="B378" i="2"/>
  <c r="C371" i="2"/>
  <c r="B358" i="2"/>
  <c r="C351" i="2"/>
  <c r="B338" i="2"/>
  <c r="C331" i="2"/>
  <c r="B318" i="2"/>
  <c r="C311" i="2"/>
  <c r="B298" i="2"/>
  <c r="C291" i="2"/>
  <c r="B278" i="2"/>
  <c r="C271" i="2"/>
  <c r="B258" i="2"/>
  <c r="C251" i="2"/>
  <c r="B238" i="2"/>
  <c r="C231" i="2"/>
  <c r="B218" i="2"/>
  <c r="C211" i="2"/>
  <c r="B198" i="2"/>
  <c r="C191" i="2"/>
  <c r="B178" i="2"/>
  <c r="C171" i="2"/>
  <c r="B158" i="2"/>
  <c r="C151" i="2"/>
  <c r="B138" i="2"/>
  <c r="C131" i="2"/>
  <c r="B118" i="2"/>
  <c r="C111" i="2"/>
  <c r="B98" i="2"/>
  <c r="C91" i="2"/>
  <c r="B78" i="2"/>
  <c r="C71" i="2"/>
  <c r="B58" i="2"/>
  <c r="C51" i="2"/>
  <c r="B38" i="2"/>
  <c r="C31" i="2"/>
  <c r="B18" i="2"/>
  <c r="C11" i="2"/>
  <c r="C717" i="2"/>
  <c r="B664" i="2"/>
  <c r="C657" i="2"/>
  <c r="B644" i="2"/>
  <c r="C637" i="2"/>
  <c r="B624" i="2"/>
  <c r="C617" i="2"/>
  <c r="B604" i="2"/>
  <c r="C517" i="2"/>
  <c r="B504" i="2"/>
  <c r="C477" i="2"/>
  <c r="B711" i="2"/>
  <c r="C704" i="2"/>
  <c r="B691" i="2"/>
  <c r="C684" i="2"/>
  <c r="B671" i="2"/>
  <c r="C664" i="2"/>
  <c r="B651" i="2"/>
  <c r="C644" i="2"/>
  <c r="B631" i="2"/>
  <c r="C624" i="2"/>
  <c r="B611" i="2"/>
  <c r="C604" i="2"/>
  <c r="B591" i="2"/>
  <c r="C584" i="2"/>
  <c r="B571" i="2"/>
  <c r="C564" i="2"/>
  <c r="B551" i="2"/>
  <c r="C544" i="2"/>
  <c r="B531" i="2"/>
  <c r="C524" i="2"/>
  <c r="B511" i="2"/>
  <c r="C504" i="2"/>
  <c r="B491" i="2"/>
  <c r="C484" i="2"/>
  <c r="B471" i="2"/>
  <c r="C464" i="2"/>
  <c r="B451" i="2"/>
  <c r="C444" i="2"/>
  <c r="B431" i="2"/>
  <c r="C424" i="2"/>
  <c r="B411" i="2"/>
  <c r="C404" i="2"/>
  <c r="B391" i="2"/>
  <c r="C384" i="2"/>
  <c r="B371" i="2"/>
  <c r="C364" i="2"/>
  <c r="B351" i="2"/>
  <c r="C344" i="2"/>
  <c r="B331" i="2"/>
  <c r="C324" i="2"/>
  <c r="B311" i="2"/>
  <c r="C304" i="2"/>
  <c r="B291" i="2"/>
  <c r="C284" i="2"/>
  <c r="B271" i="2"/>
  <c r="C264" i="2"/>
  <c r="B251" i="2"/>
  <c r="C244" i="2"/>
  <c r="B231" i="2"/>
  <c r="C224" i="2"/>
  <c r="B211" i="2"/>
  <c r="C204" i="2"/>
  <c r="B191" i="2"/>
  <c r="C184" i="2"/>
  <c r="B171" i="2"/>
  <c r="C164" i="2"/>
  <c r="B151" i="2"/>
  <c r="C144" i="2"/>
  <c r="B131" i="2"/>
  <c r="C124" i="2"/>
  <c r="B111" i="2"/>
  <c r="C104" i="2"/>
  <c r="B91" i="2"/>
  <c r="C84" i="2"/>
  <c r="B71" i="2"/>
  <c r="C64" i="2"/>
  <c r="B51" i="2"/>
  <c r="C44" i="2"/>
  <c r="B31" i="2"/>
  <c r="C24" i="2"/>
  <c r="B11" i="2"/>
  <c r="C4" i="2"/>
  <c r="B704" i="2"/>
  <c r="C697" i="2"/>
  <c r="B684" i="2"/>
  <c r="C677" i="2"/>
  <c r="C597" i="2"/>
  <c r="B584" i="2"/>
  <c r="C577" i="2"/>
  <c r="B564" i="2"/>
  <c r="C557" i="2"/>
  <c r="B544" i="2"/>
  <c r="C537" i="2"/>
  <c r="B524" i="2"/>
  <c r="C497" i="2"/>
  <c r="B14" i="2"/>
  <c r="C21" i="2"/>
  <c r="B36" i="2"/>
  <c r="C43" i="2"/>
  <c r="B59" i="2"/>
  <c r="B74" i="2"/>
  <c r="B82" i="2"/>
  <c r="C89" i="2"/>
  <c r="B97" i="2"/>
  <c r="C105" i="2"/>
  <c r="C120" i="2"/>
  <c r="B128" i="2"/>
  <c r="C143" i="2"/>
  <c r="B159" i="2"/>
  <c r="B174" i="2"/>
  <c r="B182" i="2"/>
  <c r="C189" i="2"/>
  <c r="B197" i="2"/>
  <c r="C205" i="2"/>
  <c r="C220" i="2"/>
  <c r="B228" i="2"/>
  <c r="C243" i="2"/>
  <c r="B259" i="2"/>
  <c r="B274" i="2"/>
  <c r="B282" i="2"/>
  <c r="C289" i="2"/>
  <c r="B297" i="2"/>
  <c r="C305" i="2"/>
  <c r="C320" i="2"/>
  <c r="B328" i="2"/>
  <c r="C343" i="2"/>
  <c r="B359" i="2"/>
  <c r="B390" i="2"/>
  <c r="B430" i="2"/>
  <c r="B470" i="2"/>
  <c r="C479" i="2"/>
  <c r="B496" i="2"/>
  <c r="C505" i="2"/>
  <c r="B513" i="2"/>
  <c r="C522" i="2"/>
  <c r="C530" i="2"/>
  <c r="C548" i="2"/>
  <c r="C566" i="2"/>
  <c r="C575" i="2"/>
  <c r="B615" i="2"/>
  <c r="C656" i="2"/>
  <c r="B677" i="2"/>
  <c r="C709" i="2"/>
</calcChain>
</file>

<file path=xl/sharedStrings.xml><?xml version="1.0" encoding="utf-8"?>
<sst xmlns="http://schemas.openxmlformats.org/spreadsheetml/2006/main" count="47" uniqueCount="40">
  <si>
    <t>Cycloidal Drive – SolidWorks Equation Generator (Epitrochoid + Roller Offset)</t>
  </si>
  <si>
    <t>Inputs</t>
  </si>
  <si>
    <t>Number of ring rollers (pins)</t>
  </si>
  <si>
    <t>N_pins</t>
  </si>
  <si>
    <t>count</t>
  </si>
  <si>
    <t>Ring pitch circle diameter</t>
  </si>
  <si>
    <t>PCD</t>
  </si>
  <si>
    <t>mm</t>
  </si>
  <si>
    <t>Roller (pin) diameter</t>
  </si>
  <si>
    <t>d_roller</t>
  </si>
  <si>
    <t>Eccentricity</t>
  </si>
  <si>
    <t>E</t>
  </si>
  <si>
    <t>Disc phase offset</t>
  </si>
  <si>
    <t>phi</t>
  </si>
  <si>
    <t>deg (0 for disc1, 180 for disc2)</t>
  </si>
  <si>
    <t>Sample points per revolution</t>
  </si>
  <si>
    <t>n_pts</t>
  </si>
  <si>
    <t>Derived</t>
  </si>
  <si>
    <t>Tooth (lobe) count</t>
  </si>
  <si>
    <t>n</t>
  </si>
  <si>
    <t>Ring radius</t>
  </si>
  <si>
    <t>R</t>
  </si>
  <si>
    <t>Pitch parameter (R/N_pins)</t>
  </si>
  <si>
    <t>p</t>
  </si>
  <si>
    <t>Nominal reduction ratio</t>
  </si>
  <si>
    <t>ratio</t>
  </si>
  <si>
    <t>N/(N-1)</t>
  </si>
  <si>
    <t>Roller radius</t>
  </si>
  <si>
    <t>r_roller</t>
  </si>
  <si>
    <t>Phi (rad)</t>
  </si>
  <si>
    <t>phi_rad</t>
  </si>
  <si>
    <t>rad</t>
  </si>
  <si>
    <t>SolidWorks Equation Driven Curve (t in radians, 0→2π)</t>
  </si>
  <si>
    <t>x(t) =</t>
  </si>
  <si>
    <t>y(t) =</t>
  </si>
  <si>
    <t>Copy/paste into SolidWorks:</t>
  </si>
  <si>
    <t>Insert → Curve → Equation Driven Curve → Parametric; set t range 0 to 2*pi; set z(t)=0; paste x(t), y(t).</t>
  </si>
  <si>
    <t>t (rad)</t>
  </si>
  <si>
    <t>x (mm)</t>
  </si>
  <si>
    <t>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</si>
</sst>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3" topLeftCell="A4" activePane="bottomLeft" state="frozen"/>
      <selection pane="bottomLeft" activeCell="I19" sqref="I19"/>
    </sheetView>
  </sheetViews>
  <sheetFormatPr defaultRowHeight="14.4" x14ac:dyDescent="0.3"/>
  <cols>
    <col min="1" max="1" width="34" customWidth="1"/>
    <col min="2" max="2" width="14" customWidth="1"/>
    <col min="3" max="3" width="18" customWidth="1"/>
    <col min="4" max="4" width="22" customWidth="1"/>
    <col min="5" max="5" width="18" customWidth="1"/>
    <col min="6" max="6" width="47.33203125" customWidth="1"/>
  </cols>
  <sheetData>
    <row r="1" spans="1:6" ht="18" x14ac:dyDescent="0.35">
      <c r="A1" s="10" t="s">
        <v>0</v>
      </c>
      <c r="B1" s="8"/>
      <c r="C1" s="8"/>
      <c r="D1" s="8"/>
      <c r="E1" s="8"/>
      <c r="F1" s="8"/>
    </row>
    <row r="3" spans="1:6" x14ac:dyDescent="0.3">
      <c r="A3" s="9" t="s">
        <v>1</v>
      </c>
      <c r="B3" s="8"/>
      <c r="C3" s="8"/>
      <c r="D3" s="8"/>
      <c r="E3" s="8"/>
      <c r="F3" s="8"/>
    </row>
    <row r="4" spans="1:6" x14ac:dyDescent="0.3">
      <c r="A4" s="1" t="s">
        <v>2</v>
      </c>
      <c r="B4" s="2" t="s">
        <v>3</v>
      </c>
      <c r="C4" s="3">
        <v>10</v>
      </c>
      <c r="D4" s="2" t="s">
        <v>4</v>
      </c>
    </row>
    <row r="5" spans="1:6" x14ac:dyDescent="0.3">
      <c r="A5" s="1" t="s">
        <v>5</v>
      </c>
      <c r="B5" s="2" t="s">
        <v>6</v>
      </c>
      <c r="C5" s="3">
        <v>30</v>
      </c>
      <c r="D5" s="2" t="s">
        <v>7</v>
      </c>
    </row>
    <row r="6" spans="1:6" x14ac:dyDescent="0.3">
      <c r="A6" s="1" t="s">
        <v>8</v>
      </c>
      <c r="B6" s="2" t="s">
        <v>9</v>
      </c>
      <c r="C6" s="3">
        <v>3</v>
      </c>
      <c r="D6" s="2" t="s">
        <v>7</v>
      </c>
    </row>
    <row r="7" spans="1:6" x14ac:dyDescent="0.3">
      <c r="A7" s="1" t="s">
        <v>10</v>
      </c>
      <c r="B7" s="2" t="s">
        <v>11</v>
      </c>
      <c r="C7" s="3">
        <v>0.75</v>
      </c>
      <c r="D7" s="2" t="s">
        <v>7</v>
      </c>
    </row>
    <row r="8" spans="1:6" x14ac:dyDescent="0.3">
      <c r="A8" s="1" t="s">
        <v>12</v>
      </c>
      <c r="B8" s="2" t="s">
        <v>13</v>
      </c>
      <c r="C8" s="3">
        <v>0</v>
      </c>
      <c r="D8" s="2" t="s">
        <v>14</v>
      </c>
    </row>
    <row r="9" spans="1:6" x14ac:dyDescent="0.3">
      <c r="A9" s="1" t="s">
        <v>15</v>
      </c>
      <c r="B9" s="2" t="s">
        <v>16</v>
      </c>
      <c r="C9" s="3">
        <v>361</v>
      </c>
      <c r="D9" s="2" t="s">
        <v>4</v>
      </c>
    </row>
    <row r="11" spans="1:6" x14ac:dyDescent="0.3">
      <c r="A11" s="9" t="s">
        <v>17</v>
      </c>
      <c r="B11" s="8"/>
      <c r="C11" s="8"/>
      <c r="D11" s="8"/>
      <c r="E11" s="8"/>
      <c r="F11" s="8"/>
    </row>
    <row r="12" spans="1:6" x14ac:dyDescent="0.3">
      <c r="A12" s="1" t="s">
        <v>18</v>
      </c>
      <c r="B12" s="2" t="s">
        <v>19</v>
      </c>
      <c r="C12" s="3">
        <f>C4-1</f>
        <v>9</v>
      </c>
      <c r="D12" s="2" t="s">
        <v>4</v>
      </c>
    </row>
    <row r="13" spans="1:6" x14ac:dyDescent="0.3">
      <c r="A13" s="1" t="s">
        <v>20</v>
      </c>
      <c r="B13" s="2" t="s">
        <v>21</v>
      </c>
      <c r="C13" s="3">
        <f>C5/2</f>
        <v>15</v>
      </c>
      <c r="D13" s="2" t="s">
        <v>7</v>
      </c>
    </row>
    <row r="14" spans="1:6" x14ac:dyDescent="0.3">
      <c r="A14" s="1" t="s">
        <v>22</v>
      </c>
      <c r="B14" s="2" t="s">
        <v>23</v>
      </c>
      <c r="C14" s="3">
        <f>(C5/2)/C4</f>
        <v>1.5</v>
      </c>
      <c r="D14" s="2" t="s">
        <v>7</v>
      </c>
    </row>
    <row r="15" spans="1:6" x14ac:dyDescent="0.3">
      <c r="A15" s="1" t="s">
        <v>24</v>
      </c>
      <c r="B15" s="2" t="s">
        <v>25</v>
      </c>
      <c r="C15" s="3">
        <f>C4/(C4-1)</f>
        <v>1.1111111111111112</v>
      </c>
      <c r="D15" s="2" t="s">
        <v>26</v>
      </c>
    </row>
    <row r="16" spans="1:6" x14ac:dyDescent="0.3">
      <c r="A16" s="1" t="s">
        <v>27</v>
      </c>
      <c r="B16" s="2" t="s">
        <v>28</v>
      </c>
      <c r="C16" s="3">
        <f>C6/2</f>
        <v>1.5</v>
      </c>
      <c r="D16" s="2" t="s">
        <v>7</v>
      </c>
    </row>
    <row r="17" spans="1:6" x14ac:dyDescent="0.3">
      <c r="A17" s="1" t="s">
        <v>29</v>
      </c>
      <c r="B17" s="2" t="s">
        <v>30</v>
      </c>
      <c r="C17" s="3">
        <f>RADIANS(C8)</f>
        <v>0</v>
      </c>
      <c r="D17" s="2" t="s">
        <v>31</v>
      </c>
    </row>
    <row r="20" spans="1:6" x14ac:dyDescent="0.3">
      <c r="A20" s="9" t="s">
        <v>32</v>
      </c>
      <c r="B20" s="8"/>
      <c r="C20" s="8"/>
      <c r="D20" s="8"/>
      <c r="E20" s="8"/>
      <c r="F20" s="8"/>
    </row>
    <row r="21" spans="1:6" x14ac:dyDescent="0.3">
      <c r="A21" s="4" t="s">
        <v>33</v>
      </c>
      <c r="B21" s="7" t="str">
        <f>_xlfn.CONCAT("(",C11,"*",C13,")*cos(t+",C16,") + ",C7,"*cos((",C11,"+1)*(t+",C16,")) - (",C6,"/2)*cos(atan( sin(",C11,"*(t+",C16,")) / ( cos(",C11,"*(t+",C16,")) + (",C11,"*",C13,")/(",C7,"*(",C11,"+1)) ) ) + (t+",C16,"))")</f>
        <v>(*15)*cos(t+1.5) + 0.75*cos((+1)*(t+1.5)) - (3/2)*cos(atan( sin(*(t+1.5)) / ( cos(*(t+1.5)) + (*15)/(0.75*(+1)) ) ) + (t+1.5))</v>
      </c>
      <c r="C21" s="8"/>
      <c r="D21" s="8"/>
      <c r="E21" s="8"/>
      <c r="F21" s="8"/>
    </row>
    <row r="23" spans="1:6" x14ac:dyDescent="0.3">
      <c r="A23" s="4" t="s">
        <v>34</v>
      </c>
      <c r="B23" s="7" t="str">
        <f>_xlfn.CONCAT("(",C11,"*",C13,")*sin(t+",C16,") + ",C7,"*sin((",C11,"+1)*(t+",C16,")) - (",C6,"/2)*sin(atan( sin(",C11,"*(t+",C16,")) / ( cos(",C11,"*(t+",C16,")) + (",C11,"*",C13,")/(",C7,"*(",C11,"+1)) ) ) + (t+",C16,"))")</f>
        <v>(*15)*sin(t+1.5) + 0.75*sin((+1)*(t+1.5)) - (3/2)*sin(atan( sin(*(t+1.5)) / ( cos(*(t+1.5)) + (*15)/(0.75*(+1)) ) ) + (t+1.5))</v>
      </c>
      <c r="C23" s="8"/>
      <c r="D23" s="8"/>
      <c r="E23" s="8"/>
      <c r="F23" s="8"/>
    </row>
    <row r="25" spans="1:6" x14ac:dyDescent="0.3">
      <c r="A25" s="4" t="s">
        <v>35</v>
      </c>
      <c r="B25" s="11" t="s">
        <v>36</v>
      </c>
      <c r="C25" s="8"/>
      <c r="D25" s="8"/>
      <c r="E25" s="8"/>
      <c r="F25" s="8"/>
    </row>
  </sheetData>
  <mergeCells count="7">
    <mergeCell ref="B21:F21"/>
    <mergeCell ref="A11:F11"/>
    <mergeCell ref="A1:F1"/>
    <mergeCell ref="B25:F25"/>
    <mergeCell ref="B23:F23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8" customWidth="1"/>
    <col min="5" max="5" width="14" customWidth="1"/>
    <col min="6" max="6" width="18" customWidth="1"/>
  </cols>
  <sheetData>
    <row r="1" spans="1:3" x14ac:dyDescent="0.3">
      <c r="A1" s="5" t="s">
        <v>37</v>
      </c>
      <c r="B1" s="5" t="s">
        <v>38</v>
      </c>
      <c r="C1" s="5" t="s">
        <v>39</v>
      </c>
    </row>
    <row r="2" spans="1:3" x14ac:dyDescent="0.3">
      <c r="A2" s="6">
        <f>2*PI()*0/(DesignSheet!C9-1)</f>
        <v>0</v>
      </c>
      <c r="B2" s="6">
        <f>(DesignSheet!C11*DesignSheet!C13)*COS((A2+DesignSheet!C16)) + (DesignSheet!C7)*COS((DesignSheet!C11+1)*(A2+DesignSheet!C16)) - (DesignSheet!C6/2)*COS(ATAN( SIN(DesignSheet!C11*(A2+DesignSheet!C16)) / ( COS(DesignSheet!C11*(A2+DesignSheet!C16)) + (DesignSheet!C11*DesignSheet!C13)/(DesignSheet!C7*(DesignSheet!C11+1)) ) )+(A2+DesignSheet!C16))</f>
        <v>-5.3052901250777176E-2</v>
      </c>
      <c r="C2" s="6">
        <f>(DesignSheet!C11*DesignSheet!C13)*SIN((A2+DesignSheet!C16)) + (DesignSheet!C7)*SIN((DesignSheet!C11+1)*(A2+DesignSheet!C16)) - (DesignSheet!C6/2)*SIN(ATAN( SIN(DesignSheet!C11*(A2+DesignSheet!C16)) / ( COS(DesignSheet!C11*(A2+DesignSheet!C16)) + (DesignSheet!C11*DesignSheet!C13)/(DesignSheet!C7*(DesignSheet!C11+1)) ) )+(A2+DesignSheet!C16))</f>
        <v>-0.74812123995304081</v>
      </c>
    </row>
    <row r="3" spans="1:3" x14ac:dyDescent="0.3">
      <c r="A3" s="6">
        <f>2*PI()*1/(DesignSheet!C9-1)</f>
        <v>1.7453292519943295E-2</v>
      </c>
      <c r="B3" s="6">
        <f>(DesignSheet!C11*DesignSheet!C13)*COS((A3+DesignSheet!C16)) + (DesignSheet!C7)*COS((DesignSheet!C11+1)*(A3+DesignSheet!C16)) - (DesignSheet!C6/2)*COS(ATAN( SIN(DesignSheet!C11*(A3+DesignSheet!C16)) / ( COS(DesignSheet!C11*(A3+DesignSheet!C16)) + (DesignSheet!C11*DesignSheet!C13)/(DesignSheet!C7*(DesignSheet!C11+1)) ) )+(A3+DesignSheet!C16))</f>
        <v>-3.9988305092924198E-2</v>
      </c>
      <c r="C3" s="6">
        <f>(DesignSheet!C11*DesignSheet!C13)*SIN((A3+DesignSheet!C16)) + (DesignSheet!C7)*SIN((DesignSheet!C11+1)*(A3+DesignSheet!C16)) - (DesignSheet!C6/2)*SIN(ATAN( SIN(DesignSheet!C11*(A3+DesignSheet!C16)) / ( COS(DesignSheet!C11*(A3+DesignSheet!C16)) + (DesignSheet!C11*DesignSheet!C13)/(DesignSheet!C7*(DesignSheet!C11+1)) ) )+(A3+DesignSheet!C16))</f>
        <v>-0.74893319825989502</v>
      </c>
    </row>
    <row r="4" spans="1:3" x14ac:dyDescent="0.3">
      <c r="A4" s="6">
        <f>2*PI()*2/(DesignSheet!C9-1)</f>
        <v>3.4906585039886591E-2</v>
      </c>
      <c r="B4" s="6">
        <f>(DesignSheet!C11*DesignSheet!C13)*COS((A4+DesignSheet!C16)) + (DesignSheet!C7)*COS((DesignSheet!C11+1)*(A4+DesignSheet!C16)) - (DesignSheet!C6/2)*COS(ATAN( SIN(DesignSheet!C11*(A4+DesignSheet!C16)) / ( COS(DesignSheet!C11*(A4+DesignSheet!C16)) + (DesignSheet!C11*DesignSheet!C13)/(DesignSheet!C7*(DesignSheet!C11+1)) ) )+(A4+DesignSheet!C16))</f>
        <v>-2.6911528109964507E-2</v>
      </c>
      <c r="C4" s="6">
        <f>(DesignSheet!C11*DesignSheet!C13)*SIN((A4+DesignSheet!C16)) + (DesignSheet!C7)*SIN((DesignSheet!C11+1)*(A4+DesignSheet!C16)) - (DesignSheet!C6/2)*SIN(ATAN( SIN(DesignSheet!C11*(A4+DesignSheet!C16)) / ( COS(DesignSheet!C11*(A4+DesignSheet!C16)) + (DesignSheet!C11*DesignSheet!C13)/(DesignSheet!C7*(DesignSheet!C11+1)) ) )+(A4+DesignSheet!C16))</f>
        <v>-0.74951702425948041</v>
      </c>
    </row>
    <row r="5" spans="1:3" x14ac:dyDescent="0.3">
      <c r="A5" s="6">
        <f>2*PI()*3/(DesignSheet!C9-1)</f>
        <v>5.2359877559829883E-2</v>
      </c>
      <c r="B5" s="6">
        <f>(DesignSheet!C11*DesignSheet!C13)*COS((A5+DesignSheet!C16)) + (DesignSheet!C7)*COS((DesignSheet!C11+1)*(A5+DesignSheet!C16)) - (DesignSheet!C6/2)*COS(ATAN( SIN(DesignSheet!C11*(A5+DesignSheet!C16)) / ( COS(DesignSheet!C11*(A5+DesignSheet!C16)) + (DesignSheet!C11*DesignSheet!C13)/(DesignSheet!C7*(DesignSheet!C11+1)) ) )+(A5+DesignSheet!C16))</f>
        <v>-1.3826553614844687E-2</v>
      </c>
      <c r="C5" s="6">
        <f>(DesignSheet!C11*DesignSheet!C13)*SIN((A5+DesignSheet!C16)) + (DesignSheet!C7)*SIN((DesignSheet!C11+1)*(A5+DesignSheet!C16)) - (DesignSheet!C6/2)*SIN(ATAN( SIN(DesignSheet!C11*(A5+DesignSheet!C16)) / ( COS(DesignSheet!C11*(A5+DesignSheet!C16)) + (DesignSheet!C11*DesignSheet!C13)/(DesignSheet!C7*(DesignSheet!C11+1)) ) )+(A5+DesignSheet!C16))</f>
        <v>-0.74987254011274196</v>
      </c>
    </row>
    <row r="6" spans="1:3" x14ac:dyDescent="0.3">
      <c r="A6" s="6">
        <f>2*PI()*4/(DesignSheet!C9-1)</f>
        <v>6.9813170079773182E-2</v>
      </c>
      <c r="B6" s="6">
        <f>(DesignSheet!C11*DesignSheet!C13)*COS((A6+DesignSheet!C16)) + (DesignSheet!C7)*COS((DesignSheet!C11+1)*(A6+DesignSheet!C16)) - (DesignSheet!C6/2)*COS(ATAN( SIN(DesignSheet!C11*(A6+DesignSheet!C16)) / ( COS(DesignSheet!C11*(A6+DesignSheet!C16)) + (DesignSheet!C11*DesignSheet!C13)/(DesignSheet!C7*(DesignSheet!C11+1)) ) )+(A6+DesignSheet!C16))</f>
        <v>-7.3736741755295397E-4</v>
      </c>
      <c r="C6" s="6">
        <f>(DesignSheet!C11*DesignSheet!C13)*SIN((A6+DesignSheet!C16)) + (DesignSheet!C7)*SIN((DesignSheet!C11+1)*(A6+DesignSheet!C16)) - (DesignSheet!C6/2)*SIN(ATAN( SIN(DesignSheet!C11*(A6+DesignSheet!C16)) / ( COS(DesignSheet!C11*(A6+DesignSheet!C16)) + (DesignSheet!C11*DesignSheet!C13)/(DesignSheet!C7*(DesignSheet!C11+1)) ) )+(A6+DesignSheet!C16))</f>
        <v>-0.74999963752610677</v>
      </c>
    </row>
    <row r="7" spans="1:3" x14ac:dyDescent="0.3">
      <c r="A7" s="6">
        <f>2*PI()*5/(DesignSheet!C9-1)</f>
        <v>8.7266462599716474E-2</v>
      </c>
      <c r="B7" s="6">
        <f>(DesignSheet!C11*DesignSheet!C13)*COS((A7+DesignSheet!C16)) + (DesignSheet!C7)*COS((DesignSheet!C11+1)*(A7+DesignSheet!C16)) - (DesignSheet!C6/2)*COS(ATAN( SIN(DesignSheet!C11*(A7+DesignSheet!C16)) / ( COS(DesignSheet!C11*(A7+DesignSheet!C16)) + (DesignSheet!C11*DesignSheet!C13)/(DesignSheet!C7*(DesignSheet!C11+1)) ) )+(A7+DesignSheet!C16))</f>
        <v>1.2352043388997038E-2</v>
      </c>
      <c r="C7" s="6">
        <f>(DesignSheet!C11*DesignSheet!C13)*SIN((A7+DesignSheet!C16)) + (DesignSheet!C7)*SIN((DesignSheet!C11+1)*(A7+DesignSheet!C16)) - (DesignSheet!C6/2)*SIN(ATAN( SIN(DesignSheet!C11*(A7+DesignSheet!C16)) / ( COS(DesignSheet!C11*(A7+DesignSheet!C16)) + (DesignSheet!C11*DesignSheet!C13)/(DesignSheet!C7*(DesignSheet!C11+1)) ) )+(A7+DesignSheet!C16))</f>
        <v>-0.74989827778447149</v>
      </c>
    </row>
    <row r="8" spans="1:3" x14ac:dyDescent="0.3">
      <c r="A8" s="6">
        <f>2*PI()*6/(DesignSheet!C9-1)</f>
        <v>0.10471975511965977</v>
      </c>
      <c r="B8" s="6">
        <f>(DesignSheet!C11*DesignSheet!C13)*COS((A8+DesignSheet!C16)) + (DesignSheet!C7)*COS((DesignSheet!C11+1)*(A8+DesignSheet!C16)) - (DesignSheet!C6/2)*COS(ATAN( SIN(DesignSheet!C11*(A8+DesignSheet!C16)) / ( COS(DesignSheet!C11*(A8+DesignSheet!C16)) + (DesignSheet!C11*DesignSheet!C13)/(DesignSheet!C7*(DesignSheet!C11+1)) ) )+(A8+DesignSheet!C16))</f>
        <v>2.5437691643473974E-2</v>
      </c>
      <c r="C8" s="6">
        <f>(DesignSheet!C11*DesignSheet!C13)*SIN((A8+DesignSheet!C16)) + (DesignSheet!C7)*SIN((DesignSheet!C11+1)*(A8+DesignSheet!C16)) - (DesignSheet!C6/2)*SIN(ATAN( SIN(DesignSheet!C11*(A8+DesignSheet!C16)) / ( COS(DesignSheet!C11*(A8+DesignSheet!C16)) + (DesignSheet!C11*DesignSheet!C13)/(DesignSheet!C7*(DesignSheet!C11+1)) ) )+(A8+DesignSheet!C16))</f>
        <v>-0.74956849176299534</v>
      </c>
    </row>
    <row r="9" spans="1:3" x14ac:dyDescent="0.3">
      <c r="A9" s="6">
        <f>2*PI()*7/(DesignSheet!C9-1)</f>
        <v>0.12217304763960307</v>
      </c>
      <c r="B9" s="6">
        <f>(DesignSheet!C11*DesignSheet!C13)*COS((A9+DesignSheet!C16)) + (DesignSheet!C7)*COS((DesignSheet!C11+1)*(A9+DesignSheet!C16)) - (DesignSheet!C6/2)*COS(ATAN( SIN(DesignSheet!C11*(A9+DesignSheet!C16)) / ( COS(DesignSheet!C11*(A9+DesignSheet!C16)) + (DesignSheet!C11*DesignSheet!C13)/(DesignSheet!C7*(DesignSheet!C11+1)) ) )+(A9+DesignSheet!C16))</f>
        <v>3.8515591330655859E-2</v>
      </c>
      <c r="C9" s="6">
        <f>(DesignSheet!C11*DesignSheet!C13)*SIN((A9+DesignSheet!C16)) + (DesignSheet!C7)*SIN((DesignSheet!C11+1)*(A9+DesignSheet!C16)) - (DesignSheet!C6/2)*SIN(ATAN( SIN(DesignSheet!C11*(A9+DesignSheet!C16)) / ( COS(DesignSheet!C11*(A9+DesignSheet!C16)) + (DesignSheet!C11*DesignSheet!C13)/(DesignSheet!C7*(DesignSheet!C11+1)) ) )+(A9+DesignSheet!C16))</f>
        <v>-0.74901037991769503</v>
      </c>
    </row>
    <row r="10" spans="1:3" x14ac:dyDescent="0.3">
      <c r="A10" s="6">
        <f>2*PI()*8/(DesignSheet!C9-1)</f>
        <v>0.13962634015954636</v>
      </c>
      <c r="B10" s="6">
        <f>(DesignSheet!C11*DesignSheet!C13)*COS((A10+DesignSheet!C16)) + (DesignSheet!C7)*COS((DesignSheet!C11+1)*(A10+DesignSheet!C16)) - (DesignSheet!C6/2)*COS(ATAN( SIN(DesignSheet!C11*(A10+DesignSheet!C16)) / ( COS(DesignSheet!C11*(A10+DesignSheet!C16)) + (DesignSheet!C11*DesignSheet!C13)/(DesignSheet!C7*(DesignSheet!C11+1)) ) )+(A10+DesignSheet!C16))</f>
        <v>5.1581758795609514E-2</v>
      </c>
      <c r="C10" s="6">
        <f>(DesignSheet!C11*DesignSheet!C13)*SIN((A10+DesignSheet!C16)) + (DesignSheet!C7)*SIN((DesignSheet!C11+1)*(A10+DesignSheet!C16)) - (DesignSheet!C6/2)*SIN(ATAN( SIN(DesignSheet!C11*(A10+DesignSheet!C16)) / ( COS(DesignSheet!C11*(A10+DesignSheet!C16)) + (DesignSheet!C11*DesignSheet!C13)/(DesignSheet!C7*(DesignSheet!C11+1)) ) )+(A10+DesignSheet!C16))</f>
        <v>-0.74822411225484542</v>
      </c>
    </row>
    <row r="11" spans="1:3" x14ac:dyDescent="0.3">
      <c r="A11" s="6">
        <f>2*PI()*9/(DesignSheet!C9-1)</f>
        <v>0.15707963267948966</v>
      </c>
      <c r="B11" s="6">
        <f>(DesignSheet!C11*DesignSheet!C13)*COS((A11+DesignSheet!C16)) + (DesignSheet!C7)*COS((DesignSheet!C11+1)*(A11+DesignSheet!C16)) - (DesignSheet!C6/2)*COS(ATAN( SIN(DesignSheet!C11*(A11+DesignSheet!C16)) / ( COS(DesignSheet!C11*(A11+DesignSheet!C16)) + (DesignSheet!C11*DesignSheet!C13)/(DesignSheet!C7*(DesignSheet!C11+1)) ) )+(A11+DesignSheet!C16))</f>
        <v>6.4632213957150311E-2</v>
      </c>
      <c r="C11" s="6">
        <f>(DesignSheet!C11*DesignSheet!C13)*SIN((A11+DesignSheet!C16)) + (DesignSheet!C7)*SIN((DesignSheet!C11+1)*(A11+DesignSheet!C16)) - (DesignSheet!C6/2)*SIN(ATAN( SIN(DesignSheet!C11*(A11+DesignSheet!C16)) / ( COS(DesignSheet!C11*(A11+DesignSheet!C16)) + (DesignSheet!C11*DesignSheet!C13)/(DesignSheet!C7*(DesignSheet!C11+1)) ) )+(A11+DesignSheet!C16))</f>
        <v>-0.7472099282791933</v>
      </c>
    </row>
    <row r="12" spans="1:3" x14ac:dyDescent="0.3">
      <c r="A12" s="6">
        <f>2*PI()*10/(DesignSheet!C9-1)</f>
        <v>0.17453292519943295</v>
      </c>
      <c r="B12" s="6">
        <f>(DesignSheet!C11*DesignSheet!C13)*COS((A12+DesignSheet!C16)) + (DesignSheet!C7)*COS((DesignSheet!C11+1)*(A12+DesignSheet!C16)) - (DesignSheet!C6/2)*COS(ATAN( SIN(DesignSheet!C11*(A12+DesignSheet!C16)) / ( COS(DesignSheet!C11*(A12+DesignSheet!C16)) + (DesignSheet!C11*DesignSheet!C13)/(DesignSheet!C7*(DesignSheet!C11+1)) ) )+(A12+DesignSheet!C16))</f>
        <v>7.7662981520213434E-2</v>
      </c>
      <c r="C12" s="6">
        <f>(DesignSheet!C11*DesignSheet!C13)*SIN((A12+DesignSheet!C16)) + (DesignSheet!C7)*SIN((DesignSheet!C11+1)*(A12+DesignSheet!C16)) - (DesignSheet!C6/2)*SIN(ATAN( SIN(DesignSheet!C11*(A12+DesignSheet!C16)) / ( COS(DesignSheet!C11*(A12+DesignSheet!C16)) + (DesignSheet!C11*DesignSheet!C13)/(DesignSheet!C7*(DesignSheet!C11+1)) ) )+(A12+DesignSheet!C16))</f>
        <v>-0.74596813692100217</v>
      </c>
    </row>
    <row r="13" spans="1:3" x14ac:dyDescent="0.3">
      <c r="A13" s="6">
        <f>2*PI()*11/(DesignSheet!C9-1)</f>
        <v>0.19198621771937624</v>
      </c>
      <c r="B13" s="6">
        <f>(DesignSheet!C11*DesignSheet!C13)*COS((A13+DesignSheet!C16)) + (DesignSheet!C7)*COS((DesignSheet!C11+1)*(A13+DesignSheet!C16)) - (DesignSheet!C6/2)*COS(ATAN( SIN(DesignSheet!C11*(A13+DesignSheet!C16)) / ( COS(DesignSheet!C11*(A13+DesignSheet!C16)) + (DesignSheet!C11*DesignSheet!C13)/(DesignSheet!C7*(DesignSheet!C11+1)) ) )+(A13+DesignSheet!C16))</f>
        <v>9.0670092186767318E-2</v>
      </c>
      <c r="C13" s="6">
        <f>(DesignSheet!C11*DesignSheet!C13)*SIN((A13+DesignSheet!C16)) + (DesignSheet!C7)*SIN((DesignSheet!C11+1)*(A13+DesignSheet!C16)) - (DesignSheet!C6/2)*SIN(ATAN( SIN(DesignSheet!C11*(A13+DesignSheet!C16)) / ( COS(DesignSheet!C11*(A13+DesignSheet!C16)) + (DesignSheet!C11*DesignSheet!C13)/(DesignSheet!C7*(DesignSheet!C11+1)) ) )+(A13+DesignSheet!C16))</f>
        <v>-0.74449911644194922</v>
      </c>
    </row>
    <row r="14" spans="1:3" x14ac:dyDescent="0.3">
      <c r="A14" s="6">
        <f>2*PI()*12/(DesignSheet!C9-1)</f>
        <v>0.20943951023931953</v>
      </c>
      <c r="B14" s="6">
        <f>(DesignSheet!C11*DesignSheet!C13)*COS((A14+DesignSheet!C16)) + (DesignSheet!C7)*COS((DesignSheet!C11+1)*(A14+DesignSheet!C16)) - (DesignSheet!C6/2)*COS(ATAN( SIN(DesignSheet!C11*(A14+DesignSheet!C16)) / ( COS(DesignSheet!C11*(A14+DesignSheet!C16)) + (DesignSheet!C11*DesignSheet!C13)/(DesignSheet!C7*(DesignSheet!C11+1)) ) )+(A14+DesignSheet!C16))</f>
        <v>0.1036495838649002</v>
      </c>
      <c r="C14" s="6">
        <f>(DesignSheet!C11*DesignSheet!C13)*SIN((A14+DesignSheet!C16)) + (DesignSheet!C7)*SIN((DesignSheet!C11+1)*(A14+DesignSheet!C16)) - (DesignSheet!C6/2)*SIN(ATAN( SIN(DesignSheet!C11*(A14+DesignSheet!C16)) / ( COS(DesignSheet!C11*(A14+DesignSheet!C16)) + (DesignSheet!C11*DesignSheet!C13)/(DesignSheet!C7*(DesignSheet!C11+1)) ) )+(A14+DesignSheet!C16))</f>
        <v>-0.74280331431990321</v>
      </c>
    </row>
    <row r="15" spans="1:3" x14ac:dyDescent="0.3">
      <c r="A15" s="6">
        <f>2*PI()*13/(DesignSheet!C9-1)</f>
        <v>0.22689280275926285</v>
      </c>
      <c r="B15" s="6">
        <f>(DesignSheet!C11*DesignSheet!C13)*COS((A15+DesignSheet!C16)) + (DesignSheet!C7)*COS((DesignSheet!C11+1)*(A15+DesignSheet!C16)) - (DesignSheet!C6/2)*COS(ATAN( SIN(DesignSheet!C11*(A15+DesignSheet!C16)) / ( COS(DesignSheet!C11*(A15+DesignSheet!C16)) + (DesignSheet!C11*DesignSheet!C13)/(DesignSheet!C7*(DesignSheet!C11+1)) ) )+(A15+DesignSheet!C16))</f>
        <v>0.11659750287571176</v>
      </c>
      <c r="C15" s="6">
        <f>(DesignSheet!C11*DesignSheet!C13)*SIN((A15+DesignSheet!C16)) + (DesignSheet!C7)*SIN((DesignSheet!C11+1)*(A15+DesignSheet!C16)) - (DesignSheet!C6/2)*SIN(ATAN( SIN(DesignSheet!C11*(A15+DesignSheet!C16)) / ( COS(DesignSheet!C11*(A15+DesignSheet!C16)) + (DesignSheet!C11*DesignSheet!C13)/(DesignSheet!C7*(DesignSheet!C11+1)) ) )+(A15+DesignSheet!C16))</f>
        <v>-0.74088124711261816</v>
      </c>
    </row>
    <row r="16" spans="1:3" x14ac:dyDescent="0.3">
      <c r="A16" s="6">
        <f>2*PI()*14/(DesignSheet!C9-1)</f>
        <v>0.24434609527920614</v>
      </c>
      <c r="B16" s="6">
        <f>(DesignSheet!C11*DesignSheet!C13)*COS((A16+DesignSheet!C16)) + (DesignSheet!C7)*COS((DesignSheet!C11+1)*(A16+DesignSheet!C16)) - (DesignSheet!C6/2)*COS(ATAN( SIN(DesignSheet!C11*(A16+DesignSheet!C16)) / ( COS(DesignSheet!C11*(A16+DesignSheet!C16)) + (DesignSheet!C11*DesignSheet!C13)/(DesignSheet!C7*(DesignSheet!C11+1)) ) )+(A16+DesignSheet!C16))</f>
        <v>0.12950990515764188</v>
      </c>
      <c r="C16" s="6">
        <f>(DesignSheet!C11*DesignSheet!C13)*SIN((A16+DesignSheet!C16)) + (DesignSheet!C7)*SIN((DesignSheet!C11+1)*(A16+DesignSheet!C16)) - (DesignSheet!C6/2)*SIN(ATAN( SIN(DesignSheet!C11*(A16+DesignSheet!C16)) / ( COS(DesignSheet!C11*(A16+DesignSheet!C16)) + (DesignSheet!C11*DesignSheet!C13)/(DesignSheet!C7*(DesignSheet!C11+1)) ) )+(A16+DesignSheet!C16))</f>
        <v>-0.73873350030038476</v>
      </c>
    </row>
    <row r="17" spans="1:3" x14ac:dyDescent="0.3">
      <c r="A17" s="6">
        <f>2*PI()*15/(DesignSheet!C9-1)</f>
        <v>0.26179938779914941</v>
      </c>
      <c r="B17" s="6">
        <f>(DesignSheet!C11*DesignSheet!C13)*COS((A17+DesignSheet!C16)) + (DesignSheet!C7)*COS((DesignSheet!C11+1)*(A17+DesignSheet!C16)) - (DesignSheet!C6/2)*COS(ATAN( SIN(DesignSheet!C11*(A17+DesignSheet!C16)) / ( COS(DesignSheet!C11*(A17+DesignSheet!C16)) + (DesignSheet!C11*DesignSheet!C13)/(DesignSheet!C7*(DesignSheet!C11+1)) ) )+(A17+DesignSheet!C16))</f>
        <v>0.14238285746787047</v>
      </c>
      <c r="C17" s="6">
        <f>(DesignSheet!C11*DesignSheet!C13)*SIN((A17+DesignSheet!C16)) + (DesignSheet!C7)*SIN((DesignSheet!C11+1)*(A17+DesignSheet!C16)) - (DesignSheet!C6/2)*SIN(ATAN( SIN(DesignSheet!C11*(A17+DesignSheet!C16)) / ( COS(DesignSheet!C11*(A17+DesignSheet!C16)) + (DesignSheet!C11*DesignSheet!C13)/(DesignSheet!C7*(DesignSheet!C11+1)) ) )+(A17+DesignSheet!C16))</f>
        <v>-0.73636072810768782</v>
      </c>
    </row>
    <row r="18" spans="1:3" x14ac:dyDescent="0.3">
      <c r="A18" s="6">
        <f>2*PI()*16/(DesignSheet!C9-1)</f>
        <v>0.27925268031909273</v>
      </c>
      <c r="B18" s="6">
        <f>(DesignSheet!C11*DesignSheet!C13)*COS((A18+DesignSheet!C16)) + (DesignSheet!C7)*COS((DesignSheet!C11+1)*(A18+DesignSheet!C16)) - (DesignSheet!C6/2)*COS(ATAN( SIN(DesignSheet!C11*(A18+DesignSheet!C16)) / ( COS(DesignSheet!C11*(A18+DesignSheet!C16)) + (DesignSheet!C11*DesignSheet!C13)/(DesignSheet!C7*(DesignSheet!C11+1)) ) )+(A18+DesignSheet!C16))</f>
        <v>0.15521243858042066</v>
      </c>
      <c r="C18" s="6">
        <f>(DesignSheet!C11*DesignSheet!C13)*SIN((A18+DesignSheet!C16)) + (DesignSheet!C7)*SIN((DesignSheet!C11+1)*(A18+DesignSheet!C16)) - (DesignSheet!C6/2)*SIN(ATAN( SIN(DesignSheet!C11*(A18+DesignSheet!C16)) / ( COS(DesignSheet!C11*(A18+DesignSheet!C16)) + (DesignSheet!C11*DesignSheet!C13)/(DesignSheet!C7*(DesignSheet!C11+1)) ) )+(A18+DesignSheet!C16))</f>
        <v>-0.73376365330392268</v>
      </c>
    </row>
    <row r="19" spans="1:3" x14ac:dyDescent="0.3">
      <c r="A19" s="6">
        <f>2*PI()*17/(DesignSheet!C9-1)</f>
        <v>0.29670597283903605</v>
      </c>
      <c r="B19" s="6">
        <f>(DesignSheet!C11*DesignSheet!C13)*COS((A19+DesignSheet!C16)) + (DesignSheet!C7)*COS((DesignSheet!C11+1)*(A19+DesignSheet!C16)) - (DesignSheet!C6/2)*COS(ATAN( SIN(DesignSheet!C11*(A19+DesignSheet!C16)) / ( COS(DesignSheet!C11*(A19+DesignSheet!C16)) + (DesignSheet!C11*DesignSheet!C13)/(DesignSheet!C7*(DesignSheet!C11+1)) ) )+(A19+DesignSheet!C16))</f>
        <v>0.16799474048060259</v>
      </c>
      <c r="C19" s="6">
        <f>(DesignSheet!C11*DesignSheet!C13)*SIN((A19+DesignSheet!C16)) + (DesignSheet!C7)*SIN((DesignSheet!C11+1)*(A19+DesignSheet!C16)) - (DesignSheet!C6/2)*SIN(ATAN( SIN(DesignSheet!C11*(A19+DesignSheet!C16)) / ( COS(DesignSheet!C11*(A19+DesignSheet!C16)) + (DesignSheet!C11*DesignSheet!C13)/(DesignSheet!C7*(DesignSheet!C11+1)) ) )+(A19+DesignSheet!C16))</f>
        <v>-0.73094306698323297</v>
      </c>
    </row>
    <row r="20" spans="1:3" x14ac:dyDescent="0.3">
      <c r="A20" s="6">
        <f>2*PI()*18/(DesignSheet!C9-1)</f>
        <v>0.31415926535897931</v>
      </c>
      <c r="B20" s="6">
        <f>(DesignSheet!C11*DesignSheet!C13)*COS((A20+DesignSheet!C16)) + (DesignSheet!C7)*COS((DesignSheet!C11+1)*(A20+DesignSheet!C16)) - (DesignSheet!C6/2)*COS(ATAN( SIN(DesignSheet!C11*(A20+DesignSheet!C16)) / ( COS(DesignSheet!C11*(A20+DesignSheet!C16)) + (DesignSheet!C11*DesignSheet!C13)/(DesignSheet!C7*(DesignSheet!C11+1)) ) )+(A20+DesignSheet!C16))</f>
        <v>0.18072586955543254</v>
      </c>
      <c r="C20" s="6">
        <f>(DesignSheet!C11*DesignSheet!C13)*SIN((A20+DesignSheet!C16)) + (DesignSheet!C7)*SIN((DesignSheet!C11+1)*(A20+DesignSheet!C16)) - (DesignSheet!C6/2)*SIN(ATAN( SIN(DesignSheet!C11*(A20+DesignSheet!C16)) / ( COS(DesignSheet!C11*(A20+DesignSheet!C16)) + (DesignSheet!C11*DesignSheet!C13)/(DesignSheet!C7*(DesignSheet!C11+1)) ) )+(A20+DesignSheet!C16))</f>
        <v>-0.72789982832353572</v>
      </c>
    </row>
    <row r="21" spans="1:3" x14ac:dyDescent="0.3">
      <c r="A21" s="6">
        <f>2*PI()*19/(DesignSheet!C9-1)</f>
        <v>0.33161255787892258</v>
      </c>
      <c r="B21" s="6">
        <f>(DesignSheet!C11*DesignSheet!C13)*COS((A21+DesignSheet!C16)) + (DesignSheet!C7)*COS((DesignSheet!C11+1)*(A21+DesignSheet!C16)) - (DesignSheet!C6/2)*COS(ATAN( SIN(DesignSheet!C11*(A21+DesignSheet!C16)) / ( COS(DesignSheet!C11*(A21+DesignSheet!C16)) + (DesignSheet!C11*DesignSheet!C13)/(DesignSheet!C7*(DesignSheet!C11+1)) ) )+(A21+DesignSheet!C16))</f>
        <v>0.19340194777966513</v>
      </c>
      <c r="C21" s="6">
        <f>(DesignSheet!C11*DesignSheet!C13)*SIN((A21+DesignSheet!C16)) + (DesignSheet!C7)*SIN((DesignSheet!C11+1)*(A21+DesignSheet!C16)) - (DesignSheet!C6/2)*SIN(ATAN( SIN(DesignSheet!C11*(A21+DesignSheet!C16)) / ( COS(DesignSheet!C11*(A21+DesignSheet!C16)) + (DesignSheet!C11*DesignSheet!C13)/(DesignSheet!C7*(DesignSheet!C11+1)) ) )+(A21+DesignSheet!C16))</f>
        <v>-0.72463486432480717</v>
      </c>
    </row>
    <row r="22" spans="1:3" x14ac:dyDescent="0.3">
      <c r="A22" s="6">
        <f>2*PI()*20/(DesignSheet!C9-1)</f>
        <v>0.3490658503988659</v>
      </c>
      <c r="B22" s="6">
        <f>(DesignSheet!C11*DesignSheet!C13)*COS((A22+DesignSheet!C16)) + (DesignSheet!C7)*COS((DesignSheet!C11+1)*(A22+DesignSheet!C16)) - (DesignSheet!C6/2)*COS(ATAN( SIN(DesignSheet!C11*(A22+DesignSheet!C16)) / ( COS(DesignSheet!C11*(A22+DesignSheet!C16)) + (DesignSheet!C11*DesignSheet!C13)/(DesignSheet!C7*(DesignSheet!C11+1)) ) )+(A22+DesignSheet!C16))</f>
        <v>0.20601911389707728</v>
      </c>
      <c r="C22" s="6">
        <f>(DesignSheet!C11*DesignSheet!C13)*SIN((A22+DesignSheet!C16)) + (DesignSheet!C7)*SIN((DesignSheet!C11+1)*(A22+DesignSheet!C16)) - (DesignSheet!C6/2)*SIN(ATAN( SIN(DesignSheet!C11*(A22+DesignSheet!C16)) / ( COS(DesignSheet!C11*(A22+DesignSheet!C16)) + (DesignSheet!C11*DesignSheet!C13)/(DesignSheet!C7*(DesignSheet!C11+1)) ) )+(A22+DesignSheet!C16))</f>
        <v>-0.72114916952670971</v>
      </c>
    </row>
    <row r="23" spans="1:3" x14ac:dyDescent="0.3">
      <c r="A23" s="6">
        <f>2*PI()*21/(DesignSheet!C9-1)</f>
        <v>0.36651914291880922</v>
      </c>
      <c r="B23" s="6">
        <f>(DesignSheet!C11*DesignSheet!C13)*COS((A23+DesignSheet!C16)) + (DesignSheet!C7)*COS((DesignSheet!C11+1)*(A23+DesignSheet!C16)) - (DesignSheet!C6/2)*COS(ATAN( SIN(DesignSheet!C11*(A23+DesignSheet!C16)) / ( COS(DesignSheet!C11*(A23+DesignSheet!C16)) + (DesignSheet!C11*DesignSheet!C13)/(DesignSheet!C7*(DesignSheet!C11+1)) ) )+(A23+DesignSheet!C16))</f>
        <v>0.21857352459664436</v>
      </c>
      <c r="C23" s="6">
        <f>(DesignSheet!C11*DesignSheet!C13)*SIN((A23+DesignSheet!C16)) + (DesignSheet!C7)*SIN((DesignSheet!C11+1)*(A23+DesignSheet!C16)) - (DesignSheet!C6/2)*SIN(ATAN( SIN(DesignSheet!C11*(A23+DesignSheet!C16)) / ( COS(DesignSheet!C11*(A23+DesignSheet!C16)) + (DesignSheet!C11*DesignSheet!C13)/(DesignSheet!C7*(DesignSheet!C11+1)) ) )+(A23+DesignSheet!C16))</f>
        <v>-0.71744380570564559</v>
      </c>
    </row>
    <row r="24" spans="1:3" x14ac:dyDescent="0.3">
      <c r="A24" s="6">
        <f>2*PI()*22/(DesignSheet!C9-1)</f>
        <v>0.38397243543875248</v>
      </c>
      <c r="B24" s="6">
        <f>(DesignSheet!C11*DesignSheet!C13)*COS((A24+DesignSheet!C16)) + (DesignSheet!C7)*COS((DesignSheet!C11+1)*(A24+DesignSheet!C16)) - (DesignSheet!C6/2)*COS(ATAN( SIN(DesignSheet!C11*(A24+DesignSheet!C16)) / ( COS(DesignSheet!C11*(A24+DesignSheet!C16)) + (DesignSheet!C11*DesignSheet!C13)/(DesignSheet!C7*(DesignSheet!C11+1)) ) )+(A24+DesignSheet!C16))</f>
        <v>0.23106135568325004</v>
      </c>
      <c r="C24" s="6">
        <f>(DesignSheet!C11*DesignSheet!C13)*SIN((A24+DesignSheet!C16)) + (DesignSheet!C7)*SIN((DesignSheet!C11+1)*(A24+DesignSheet!C16)) - (DesignSheet!C6/2)*SIN(ATAN( SIN(DesignSheet!C11*(A24+DesignSheet!C16)) / ( COS(DesignSheet!C11*(A24+DesignSheet!C16)) + (DesignSheet!C11*DesignSheet!C13)/(DesignSheet!C7*(DesignSheet!C11+1)) ) )+(A24+DesignSheet!C16))</f>
        <v>-0.71351990155132927</v>
      </c>
    </row>
    <row r="25" spans="1:3" x14ac:dyDescent="0.3">
      <c r="A25" s="6">
        <f>2*PI()*23/(DesignSheet!C9-1)</f>
        <v>0.40142572795869574</v>
      </c>
      <c r="B25" s="6">
        <f>(DesignSheet!C11*DesignSheet!C13)*COS((A25+DesignSheet!C16)) + (DesignSheet!C7)*COS((DesignSheet!C11+1)*(A25+DesignSheet!C16)) - (DesignSheet!C6/2)*COS(ATAN( SIN(DesignSheet!C11*(A25+DesignSheet!C16)) / ( COS(DesignSheet!C11*(A25+DesignSheet!C16)) + (DesignSheet!C11*DesignSheet!C13)/(DesignSheet!C7*(DesignSheet!C11+1)) ) )+(A25+DesignSheet!C16))</f>
        <v>0.24347880324257287</v>
      </c>
      <c r="C25" s="6">
        <f>(DesignSheet!C11*DesignSheet!C13)*SIN((A25+DesignSheet!C16)) + (DesignSheet!C7)*SIN((DesignSheet!C11+1)*(A25+DesignSheet!C16)) - (DesignSheet!C6/2)*SIN(ATAN( SIN(DesignSheet!C11*(A25+DesignSheet!C16)) / ( COS(DesignSheet!C11*(A25+DesignSheet!C16)) + (DesignSheet!C11*DesignSheet!C13)/(DesignSheet!C7*(DesignSheet!C11+1)) ) )+(A25+DesignSheet!C16))</f>
        <v>-0.70937865232297792</v>
      </c>
    </row>
    <row r="26" spans="1:3" x14ac:dyDescent="0.3">
      <c r="A26" s="6">
        <f>2*PI()*24/(DesignSheet!C9-1)</f>
        <v>0.41887902047863906</v>
      </c>
      <c r="B26" s="6">
        <f>(DesignSheet!C11*DesignSheet!C13)*COS((A26+DesignSheet!C16)) + (DesignSheet!C7)*COS((DesignSheet!C11+1)*(A26+DesignSheet!C16)) - (DesignSheet!C6/2)*COS(ATAN( SIN(DesignSheet!C11*(A26+DesignSheet!C16)) / ( COS(DesignSheet!C11*(A26+DesignSheet!C16)) + (DesignSheet!C11*DesignSheet!C13)/(DesignSheet!C7*(DesignSheet!C11+1)) ) )+(A26+DesignSheet!C16))</f>
        <v>0.25582208479979601</v>
      </c>
      <c r="C26" s="6">
        <f>(DesignSheet!C11*DesignSheet!C13)*SIN((A26+DesignSheet!C16)) + (DesignSheet!C7)*SIN((DesignSheet!C11+1)*(A26+DesignSheet!C16)) - (DesignSheet!C6/2)*SIN(ATAN( SIN(DesignSheet!C11*(A26+DesignSheet!C16)) / ( COS(DesignSheet!C11*(A26+DesignSheet!C16)) + (DesignSheet!C11*DesignSheet!C13)/(DesignSheet!C7*(DesignSheet!C11+1)) ) )+(A26+DesignSheet!C16))</f>
        <v>-0.70502131948522373</v>
      </c>
    </row>
    <row r="27" spans="1:3" x14ac:dyDescent="0.3">
      <c r="A27" s="6">
        <f>2*PI()*25/(DesignSheet!C9-1)</f>
        <v>0.43633231299858238</v>
      </c>
      <c r="B27" s="6">
        <f>(DesignSheet!C11*DesignSheet!C13)*COS((A27+DesignSheet!C16)) + (DesignSheet!C7)*COS((DesignSheet!C11+1)*(A27+DesignSheet!C16)) - (DesignSheet!C6/2)*COS(ATAN( SIN(DesignSheet!C11*(A27+DesignSheet!C16)) / ( COS(DesignSheet!C11*(A27+DesignSheet!C16)) + (DesignSheet!C11*DesignSheet!C13)/(DesignSheet!C7*(DesignSheet!C11+1)) ) )+(A27+DesignSheet!C16))</f>
        <v>0.26808744047178495</v>
      </c>
      <c r="C27" s="6">
        <f>(DesignSheet!C11*DesignSheet!C13)*SIN((A27+DesignSheet!C16)) + (DesignSheet!C7)*SIN((DesignSheet!C11+1)*(A27+DesignSheet!C16)) - (DesignSheet!C6/2)*SIN(ATAN( SIN(DesignSheet!C11*(A27+DesignSheet!C16)) / ( COS(DesignSheet!C11*(A27+DesignSheet!C16)) + (DesignSheet!C11*DesignSheet!C13)/(DesignSheet!C7*(DesignSheet!C11+1)) ) )+(A27+DesignSheet!C16))</f>
        <v>-0.70044923032385942</v>
      </c>
    </row>
    <row r="28" spans="1:3" x14ac:dyDescent="0.3">
      <c r="A28" s="6">
        <f>2*PI()*26/(DesignSheet!C9-1)</f>
        <v>0.4537856055185257</v>
      </c>
      <c r="B28" s="6">
        <f>(DesignSheet!C11*DesignSheet!C13)*COS((A28+DesignSheet!C16)) + (DesignSheet!C7)*COS((DesignSheet!C11+1)*(A28+DesignSheet!C16)) - (DesignSheet!C6/2)*COS(ATAN( SIN(DesignSheet!C11*(A28+DesignSheet!C16)) / ( COS(DesignSheet!C11*(A28+DesignSheet!C16)) + (DesignSheet!C11*DesignSheet!C13)/(DesignSheet!C7*(DesignSheet!C11+1)) ) )+(A28+DesignSheet!C16))</f>
        <v>0.28027113411238486</v>
      </c>
      <c r="C28" s="6">
        <f>(DesignSheet!C11*DesignSheet!C13)*SIN((A28+DesignSheet!C16)) + (DesignSheet!C7)*SIN((DesignSheet!C11+1)*(A28+DesignSheet!C16)) - (DesignSheet!C6/2)*SIN(ATAN( SIN(DesignSheet!C11*(A28+DesignSheet!C16)) / ( COS(DesignSheet!C11*(A28+DesignSheet!C16)) + (DesignSheet!C11*DesignSheet!C13)/(DesignSheet!C7*(DesignSheet!C11+1)) ) )+(A28+DesignSheet!C16))</f>
        <v>-0.69566377754153441</v>
      </c>
    </row>
    <row r="29" spans="1:3" x14ac:dyDescent="0.3">
      <c r="A29" s="6">
        <f>2*PI()*27/(DesignSheet!C9-1)</f>
        <v>0.47123889803846897</v>
      </c>
      <c r="B29" s="6">
        <f>(DesignSheet!C11*DesignSheet!C13)*COS((A29+DesignSheet!C16)) + (DesignSheet!C7)*COS((DesignSheet!C11+1)*(A29+DesignSheet!C16)) - (DesignSheet!C6/2)*COS(ATAN( SIN(DesignSheet!C11*(A29+DesignSheet!C16)) / ( COS(DesignSheet!C11*(A29+DesignSheet!C16)) + (DesignSheet!C11*DesignSheet!C13)/(DesignSheet!C7*(DesignSheet!C11+1)) ) )+(A29+DesignSheet!C16))</f>
        <v>0.29236945445048673</v>
      </c>
      <c r="C29" s="6">
        <f>(DesignSheet!C11*DesignSheet!C13)*SIN((A29+DesignSheet!C16)) + (DesignSheet!C7)*SIN((DesignSheet!C11+1)*(A29+DesignSheet!C16)) - (DesignSheet!C6/2)*SIN(ATAN( SIN(DesignSheet!C11*(A29+DesignSheet!C16)) / ( COS(DesignSheet!C11*(A29+DesignSheet!C16)) + (DesignSheet!C11*DesignSheet!C13)/(DesignSheet!C7*(DesignSheet!C11+1)) ) )+(A29+DesignSheet!C16))</f>
        <v>-0.69066641883352398</v>
      </c>
    </row>
    <row r="30" spans="1:3" x14ac:dyDescent="0.3">
      <c r="A30" s="6">
        <f>2*PI()*28/(DesignSheet!C9-1)</f>
        <v>0.48869219055841229</v>
      </c>
      <c r="B30" s="6">
        <f>(DesignSheet!C11*DesignSheet!C13)*COS((A30+DesignSheet!C16)) + (DesignSheet!C7)*COS((DesignSheet!C11+1)*(A30+DesignSheet!C16)) - (DesignSheet!C6/2)*COS(ATAN( SIN(DesignSheet!C11*(A30+DesignSheet!C16)) / ( COS(DesignSheet!C11*(A30+DesignSheet!C16)) + (DesignSheet!C11*DesignSheet!C13)/(DesignSheet!C7*(DesignSheet!C11+1)) ) )+(A30+DesignSheet!C16))</f>
        <v>0.30437871622051638</v>
      </c>
      <c r="C30" s="6">
        <f>(DesignSheet!C11*DesignSheet!C13)*SIN((A30+DesignSheet!C16)) + (DesignSheet!C7)*SIN((DesignSheet!C11+1)*(A30+DesignSheet!C16)) - (DesignSheet!C6/2)*SIN(ATAN( SIN(DesignSheet!C11*(A30+DesignSheet!C16)) / ( COS(DesignSheet!C11*(A30+DesignSheet!C16)) + (DesignSheet!C11*DesignSheet!C13)/(DesignSheet!C7*(DesignSheet!C11+1)) ) )+(A30+DesignSheet!C16))</f>
        <v>-0.68545867644370095</v>
      </c>
    </row>
    <row r="31" spans="1:3" x14ac:dyDescent="0.3">
      <c r="A31" s="6">
        <f>2*PI()*29/(DesignSheet!C9-1)</f>
        <v>0.50614548307835561</v>
      </c>
      <c r="B31" s="6">
        <f>(DesignSheet!C11*DesignSheet!C13)*COS((A31+DesignSheet!C16)) + (DesignSheet!C7)*COS((DesignSheet!C11+1)*(A31+DesignSheet!C16)) - (DesignSheet!C6/2)*COS(ATAN( SIN(DesignSheet!C11*(A31+DesignSheet!C16)) / ( COS(DesignSheet!C11*(A31+DesignSheet!C16)) + (DesignSheet!C11*DesignSheet!C13)/(DesignSheet!C7*(DesignSheet!C11+1)) ) )+(A31+DesignSheet!C16))</f>
        <v>0.31629526128500252</v>
      </c>
      <c r="C31" s="6">
        <f>(DesignSheet!C11*DesignSheet!C13)*SIN((A31+DesignSheet!C16)) + (DesignSheet!C7)*SIN((DesignSheet!C11+1)*(A31+DesignSheet!C16)) - (DesignSheet!C6/2)*SIN(ATAN( SIN(DesignSheet!C11*(A31+DesignSheet!C16)) / ( COS(DesignSheet!C11*(A31+DesignSheet!C16)) + (DesignSheet!C11*DesignSheet!C13)/(DesignSheet!C7*(DesignSheet!C11+1)) ) )+(A31+DesignSheet!C16))</f>
        <v>-0.6800421367008459</v>
      </c>
    </row>
    <row r="32" spans="1:3" x14ac:dyDescent="0.3">
      <c r="A32" s="6">
        <f>2*PI()*30/(DesignSheet!C9-1)</f>
        <v>0.52359877559829882</v>
      </c>
      <c r="B32" s="6">
        <f>(DesignSheet!C11*DesignSheet!C13)*COS((A32+DesignSheet!C16)) + (DesignSheet!C7)*COS((DesignSheet!C11+1)*(A32+DesignSheet!C16)) - (DesignSheet!C6/2)*COS(ATAN( SIN(DesignSheet!C11*(A32+DesignSheet!C16)) / ( COS(DesignSheet!C11*(A32+DesignSheet!C16)) + (DesignSheet!C11*DesignSheet!C13)/(DesignSheet!C7*(DesignSheet!C11+1)) ) )+(A32+DesignSheet!C16))</f>
        <v>0.32811545974888001</v>
      </c>
      <c r="C32" s="6">
        <f>(DesignSheet!C11*DesignSheet!C13)*SIN((A32+DesignSheet!C16)) + (DesignSheet!C7)*SIN((DesignSheet!C11+1)*(A32+DesignSheet!C16)) - (DesignSheet!C6/2)*SIN(ATAN( SIN(DesignSheet!C11*(A32+DesignSheet!C16)) / ( COS(DesignSheet!C11*(A32+DesignSheet!C16)) + (DesignSheet!C11*DesignSheet!C13)/(DesignSheet!C7*(DesignSheet!C11+1)) ) )+(A32+DesignSheet!C16))</f>
        <v>-0.67441844953543573</v>
      </c>
    </row>
    <row r="33" spans="1:3" x14ac:dyDescent="0.3">
      <c r="A33" s="6">
        <f>2*PI()*31/(DesignSheet!C9-1)</f>
        <v>0.54105206811824214</v>
      </c>
      <c r="B33" s="6">
        <f>(DesignSheet!C11*DesignSheet!C13)*COS((A33+DesignSheet!C16)) + (DesignSheet!C7)*COS((DesignSheet!C11+1)*(A33+DesignSheet!C16)) - (DesignSheet!C6/2)*COS(ATAN( SIN(DesignSheet!C11*(A33+DesignSheet!C16)) / ( COS(DesignSheet!C11*(A33+DesignSheet!C16)) + (DesignSheet!C11*DesignSheet!C13)/(DesignSheet!C7*(DesignSheet!C11+1)) ) )+(A33+DesignSheet!C16))</f>
        <v>0.33983571106519256</v>
      </c>
      <c r="C33" s="6">
        <f>(DesignSheet!C11*DesignSheet!C13)*SIN((A33+DesignSheet!C16)) + (DesignSheet!C7)*SIN((DesignSheet!C11+1)*(A33+DesignSheet!C16)) - (DesignSheet!C6/2)*SIN(ATAN( SIN(DesignSheet!C11*(A33+DesignSheet!C16)) / ( COS(DesignSheet!C11*(A33+DesignSheet!C16)) + (DesignSheet!C11*DesignSheet!C13)/(DesignSheet!C7*(DesignSheet!C11+1)) ) )+(A33+DesignSheet!C16))</f>
        <v>-0.66858932797705872</v>
      </c>
    </row>
    <row r="34" spans="1:3" x14ac:dyDescent="0.3">
      <c r="A34" s="6">
        <f>2*PI()*32/(DesignSheet!C9-1)</f>
        <v>0.55850536063818546</v>
      </c>
      <c r="B34" s="6">
        <f>(DesignSheet!C11*DesignSheet!C13)*COS((A34+DesignSheet!C16)) + (DesignSheet!C7)*COS((DesignSheet!C11+1)*(A34+DesignSheet!C16)) - (DesignSheet!C6/2)*COS(ATAN( SIN(DesignSheet!C11*(A34+DesignSheet!C16)) / ( COS(DesignSheet!C11*(A34+DesignSheet!C16)) + (DesignSheet!C11*DesignSheet!C13)/(DesignSheet!C7*(DesignSheet!C11+1)) ) )+(A34+DesignSheet!C16))</f>
        <v>0.35145244513185181</v>
      </c>
      <c r="C34" s="6">
        <f>(DesignSheet!C11*DesignSheet!C13)*SIN((A34+DesignSheet!C16)) + (DesignSheet!C7)*SIN((DesignSheet!C11+1)*(A34+DesignSheet!C16)) - (DesignSheet!C6/2)*SIN(ATAN( SIN(DesignSheet!C11*(A34+DesignSheet!C16)) / ( COS(DesignSheet!C11*(A34+DesignSheet!C16)) + (DesignSheet!C11*DesignSheet!C13)/(DesignSheet!C7*(DesignSheet!C11+1)) ) )+(A34+DesignSheet!C16))</f>
        <v>-0.66255654763260974</v>
      </c>
    </row>
    <row r="35" spans="1:3" x14ac:dyDescent="0.3">
      <c r="A35" s="6">
        <f>2*PI()*33/(DesignSheet!C9-1)</f>
        <v>0.57595865315812877</v>
      </c>
      <c r="B35" s="6">
        <f>(DesignSheet!C11*DesignSheet!C13)*COS((A35+DesignSheet!C16)) + (DesignSheet!C7)*COS((DesignSheet!C11+1)*(A35+DesignSheet!C16)) - (DesignSheet!C6/2)*COS(ATAN( SIN(DesignSheet!C11*(A35+DesignSheet!C16)) / ( COS(DesignSheet!C11*(A35+DesignSheet!C16)) + (DesignSheet!C11*DesignSheet!C13)/(DesignSheet!C7*(DesignSheet!C11+1)) ) )+(A35+DesignSheet!C16))</f>
        <v>0.36296212337912798</v>
      </c>
      <c r="C35" s="6">
        <f>(DesignSheet!C11*DesignSheet!C13)*SIN((A35+DesignSheet!C16)) + (DesignSheet!C7)*SIN((DesignSheet!C11+1)*(A35+DesignSheet!C16)) - (DesignSheet!C6/2)*SIN(ATAN( SIN(DesignSheet!C11*(A35+DesignSheet!C16)) / ( COS(DesignSheet!C11*(A35+DesignSheet!C16)) + (DesignSheet!C11*DesignSheet!C13)/(DesignSheet!C7*(DesignSheet!C11+1)) ) )+(A35+DesignSheet!C16))</f>
        <v>-0.65632194614542239</v>
      </c>
    </row>
    <row r="36" spans="1:3" x14ac:dyDescent="0.3">
      <c r="A36" s="6">
        <f>2*PI()*34/(DesignSheet!C9-1)</f>
        <v>0.59341194567807209</v>
      </c>
      <c r="B36" s="6">
        <f>(DesignSheet!C11*DesignSheet!C13)*COS((A36+DesignSheet!C16)) + (DesignSheet!C7)*COS((DesignSheet!C11+1)*(A36+DesignSheet!C16)) - (DesignSheet!C6/2)*COS(ATAN( SIN(DesignSheet!C11*(A36+DesignSheet!C16)) / ( COS(DesignSheet!C11*(A36+DesignSheet!C16)) + (DesignSheet!C11*DesignSheet!C13)/(DesignSheet!C7*(DesignSheet!C11+1)) ) )+(A36+DesignSheet!C16))</f>
        <v>0.3743612398475295</v>
      </c>
      <c r="C36" s="6">
        <f>(DesignSheet!C11*DesignSheet!C13)*SIN((A36+DesignSheet!C16)) + (DesignSheet!C7)*SIN((DesignSheet!C11+1)*(A36+DesignSheet!C16)) - (DesignSheet!C6/2)*SIN(ATAN( SIN(DesignSheet!C11*(A36+DesignSheet!C16)) / ( COS(DesignSheet!C11*(A36+DesignSheet!C16)) + (DesignSheet!C11*DesignSheet!C13)/(DesignSheet!C7*(DesignSheet!C11+1)) ) )+(A36+DesignSheet!C16))</f>
        <v>-0.64988742263550581</v>
      </c>
    </row>
    <row r="37" spans="1:3" x14ac:dyDescent="0.3">
      <c r="A37" s="6">
        <f>2*PI()*35/(DesignSheet!C9-1)</f>
        <v>0.6108652381980153</v>
      </c>
      <c r="B37" s="6">
        <f>(DesignSheet!C11*DesignSheet!C13)*COS((A37+DesignSheet!C16)) + (DesignSheet!C7)*COS((DesignSheet!C11+1)*(A37+DesignSheet!C16)) - (DesignSheet!C6/2)*COS(ATAN( SIN(DesignSheet!C11*(A37+DesignSheet!C16)) / ( COS(DesignSheet!C11*(A37+DesignSheet!C16)) + (DesignSheet!C11*DesignSheet!C13)/(DesignSheet!C7*(DesignSheet!C11+1)) ) )+(A37+DesignSheet!C16))</f>
        <v>0.38564632225575501</v>
      </c>
      <c r="C37" s="6">
        <f>(DesignSheet!C11*DesignSheet!C13)*SIN((A37+DesignSheet!C16)) + (DesignSheet!C7)*SIN((DesignSheet!C11+1)*(A37+DesignSheet!C16)) - (DesignSheet!C6/2)*SIN(ATAN( SIN(DesignSheet!C11*(A37+DesignSheet!C16)) / ( COS(DesignSheet!C11*(A37+DesignSheet!C16)) + (DesignSheet!C11*DesignSheet!C13)/(DesignSheet!C7*(DesignSheet!C11+1)) ) )+(A37+DesignSheet!C16))</f>
        <v>-0.64325493712105342</v>
      </c>
    </row>
    <row r="38" spans="1:3" x14ac:dyDescent="0.3">
      <c r="A38" s="6">
        <f>2*PI()*36/(DesignSheet!C9-1)</f>
        <v>0.62831853071795862</v>
      </c>
      <c r="B38" s="6">
        <f>(DesignSheet!C11*DesignSheet!C13)*COS((A38+DesignSheet!C16)) + (DesignSheet!C7)*COS((DesignSheet!C11+1)*(A38+DesignSheet!C16)) - (DesignSheet!C6/2)*COS(ATAN( SIN(DesignSheet!C11*(A38+DesignSheet!C16)) / ( COS(DesignSheet!C11*(A38+DesignSheet!C16)) + (DesignSheet!C11*DesignSheet!C13)/(DesignSheet!C7*(DesignSheet!C11+1)) ) )+(A38+DesignSheet!C16))</f>
        <v>0.39681393305838131</v>
      </c>
      <c r="C38" s="6">
        <f>(DesignSheet!C11*DesignSheet!C13)*SIN((A38+DesignSheet!C16)) + (DesignSheet!C7)*SIN((DesignSheet!C11+1)*(A38+DesignSheet!C16)) - (DesignSheet!C6/2)*SIN(ATAN( SIN(DesignSheet!C11*(A38+DesignSheet!C16)) / ( COS(DesignSheet!C11*(A38+DesignSheet!C16)) + (DesignSheet!C11*DesignSheet!C13)/(DesignSheet!C7*(DesignSheet!C11+1)) ) )+(A38+DesignSheet!C16))</f>
        <v>-0.6364265099214037</v>
      </c>
    </row>
    <row r="39" spans="1:3" x14ac:dyDescent="0.3">
      <c r="A39" s="6">
        <f>2*PI()*37/(DesignSheet!C9-1)</f>
        <v>0.64577182323790194</v>
      </c>
      <c r="B39" s="6">
        <f>(DesignSheet!C11*DesignSheet!C13)*COS((A39+DesignSheet!C16)) + (DesignSheet!C7)*COS((DesignSheet!C11+1)*(A39+DesignSheet!C16)) - (DesignSheet!C6/2)*COS(ATAN( SIN(DesignSheet!C11*(A39+DesignSheet!C16)) / ( COS(DesignSheet!C11*(A39+DesignSheet!C16)) + (DesignSheet!C11*DesignSheet!C13)/(DesignSheet!C7*(DesignSheet!C11+1)) ) )+(A39+DesignSheet!C16))</f>
        <v>0.40786067049297509</v>
      </c>
      <c r="C39" s="6">
        <f>(DesignSheet!C11*DesignSheet!C13)*SIN((A39+DesignSheet!C16)) + (DesignSheet!C7)*SIN((DesignSheet!C11+1)*(A39+DesignSheet!C16)) - (DesignSheet!C6/2)*SIN(ATAN( SIN(DesignSheet!C11*(A39+DesignSheet!C16)) / ( COS(DesignSheet!C11*(A39+DesignSheet!C16)) + (DesignSheet!C11*DesignSheet!C13)/(DesignSheet!C7*(DesignSheet!C11+1)) ) )+(A39+DesignSheet!C16))</f>
        <v>-0.62940422104162974</v>
      </c>
    </row>
    <row r="40" spans="1:3" x14ac:dyDescent="0.3">
      <c r="A40" s="6">
        <f>2*PI()*38/(DesignSheet!C9-1)</f>
        <v>0.66322511575784515</v>
      </c>
      <c r="B40" s="6">
        <f>(DesignSheet!C11*DesignSheet!C13)*COS((A40+DesignSheet!C16)) + (DesignSheet!C7)*COS((DesignSheet!C11+1)*(A40+DesignSheet!C16)) - (DesignSheet!C6/2)*COS(ATAN( SIN(DesignSheet!C11*(A40+DesignSheet!C16)) / ( COS(DesignSheet!C11*(A40+DesignSheet!C16)) + (DesignSheet!C11*DesignSheet!C13)/(DesignSheet!C7*(DesignSheet!C11+1)) ) )+(A40+DesignSheet!C16))</f>
        <v>0.41878316961630196</v>
      </c>
      <c r="C40" s="6">
        <f>(DesignSheet!C11*DesignSheet!C13)*SIN((A40+DesignSheet!C16)) + (DesignSheet!C7)*SIN((DesignSheet!C11+1)*(A40+DesignSheet!C16)) - (DesignSheet!C6/2)*SIN(ATAN( SIN(DesignSheet!C11*(A40+DesignSheet!C16)) / ( COS(DesignSheet!C11*(A40+DesignSheet!C16)) + (DesignSheet!C11*DesignSheet!C13)/(DesignSheet!C7*(DesignSheet!C11+1)) ) )+(A40+DesignSheet!C16))</f>
        <v>-0.62219020953895088</v>
      </c>
    </row>
    <row r="41" spans="1:3" x14ac:dyDescent="0.3">
      <c r="A41" s="6">
        <f>2*PI()*39/(DesignSheet!C9-1)</f>
        <v>0.68067840827778847</v>
      </c>
      <c r="B41" s="6">
        <f>(DesignSheet!C11*DesignSheet!C13)*COS((A41+DesignSheet!C16)) + (DesignSheet!C7)*COS((DesignSheet!C11+1)*(A41+DesignSheet!C16)) - (DesignSheet!C6/2)*COS(ATAN( SIN(DesignSheet!C11*(A41+DesignSheet!C16)) / ( COS(DesignSheet!C11*(A41+DesignSheet!C16)) + (DesignSheet!C11*DesignSheet!C13)/(DesignSheet!C7*(DesignSheet!C11+1)) ) )+(A41+DesignSheet!C16))</f>
        <v>0.42957810332931984</v>
      </c>
      <c r="C41" s="6">
        <f>(DesignSheet!C11*DesignSheet!C13)*SIN((A41+DesignSheet!C16)) + (DesignSheet!C7)*SIN((DesignSheet!C11+1)*(A41+DesignSheet!C16)) - (DesignSheet!C6/2)*SIN(ATAN( SIN(DesignSheet!C11*(A41+DesignSheet!C16)) / ( COS(DesignSheet!C11*(A41+DesignSheet!C16)) + (DesignSheet!C11*DesignSheet!C13)/(DesignSheet!C7*(DesignSheet!C11+1)) ) )+(A41+DesignSheet!C16))</f>
        <v>-0.61478667287115474</v>
      </c>
    </row>
    <row r="42" spans="1:3" x14ac:dyDescent="0.3">
      <c r="A42" s="6">
        <f>2*PI()*40/(DesignSheet!C9-1)</f>
        <v>0.69813170079773179</v>
      </c>
      <c r="B42" s="6">
        <f>(DesignSheet!C11*DesignSheet!C13)*COS((A42+DesignSheet!C16)) + (DesignSheet!C7)*COS((DesignSheet!C11+1)*(A42+DesignSheet!C16)) - (DesignSheet!C6/2)*COS(ATAN( SIN(DesignSheet!C11*(A42+DesignSheet!C16)) / ( COS(DesignSheet!C11*(A42+DesignSheet!C16)) + (DesignSheet!C11*DesignSheet!C13)/(DesignSheet!C7*(DesignSheet!C11+1)) ) )+(A42+DesignSheet!C16))</f>
        <v>0.44024218339064736</v>
      </c>
      <c r="C42" s="6">
        <f>(DesignSheet!C11*DesignSheet!C13)*SIN((A42+DesignSheet!C16)) + (DesignSheet!C7)*SIN((DesignSheet!C11+1)*(A42+DesignSheet!C16)) - (DesignSheet!C6/2)*SIN(ATAN( SIN(DesignSheet!C11*(A42+DesignSheet!C16)) / ( COS(DesignSheet!C11*(A42+DesignSheet!C16)) + (DesignSheet!C11*DesignSheet!C13)/(DesignSheet!C7*(DesignSheet!C11+1)) ) )+(A42+DesignSheet!C16))</f>
        <v>-0.60719586622722954</v>
      </c>
    </row>
    <row r="43" spans="1:3" x14ac:dyDescent="0.3">
      <c r="A43" s="6">
        <f>2*PI()*41/(DesignSheet!C9-1)</f>
        <v>0.715584993317675</v>
      </c>
      <c r="B43" s="6">
        <f>(DesignSheet!C11*DesignSheet!C13)*COS((A43+DesignSheet!C16)) + (DesignSheet!C7)*COS((DesignSheet!C11+1)*(A43+DesignSheet!C16)) - (DesignSheet!C6/2)*COS(ATAN( SIN(DesignSheet!C11*(A43+DesignSheet!C16)) / ( COS(DesignSheet!C11*(A43+DesignSheet!C16)) + (DesignSheet!C11*DesignSheet!C13)/(DesignSheet!C7*(DesignSheet!C11+1)) ) )+(A43+DesignSheet!C16))</f>
        <v>0.45077216141819199</v>
      </c>
      <c r="C43" s="6">
        <f>(DesignSheet!C11*DesignSheet!C13)*SIN((A43+DesignSheet!C16)) + (DesignSheet!C7)*SIN((DesignSheet!C11+1)*(A43+DesignSheet!C16)) - (DesignSheet!C6/2)*SIN(ATAN( SIN(DesignSheet!C11*(A43+DesignSheet!C16)) / ( COS(DesignSheet!C11*(A43+DesignSheet!C16)) + (DesignSheet!C11*DesignSheet!C13)/(DesignSheet!C7*(DesignSheet!C11+1)) ) )+(A43+DesignSheet!C16))</f>
        <v>-0.59942010184041328</v>
      </c>
    </row>
    <row r="44" spans="1:3" x14ac:dyDescent="0.3">
      <c r="A44" s="6">
        <f>2*PI()*42/(DesignSheet!C9-1)</f>
        <v>0.73303828583761843</v>
      </c>
      <c r="B44" s="6">
        <f>(DesignSheet!C11*DesignSheet!C13)*COS((A44+DesignSheet!C16)) + (DesignSheet!C7)*COS((DesignSheet!C11+1)*(A44+DesignSheet!C16)) - (DesignSheet!C6/2)*COS(ATAN( SIN(DesignSheet!C11*(A44+DesignSheet!C16)) / ( COS(DesignSheet!C11*(A44+DesignSheet!C16)) + (DesignSheet!C11*DesignSheet!C13)/(DesignSheet!C7*(DesignSheet!C11+1)) ) )+(A44+DesignSheet!C16))</f>
        <v>0.46116482987864094</v>
      </c>
      <c r="C44" s="6">
        <f>(DesignSheet!C11*DesignSheet!C13)*SIN((A44+DesignSheet!C16)) + (DesignSheet!C7)*SIN((DesignSheet!C11+1)*(A44+DesignSheet!C16)) - (DesignSheet!C6/2)*SIN(ATAN( SIN(DesignSheet!C11*(A44+DesignSheet!C16)) / ( COS(DesignSheet!C11*(A44+DesignSheet!C16)) + (DesignSheet!C11*DesignSheet!C13)/(DesignSheet!C7*(DesignSheet!C11+1)) ) )+(A44+DesignSheet!C16))</f>
        <v>-0.59146174828386333</v>
      </c>
    </row>
    <row r="45" spans="1:3" x14ac:dyDescent="0.3">
      <c r="A45" s="6">
        <f>2*PI()*43/(DesignSheet!C9-1)</f>
        <v>0.75049157835756164</v>
      </c>
      <c r="B45" s="6">
        <f>(DesignSheet!C11*DesignSheet!C13)*COS((A45+DesignSheet!C16)) + (DesignSheet!C7)*COS((DesignSheet!C11+1)*(A45+DesignSheet!C16)) - (DesignSheet!C6/2)*COS(ATAN( SIN(DesignSheet!C11*(A45+DesignSheet!C16)) / ( COS(DesignSheet!C11*(A45+DesignSheet!C16)) + (DesignSheet!C11*DesignSheet!C13)/(DesignSheet!C7*(DesignSheet!C11+1)) ) )+(A45+DesignSheet!C16))</f>
        <v>0.4714170230645045</v>
      </c>
      <c r="C45" s="6">
        <f>(DesignSheet!C11*DesignSheet!C13)*SIN((A45+DesignSheet!C16)) + (DesignSheet!C7)*SIN((DesignSheet!C11+1)*(A45+DesignSheet!C16)) - (DesignSheet!C6/2)*SIN(ATAN( SIN(DesignSheet!C11*(A45+DesignSheet!C16)) / ( COS(DesignSheet!C11*(A45+DesignSheet!C16)) + (DesignSheet!C11*DesignSheet!C13)/(DesignSheet!C7*(DesignSheet!C11+1)) ) )+(A45+DesignSheet!C16))</f>
        <v>-0.58332322974916773</v>
      </c>
    </row>
    <row r="46" spans="1:3" x14ac:dyDescent="0.3">
      <c r="A46" s="6">
        <f>2*PI()*44/(DesignSheet!C9-1)</f>
        <v>0.76794487087750496</v>
      </c>
      <c r="B46" s="6">
        <f>(DesignSheet!C11*DesignSheet!C13)*COS((A46+DesignSheet!C16)) + (DesignSheet!C7)*COS((DesignSheet!C11+1)*(A46+DesignSheet!C16)) - (DesignSheet!C6/2)*COS(ATAN( SIN(DesignSheet!C11*(A46+DesignSheet!C16)) / ( COS(DesignSheet!C11*(A46+DesignSheet!C16)) + (DesignSheet!C11*DesignSheet!C13)/(DesignSheet!C7*(DesignSheet!C11+1)) ) )+(A46+DesignSheet!C16))</f>
        <v>0.4815256180584237</v>
      </c>
      <c r="C46" s="6">
        <f>(DesignSheet!C11*DesignSheet!C13)*SIN((A46+DesignSheet!C16)) + (DesignSheet!C7)*SIN((DesignSheet!C11+1)*(A46+DesignSheet!C16)) - (DesignSheet!C6/2)*SIN(ATAN( SIN(DesignSheet!C11*(A46+DesignSheet!C16)) / ( COS(DesignSheet!C11*(A46+DesignSheet!C16)) + (DesignSheet!C11*DesignSheet!C13)/(DesignSheet!C7*(DesignSheet!C11+1)) ) )+(A46+DesignSheet!C16))</f>
        <v>-0.57500702530791137</v>
      </c>
    </row>
    <row r="47" spans="1:3" x14ac:dyDescent="0.3">
      <c r="A47" s="6">
        <f>2*PI()*45/(DesignSheet!C9-1)</f>
        <v>0.78539816339744828</v>
      </c>
      <c r="B47" s="6">
        <f>(DesignSheet!C11*DesignSheet!C13)*COS((A47+DesignSheet!C16)) + (DesignSheet!C7)*COS((DesignSheet!C11+1)*(A47+DesignSheet!C16)) - (DesignSheet!C6/2)*COS(ATAN( SIN(DesignSheet!C11*(A47+DesignSheet!C16)) / ( COS(DesignSheet!C11*(A47+DesignSheet!C16)) + (DesignSheet!C11*DesignSheet!C13)/(DesignSheet!C7*(DesignSheet!C11+1)) ) )+(A47+DesignSheet!C16))</f>
        <v>0.49148753568443865</v>
      </c>
      <c r="C47" s="6">
        <f>(DesignSheet!C11*DesignSheet!C13)*SIN((A47+DesignSheet!C16)) + (DesignSheet!C7)*SIN((DesignSheet!C11+1)*(A47+DesignSheet!C16)) - (DesignSheet!C6/2)*SIN(ATAN( SIN(DesignSheet!C11*(A47+DesignSheet!C16)) / ( COS(DesignSheet!C11*(A47+DesignSheet!C16)) + (DesignSheet!C11*DesignSheet!C13)/(DesignSheet!C7*(DesignSheet!C11+1)) ) )+(A47+DesignSheet!C16))</f>
        <v>-0.56651566815652821</v>
      </c>
    </row>
    <row r="48" spans="1:3" x14ac:dyDescent="0.3">
      <c r="A48" s="6">
        <f>2*PI()*46/(DesignSheet!C9-1)</f>
        <v>0.80285145591739149</v>
      </c>
      <c r="B48" s="6">
        <f>(DesignSheet!C11*DesignSheet!C13)*COS((A48+DesignSheet!C16)) + (DesignSheet!C7)*COS((DesignSheet!C11+1)*(A48+DesignSheet!C16)) - (DesignSheet!C6/2)*COS(ATAN( SIN(DesignSheet!C11*(A48+DesignSheet!C16)) / ( COS(DesignSheet!C11*(A48+DesignSheet!C16)) + (DesignSheet!C11*DesignSheet!C13)/(DesignSheet!C7*(DesignSheet!C11+1)) ) )+(A48+DesignSheet!C16))</f>
        <v>0.50129974144593747</v>
      </c>
      <c r="C48" s="6">
        <f>(DesignSheet!C11*DesignSheet!C13)*SIN((A48+DesignSheet!C16)) + (DesignSheet!C7)*SIN((DesignSheet!C11+1)*(A48+DesignSheet!C16)) - (DesignSheet!C6/2)*SIN(ATAN( SIN(DesignSheet!C11*(A48+DesignSheet!C16)) / ( COS(DesignSheet!C11*(A48+DesignSheet!C16)) + (DesignSheet!C11*DesignSheet!C13)/(DesignSheet!C7*(DesignSheet!C11+1)) ) )+(A48+DesignSheet!C16))</f>
        <v>-0.55785174484466415</v>
      </c>
    </row>
    <row r="49" spans="1:3" x14ac:dyDescent="0.3">
      <c r="A49" s="6">
        <f>2*PI()*47/(DesignSheet!C9-1)</f>
        <v>0.82030474843733492</v>
      </c>
      <c r="B49" s="6">
        <f>(DesignSheet!C11*DesignSheet!C13)*COS((A49+DesignSheet!C16)) + (DesignSheet!C7)*COS((DesignSheet!C11+1)*(A49+DesignSheet!C16)) - (DesignSheet!C6/2)*COS(ATAN( SIN(DesignSheet!C11*(A49+DesignSheet!C16)) / ( COS(DesignSheet!C11*(A49+DesignSheet!C16)) + (DesignSheet!C11*DesignSheet!C13)/(DesignSheet!C7*(DesignSheet!C11+1)) ) )+(A49+DesignSheet!C16))</f>
        <v>0.51095924644999235</v>
      </c>
      <c r="C49" s="6">
        <f>(DesignSheet!C11*DesignSheet!C13)*SIN((A49+DesignSheet!C16)) + (DesignSheet!C7)*SIN((DesignSheet!C11+1)*(A49+DesignSheet!C16)) - (DesignSheet!C6/2)*SIN(ATAN( SIN(DesignSheet!C11*(A49+DesignSheet!C16)) / ( COS(DesignSheet!C11*(A49+DesignSheet!C16)) + (DesignSheet!C11*DesignSheet!C13)/(DesignSheet!C7*(DesignSheet!C11+1)) ) )+(A49+DesignSheet!C16))</f>
        <v>-0.54901789448728899</v>
      </c>
    </row>
    <row r="50" spans="1:3" x14ac:dyDescent="0.3">
      <c r="A50" s="6">
        <f>2*PI()*48/(DesignSheet!C9-1)</f>
        <v>0.83775804095727813</v>
      </c>
      <c r="B50" s="6">
        <f>(DesignSheet!C11*DesignSheet!C13)*COS((A50+DesignSheet!C16)) + (DesignSheet!C7)*COS((DesignSheet!C11+1)*(A50+DesignSheet!C16)) - (DesignSheet!C6/2)*COS(ATAN( SIN(DesignSheet!C11*(A50+DesignSheet!C16)) / ( COS(DesignSheet!C11*(A50+DesignSheet!C16)) + (DesignSheet!C11*DesignSheet!C13)/(DesignSheet!C7*(DesignSheet!C11+1)) ) )+(A50+DesignSheet!C16))</f>
        <v>0.52046310831780507</v>
      </c>
      <c r="C50" s="6">
        <f>(DesignSheet!C11*DesignSheet!C13)*SIN((A50+DesignSheet!C16)) + (DesignSheet!C7)*SIN((DesignSheet!C11+1)*(A50+DesignSheet!C16)) - (DesignSheet!C6/2)*SIN(ATAN( SIN(DesignSheet!C11*(A50+DesignSheet!C16)) / ( COS(DesignSheet!C11*(A50+DesignSheet!C16)) + (DesignSheet!C11*DesignSheet!C13)/(DesignSheet!C7*(DesignSheet!C11+1)) ) )+(A50+DesignSheet!C16))</f>
        <v>-0.54001680796079743</v>
      </c>
    </row>
    <row r="51" spans="1:3" x14ac:dyDescent="0.3">
      <c r="A51" s="6">
        <f>2*PI()*49/(DesignSheet!C9-1)</f>
        <v>0.85521133347722145</v>
      </c>
      <c r="B51" s="6">
        <f>(DesignSheet!C11*DesignSheet!C13)*COS((A51+DesignSheet!C16)) + (DesignSheet!C7)*COS((DesignSheet!C11+1)*(A51+DesignSheet!C16)) - (DesignSheet!C6/2)*COS(ATAN( SIN(DesignSheet!C11*(A51+DesignSheet!C16)) / ( COS(DesignSheet!C11*(A51+DesignSheet!C16)) + (DesignSheet!C11*DesignSheet!C13)/(DesignSheet!C7*(DesignSheet!C11+1)) ) )+(A51+DesignSheet!C16))</f>
        <v>0.52980843208098505</v>
      </c>
      <c r="C51" s="6">
        <f>(DesignSheet!C11*DesignSheet!C13)*SIN((A51+DesignSheet!C16)) + (DesignSheet!C7)*SIN((DesignSheet!C11+1)*(A51+DesignSheet!C16)) - (DesignSheet!C6/2)*SIN(ATAN( SIN(DesignSheet!C11*(A51+DesignSheet!C16)) / ( COS(DesignSheet!C11*(A51+DesignSheet!C16)) + (DesignSheet!C11*DesignSheet!C13)/(DesignSheet!C7*(DesignSheet!C11+1)) ) )+(A51+DesignSheet!C16))</f>
        <v>-0.53085122708334043</v>
      </c>
    </row>
    <row r="52" spans="1:3" x14ac:dyDescent="0.3">
      <c r="A52" s="6">
        <f>2*PI()*50/(DesignSheet!C9-1)</f>
        <v>0.87266462599716477</v>
      </c>
      <c r="B52" s="6">
        <f>(DesignSheet!C11*DesignSheet!C13)*COS((A52+DesignSheet!C16)) + (DesignSheet!C7)*COS((DesignSheet!C11+1)*(A52+DesignSheet!C16)) - (DesignSheet!C6/2)*COS(ATAN( SIN(DesignSheet!C11*(A52+DesignSheet!C16)) / ( COS(DesignSheet!C11*(A52+DesignSheet!C16)) + (DesignSheet!C11*DesignSheet!C13)/(DesignSheet!C7*(DesignSheet!C11+1)) ) )+(A52+DesignSheet!C16))</f>
        <v>0.53899237106338327</v>
      </c>
      <c r="C52" s="6">
        <f>(DesignSheet!C11*DesignSheet!C13)*SIN((A52+DesignSheet!C16)) + (DesignSheet!C7)*SIN((DesignSheet!C11+1)*(A52+DesignSheet!C16)) - (DesignSheet!C6/2)*SIN(ATAN( SIN(DesignSheet!C11*(A52+DesignSheet!C16)) / ( COS(DesignSheet!C11*(A52+DesignSheet!C16)) + (DesignSheet!C11*DesignSheet!C13)/(DesignSheet!C7*(DesignSheet!C11+1)) ) )+(A52+DesignSheet!C16))</f>
        <v>-0.52152394377964284</v>
      </c>
    </row>
    <row r="53" spans="1:3" x14ac:dyDescent="0.3">
      <c r="A53" s="6">
        <f>2*PI()*51/(DesignSheet!C9-1)</f>
        <v>0.89011791851710798</v>
      </c>
      <c r="B53" s="6">
        <f>(DesignSheet!C11*DesignSheet!C13)*COS((A53+DesignSheet!C16)) + (DesignSheet!C7)*COS((DesignSheet!C11+1)*(A53+DesignSheet!C16)) - (DesignSheet!C6/2)*COS(ATAN( SIN(DesignSheet!C11*(A53+DesignSheet!C16)) / ( COS(DesignSheet!C11*(A53+DesignSheet!C16)) + (DesignSheet!C11*DesignSheet!C13)/(DesignSheet!C7*(DesignSheet!C11+1)) ) )+(A53+DesignSheet!C16))</f>
        <v>0.5480121277482195</v>
      </c>
      <c r="C53" s="6">
        <f>(DesignSheet!C11*DesignSheet!C13)*SIN((A53+DesignSheet!C16)) + (DesignSheet!C7)*SIN((DesignSheet!C11+1)*(A53+DesignSheet!C16)) - (DesignSheet!C6/2)*SIN(ATAN( SIN(DesignSheet!C11*(A53+DesignSheet!C16)) / ( COS(DesignSheet!C11*(A53+DesignSheet!C16)) + (DesignSheet!C11*DesignSheet!C13)/(DesignSheet!C7*(DesignSheet!C11+1)) ) )+(A53+DesignSheet!C16))</f>
        <v>-0.51203779923055404</v>
      </c>
    </row>
    <row r="54" spans="1:3" x14ac:dyDescent="0.3">
      <c r="A54" s="6">
        <f>2*PI()*52/(DesignSheet!C9-1)</f>
        <v>0.90757121103705141</v>
      </c>
      <c r="B54" s="6">
        <f>(DesignSheet!C11*DesignSheet!C13)*COS((A54+DesignSheet!C16)) + (DesignSheet!C7)*COS((DesignSheet!C11+1)*(A54+DesignSheet!C16)) - (DesignSheet!C6/2)*COS(ATAN( SIN(DesignSheet!C11*(A54+DesignSheet!C16)) / ( COS(DesignSheet!C11*(A54+DesignSheet!C16)) + (DesignSheet!C11*DesignSheet!C13)/(DesignSheet!C7*(DesignSheet!C11+1)) ) )+(A54+DesignSheet!C16))</f>
        <v>0.55686495463023089</v>
      </c>
      <c r="C54" s="6">
        <f>(DesignSheet!C11*DesignSheet!C13)*SIN((A54+DesignSheet!C16)) + (DesignSheet!C7)*SIN((DesignSheet!C11+1)*(A54+DesignSheet!C16)) - (DesignSheet!C6/2)*SIN(ATAN( SIN(DesignSheet!C11*(A54+DesignSheet!C16)) / ( COS(DesignSheet!C11*(A54+DesignSheet!C16)) + (DesignSheet!C11*DesignSheet!C13)/(DesignSheet!C7*(DesignSheet!C11+1)) ) )+(A54+DesignSheet!C16))</f>
        <v>-0.50239568300759796</v>
      </c>
    </row>
    <row r="55" spans="1:3" x14ac:dyDescent="0.3">
      <c r="A55" s="6">
        <f>2*PI()*53/(DesignSheet!C9-1)</f>
        <v>0.92502450355699462</v>
      </c>
      <c r="B55" s="6">
        <f>(DesignSheet!C11*DesignSheet!C13)*COS((A55+DesignSheet!C16)) + (DesignSheet!C7)*COS((DesignSheet!C11+1)*(A55+DesignSheet!C16)) - (DesignSheet!C6/2)*COS(ATAN( SIN(DesignSheet!C11*(A55+DesignSheet!C16)) / ( COS(DesignSheet!C11*(A55+DesignSheet!C16)) + (DesignSheet!C11*DesignSheet!C13)/(DesignSheet!C7*(DesignSheet!C11+1)) ) )+(A55+DesignSheet!C16))</f>
        <v>0.56554815505259026</v>
      </c>
      <c r="C55" s="6">
        <f>(DesignSheet!C11*DesignSheet!C13)*SIN((A55+DesignSheet!C16)) + (DesignSheet!C7)*SIN((DesignSheet!C11+1)*(A55+DesignSheet!C16)) - (DesignSheet!C6/2)*SIN(ATAN( SIN(DesignSheet!C11*(A55+DesignSheet!C16)) / ( COS(DesignSheet!C11*(A55+DesignSheet!C16)) + (DesignSheet!C11*DesignSheet!C13)/(DesignSheet!C7*(DesignSheet!C11+1)) ) )+(A55+DesignSheet!C16))</f>
        <v>-0.49260053219278133</v>
      </c>
    </row>
    <row r="56" spans="1:3" x14ac:dyDescent="0.3">
      <c r="A56" s="6">
        <f>2*PI()*54/(DesignSheet!C9-1)</f>
        <v>0.94247779607693793</v>
      </c>
      <c r="B56" s="6">
        <f>(DesignSheet!C11*DesignSheet!C13)*COS((A56+DesignSheet!C16)) + (DesignSheet!C7)*COS((DesignSheet!C11+1)*(A56+DesignSheet!C16)) - (DesignSheet!C6/2)*COS(ATAN( SIN(DesignSheet!C11*(A56+DesignSheet!C16)) / ( COS(DesignSheet!C11*(A56+DesignSheet!C16)) + (DesignSheet!C11*DesignSheet!C13)/(DesignSheet!C7*(DesignSheet!C11+1)) ) )+(A56+DesignSheet!C16))</f>
        <v>0.57405908402833217</v>
      </c>
      <c r="C56" s="6">
        <f>(DesignSheet!C11*DesignSheet!C13)*SIN((A56+DesignSheet!C16)) + (DesignSheet!C7)*SIN((DesignSheet!C11+1)*(A56+DesignSheet!C16)) - (DesignSheet!C6/2)*SIN(ATAN( SIN(DesignSheet!C11*(A56+DesignSheet!C16)) / ( COS(DesignSheet!C11*(A56+DesignSheet!C16)) + (DesignSheet!C11*DesignSheet!C13)/(DesignSheet!C7*(DesignSheet!C11+1)) ) )+(A56+DesignSheet!C16))</f>
        <v>-0.48265533048393056</v>
      </c>
    </row>
    <row r="57" spans="1:3" x14ac:dyDescent="0.3">
      <c r="A57" s="6">
        <f>2*PI()*55/(DesignSheet!C9-1)</f>
        <v>0.95993108859688125</v>
      </c>
      <c r="B57" s="6">
        <f>(DesignSheet!C11*DesignSheet!C13)*COS((A57+DesignSheet!C16)) + (DesignSheet!C7)*COS((DesignSheet!C11+1)*(A57+DesignSheet!C16)) - (DesignSheet!C6/2)*COS(ATAN( SIN(DesignSheet!C11*(A57+DesignSheet!C16)) / ( COS(DesignSheet!C11*(A57+DesignSheet!C16)) + (DesignSheet!C11*DesignSheet!C13)/(DesignSheet!C7*(DesignSheet!C11+1)) ) )+(A57+DesignSheet!C16))</f>
        <v>0.58239514904604395</v>
      </c>
      <c r="C57" s="6">
        <f>(DesignSheet!C11*DesignSheet!C13)*SIN((A57+DesignSheet!C16)) + (DesignSheet!C7)*SIN((DesignSheet!C11+1)*(A57+DesignSheet!C16)) - (DesignSheet!C6/2)*SIN(ATAN( SIN(DesignSheet!C11*(A57+DesignSheet!C16)) / ( COS(DesignSheet!C11*(A57+DesignSheet!C16)) + (DesignSheet!C11*DesignSheet!C13)/(DesignSheet!C7*(DesignSheet!C11+1)) ) )+(A57+DesignSheet!C16))</f>
        <v>-0.47256310728582729</v>
      </c>
    </row>
    <row r="58" spans="1:3" x14ac:dyDescent="0.3">
      <c r="A58" s="6">
        <f>2*PI()*56/(DesignSheet!C9-1)</f>
        <v>0.97738438111682457</v>
      </c>
      <c r="B58" s="6">
        <f>(DesignSheet!C11*DesignSheet!C13)*COS((A58+DesignSheet!C16)) + (DesignSheet!C7)*COS((DesignSheet!C11+1)*(A58+DesignSheet!C16)) - (DesignSheet!C6/2)*COS(ATAN( SIN(DesignSheet!C11*(A58+DesignSheet!C16)) / ( COS(DesignSheet!C11*(A58+DesignSheet!C16)) + (DesignSheet!C11*DesignSheet!C13)/(DesignSheet!C7*(DesignSheet!C11+1)) ) )+(A58+DesignSheet!C16))</f>
        <v>0.59055381085956793</v>
      </c>
      <c r="C58" s="6">
        <f>(DesignSheet!C11*DesignSheet!C13)*SIN((A58+DesignSheet!C16)) + (DesignSheet!C7)*SIN((DesignSheet!C11+1)*(A58+DesignSheet!C16)) - (DesignSheet!C6/2)*SIN(ATAN( SIN(DesignSheet!C11*(A58+DesignSheet!C16)) / ( COS(DesignSheet!C11*(A58+DesignSheet!C16)) + (DesignSheet!C11*DesignSheet!C13)/(DesignSheet!C7*(DesignSheet!C11+1)) ) )+(A58+DesignSheet!C16))</f>
        <v>-0.46232693678742282</v>
      </c>
    </row>
    <row r="59" spans="1:3" x14ac:dyDescent="0.3">
      <c r="A59" s="6">
        <f>2*PI()*57/(DesignSheet!C9-1)</f>
        <v>0.99483767363676778</v>
      </c>
      <c r="B59" s="6">
        <f>(DesignSheet!C11*DesignSheet!C13)*COS((A59+DesignSheet!C16)) + (DesignSheet!C7)*COS((DesignSheet!C11+1)*(A59+DesignSheet!C16)) - (DesignSheet!C6/2)*COS(ATAN( SIN(DesignSheet!C11*(A59+DesignSheet!C16)) / ( COS(DesignSheet!C11*(A59+DesignSheet!C16)) + (DesignSheet!C11*DesignSheet!C13)/(DesignSheet!C7*(DesignSheet!C11+1)) ) )+(A59+DesignSheet!C16))</f>
        <v>0.5985325842614807</v>
      </c>
      <c r="C59" s="6">
        <f>(DesignSheet!C11*DesignSheet!C13)*SIN((A59+DesignSheet!C16)) + (DesignSheet!C7)*SIN((DesignSheet!C11+1)*(A59+DesignSheet!C16)) - (DesignSheet!C6/2)*SIN(ATAN( SIN(DesignSheet!C11*(A59+DesignSheet!C16)) / ( COS(DesignSheet!C11*(A59+DesignSheet!C16)) + (DesignSheet!C11*DesignSheet!C13)/(DesignSheet!C7*(DesignSheet!C11+1)) ) )+(A59+DesignSheet!C16))</f>
        <v>-0.45194993702541153</v>
      </c>
    </row>
    <row r="60" spans="1:3" x14ac:dyDescent="0.3">
      <c r="A60" s="6">
        <f>2*PI()*58/(DesignSheet!C9-1)</f>
        <v>1.0122909661567112</v>
      </c>
      <c r="B60" s="6">
        <f>(DesignSheet!C11*DesignSheet!C13)*COS((A60+DesignSheet!C16)) + (DesignSheet!C7)*COS((DesignSheet!C11+1)*(A60+DesignSheet!C16)) - (DesignSheet!C6/2)*COS(ATAN( SIN(DesignSheet!C11*(A60+DesignSheet!C16)) / ( COS(DesignSheet!C11*(A60+DesignSheet!C16)) + (DesignSheet!C11*DesignSheet!C13)/(DesignSheet!C7*(DesignSheet!C11+1)) ) )+(A60+DesignSheet!C16))</f>
        <v>0.60632903884011224</v>
      </c>
      <c r="C60" s="6">
        <f>(DesignSheet!C11*DesignSheet!C13)*SIN((A60+DesignSheet!C16)) + (DesignSheet!C7)*SIN((DesignSheet!C11+1)*(A60+DesignSheet!C16)) - (DesignSheet!C6/2)*SIN(ATAN( SIN(DesignSheet!C11*(A60+DesignSheet!C16)) / ( COS(DesignSheet!C11*(A60+DesignSheet!C16)) + (DesignSheet!C11*DesignSheet!C13)/(DesignSheet!C7*(DesignSheet!C11+1)) ) )+(A60+DesignSheet!C16))</f>
        <v>-0.44143526893444479</v>
      </c>
    </row>
    <row r="61" spans="1:3" x14ac:dyDescent="0.3">
      <c r="A61" s="6">
        <f>2*PI()*59/(DesignSheet!C9-1)</f>
        <v>1.0297442586766543</v>
      </c>
      <c r="B61" s="6">
        <f>(DesignSheet!C11*DesignSheet!C13)*COS((A61+DesignSheet!C16)) + (DesignSheet!C7)*COS((DesignSheet!C11+1)*(A61+DesignSheet!C16)) - (DesignSheet!C6/2)*COS(ATAN( SIN(DesignSheet!C11*(A61+DesignSheet!C16)) / ( COS(DesignSheet!C11*(A61+DesignSheet!C16)) + (DesignSheet!C11*DesignSheet!C13)/(DesignSheet!C7*(DesignSheet!C11+1)) ) )+(A61+DesignSheet!C16))</f>
        <v>0.6139407997198717</v>
      </c>
      <c r="C61" s="6">
        <f>(DesignSheet!C11*DesignSheet!C13)*SIN((A61+DesignSheet!C16)) + (DesignSheet!C7)*SIN((DesignSheet!C11+1)*(A61+DesignSheet!C16)) - (DesignSheet!C6/2)*SIN(ATAN( SIN(DesignSheet!C11*(A61+DesignSheet!C16)) / ( COS(DesignSheet!C11*(A61+DesignSheet!C16)) + (DesignSheet!C11*DesignSheet!C13)/(DesignSheet!C7*(DesignSheet!C11+1)) ) )+(A61+DesignSheet!C16))</f>
        <v>-0.43078613538428134</v>
      </c>
    </row>
    <row r="62" spans="1:3" x14ac:dyDescent="0.3">
      <c r="A62" s="6">
        <f>2*PI()*60/(DesignSheet!C9-1)</f>
        <v>1.0471975511965976</v>
      </c>
      <c r="B62" s="6">
        <f>(DesignSheet!C11*DesignSheet!C13)*COS((A62+DesignSheet!C16)) + (DesignSheet!C7)*COS((DesignSheet!C11+1)*(A62+DesignSheet!C16)) - (DesignSheet!C6/2)*COS(ATAN( SIN(DesignSheet!C11*(A62+DesignSheet!C16)) / ( COS(DesignSheet!C11*(A62+DesignSheet!C16)) + (DesignSheet!C11*DesignSheet!C13)/(DesignSheet!C7*(DesignSheet!C11+1)) ) )+(A62+DesignSheet!C16))</f>
        <v>0.6213655482846584</v>
      </c>
      <c r="C62" s="6">
        <f>(DesignSheet!C11*DesignSheet!C13)*SIN((A62+DesignSheet!C16)) + (DesignSheet!C7)*SIN((DesignSheet!C11+1)*(A62+DesignSheet!C16)) - (DesignSheet!C6/2)*SIN(ATAN( SIN(DesignSheet!C11*(A62+DesignSheet!C16)) / ( COS(DesignSheet!C11*(A62+DesignSheet!C16)) + (DesignSheet!C11*DesignSheet!C13)/(DesignSheet!C7*(DesignSheet!C11+1)) ) )+(A62+DesignSheet!C16))</f>
        <v>-0.42000578020416085</v>
      </c>
    </row>
    <row r="63" spans="1:3" x14ac:dyDescent="0.3">
      <c r="A63" s="6">
        <f>2*PI()*61/(DesignSheet!C9-1)</f>
        <v>1.064650843716541</v>
      </c>
      <c r="B63" s="6">
        <f>(DesignSheet!C11*DesignSheet!C13)*COS((A63+DesignSheet!C16)) + (DesignSheet!C7)*COS((DesignSheet!C11+1)*(A63+DesignSheet!C16)) - (DesignSheet!C6/2)*COS(ATAN( SIN(DesignSheet!C11*(A63+DesignSheet!C16)) / ( COS(DesignSheet!C11*(A63+DesignSheet!C16)) + (DesignSheet!C11*DesignSheet!C13)/(DesignSheet!C7*(DesignSheet!C11+1)) ) )+(A63+DesignSheet!C16))</f>
        <v>0.62860102288413444</v>
      </c>
      <c r="C63" s="6">
        <f>(DesignSheet!C11*DesignSheet!C13)*SIN((A63+DesignSheet!C16)) + (DesignSheet!C7)*SIN((DesignSheet!C11+1)*(A63+DesignSheet!C16)) - (DesignSheet!C6/2)*SIN(ATAN( SIN(DesignSheet!C11*(A63+DesignSheet!C16)) / ( COS(DesignSheet!C11*(A63+DesignSheet!C16)) + (DesignSheet!C11*DesignSheet!C13)/(DesignSheet!C7*(DesignSheet!C11+1)) ) )+(A63+DesignSheet!C16))</f>
        <v>-0.40909748719470257</v>
      </c>
    </row>
    <row r="64" spans="1:3" x14ac:dyDescent="0.3">
      <c r="A64" s="6">
        <f>2*PI()*62/(DesignSheet!C9-1)</f>
        <v>1.0821041362364843</v>
      </c>
      <c r="B64" s="6">
        <f>(DesignSheet!C11*DesignSheet!C13)*COS((A64+DesignSheet!C16)) + (DesignSheet!C7)*COS((DesignSheet!C11+1)*(A64+DesignSheet!C16)) - (DesignSheet!C6/2)*COS(ATAN( SIN(DesignSheet!C11*(A64+DesignSheet!C16)) / ( COS(DesignSheet!C11*(A64+DesignSheet!C16)) + (DesignSheet!C11*DesignSheet!C13)/(DesignSheet!C7*(DesignSheet!C11+1)) ) )+(A64+DesignSheet!C16))</f>
        <v>0.63564501952264529</v>
      </c>
      <c r="C64" s="6">
        <f>(DesignSheet!C11*DesignSheet!C13)*SIN((A64+DesignSheet!C16)) + (DesignSheet!C7)*SIN((DesignSheet!C11+1)*(A64+DesignSheet!C16)) - (DesignSheet!C6/2)*SIN(ATAN( SIN(DesignSheet!C11*(A64+DesignSheet!C16)) / ( COS(DesignSheet!C11*(A64+DesignSheet!C16)) + (DesignSheet!C11*DesignSheet!C13)/(DesignSheet!C7*(DesignSheet!C11+1)) ) )+(A64+DesignSheet!C16))</f>
        <v>-0.39806457912762844</v>
      </c>
    </row>
    <row r="65" spans="1:3" x14ac:dyDescent="0.3">
      <c r="A65" s="6">
        <f>2*PI()*63/(DesignSheet!C9-1)</f>
        <v>1.0995574287564276</v>
      </c>
      <c r="B65" s="6">
        <f>(DesignSheet!C11*DesignSheet!C13)*COS((A65+DesignSheet!C16)) + (DesignSheet!C7)*COS((DesignSheet!C11+1)*(A65+DesignSheet!C16)) - (DesignSheet!C6/2)*COS(ATAN( SIN(DesignSheet!C11*(A65+DesignSheet!C16)) / ( COS(DesignSheet!C11*(A65+DesignSheet!C16)) + (DesignSheet!C11*DesignSheet!C13)/(DesignSheet!C7*(DesignSheet!C11+1)) ) )+(A65+DesignSheet!C16))</f>
        <v>0.64249539253057764</v>
      </c>
      <c r="C65" s="6">
        <f>(DesignSheet!C11*DesignSheet!C13)*SIN((A65+DesignSheet!C16)) + (DesignSheet!C7)*SIN((DesignSheet!C11+1)*(A65+DesignSheet!C16)) - (DesignSheet!C6/2)*SIN(ATAN( SIN(DesignSheet!C11*(A65+DesignSheet!C16)) / ( COS(DesignSheet!C11*(A65+DesignSheet!C16)) + (DesignSheet!C11*DesignSheet!C13)/(DesignSheet!C7*(DesignSheet!C11+1)) ) )+(A65+DesignSheet!C16))</f>
        <v>-0.38691041673361415</v>
      </c>
    </row>
    <row r="66" spans="1:3" x14ac:dyDescent="0.3">
      <c r="A66" s="6">
        <f>2*PI()*64/(DesignSheet!C9-1)</f>
        <v>1.1170107212763709</v>
      </c>
      <c r="B66" s="6">
        <f>(DesignSheet!C11*DesignSheet!C13)*COS((A66+DesignSheet!C16)) + (DesignSheet!C7)*COS((DesignSheet!C11+1)*(A66+DesignSheet!C16)) - (DesignSheet!C6/2)*COS(ATAN( SIN(DesignSheet!C11*(A66+DesignSheet!C16)) / ( COS(DesignSheet!C11*(A66+DesignSheet!C16)) + (DesignSheet!C11*DesignSheet!C13)/(DesignSheet!C7*(DesignSheet!C11+1)) ) )+(A66+DesignSheet!C16))</f>
        <v>0.64915005521795266</v>
      </c>
      <c r="C66" s="6">
        <f>(DesignSheet!C11*DesignSheet!C13)*SIN((A66+DesignSheet!C16)) + (DesignSheet!C7)*SIN((DesignSheet!C11+1)*(A66+DesignSheet!C16)) - (DesignSheet!C6/2)*SIN(ATAN( SIN(DesignSheet!C11*(A66+DesignSheet!C16)) / ( COS(DesignSheet!C11*(A66+DesignSheet!C16)) + (DesignSheet!C11*DesignSheet!C13)/(DesignSheet!C7*(DesignSheet!C11+1)) ) )+(A66+DesignSheet!C16))</f>
        <v>-0.37563839767857743</v>
      </c>
    </row>
    <row r="67" spans="1:3" x14ac:dyDescent="0.3">
      <c r="A67" s="6">
        <f>2*PI()*65/(DesignSheet!C9-1)</f>
        <v>1.1344640137963142</v>
      </c>
      <c r="B67" s="6">
        <f>(DesignSheet!C11*DesignSheet!C13)*COS((A67+DesignSheet!C16)) + (DesignSheet!C7)*COS((DesignSheet!C11+1)*(A67+DesignSheet!C16)) - (DesignSheet!C6/2)*COS(ATAN( SIN(DesignSheet!C11*(A67+DesignSheet!C16)) / ( COS(DesignSheet!C11*(A67+DesignSheet!C16)) + (DesignSheet!C11*DesignSheet!C13)/(DesignSheet!C7*(DesignSheet!C11+1)) ) )+(A67+DesignSheet!C16))</f>
        <v>0.65560698051005062</v>
      </c>
      <c r="C67" s="6">
        <f>(DesignSheet!C11*DesignSheet!C13)*SIN((A67+DesignSheet!C16)) + (DesignSheet!C7)*SIN((DesignSheet!C11+1)*(A67+DesignSheet!C16)) - (DesignSheet!C6/2)*SIN(ATAN( SIN(DesignSheet!C11*(A67+DesignSheet!C16)) / ( COS(DesignSheet!C11*(A67+DesignSheet!C16)) + (DesignSheet!C11*DesignSheet!C13)/(DesignSheet!C7*(DesignSheet!C11+1)) ) )+(A67+DesignSheet!C16))</f>
        <v>-0.36425195552871659</v>
      </c>
    </row>
    <row r="68" spans="1:3" x14ac:dyDescent="0.3">
      <c r="A68" s="6">
        <f>2*PI()*66/(DesignSheet!C9-1)</f>
        <v>1.1519173063162575</v>
      </c>
      <c r="B68" s="6">
        <f>(DesignSheet!C11*DesignSheet!C13)*COS((A68+DesignSheet!C16)) + (DesignSheet!C7)*COS((DesignSheet!C11+1)*(A68+DesignSheet!C16)) - (DesignSheet!C6/2)*COS(ATAN( SIN(DesignSheet!C11*(A68+DesignSheet!C16)) / ( COS(DesignSheet!C11*(A68+DesignSheet!C16)) + (DesignSheet!C11*DesignSheet!C13)/(DesignSheet!C7*(DesignSheet!C11+1)) ) )+(A68+DesignSheet!C16))</f>
        <v>0.6618642015648778</v>
      </c>
      <c r="C68" s="6">
        <f>(DesignSheet!C11*DesignSheet!C13)*SIN((A68+DesignSheet!C16)) + (DesignSheet!C7)*SIN((DesignSheet!C11+1)*(A68+DesignSheet!C16)) - (DesignSheet!C6/2)*SIN(ATAN( SIN(DesignSheet!C11*(A68+DesignSheet!C16)) / ( COS(DesignSheet!C11*(A68+DesignSheet!C16)) + (DesignSheet!C11*DesignSheet!C13)/(DesignSheet!C7*(DesignSheet!C11+1)) ) )+(A68+DesignSheet!C16))</f>
        <v>-0.35275455870461381</v>
      </c>
    </row>
    <row r="69" spans="1:3" x14ac:dyDescent="0.3">
      <c r="A69" s="6">
        <f>2*PI()*67/(DesignSheet!C9-1)</f>
        <v>1.1693705988362006</v>
      </c>
      <c r="B69" s="6">
        <f>(DesignSheet!C11*DesignSheet!C13)*COS((A69+DesignSheet!C16)) + (DesignSheet!C7)*COS((DesignSheet!C11+1)*(A69+DesignSheet!C16)) - (DesignSheet!C6/2)*COS(ATAN( SIN(DesignSheet!C11*(A69+DesignSheet!C16)) / ( COS(DesignSheet!C11*(A69+DesignSheet!C16)) + (DesignSheet!C11*DesignSheet!C13)/(DesignSheet!C7*(DesignSheet!C11+1)) ) )+(A69+DesignSheet!C16))</f>
        <v>0.66791981237228559</v>
      </c>
      <c r="C69" s="6">
        <f>(DesignSheet!C11*DesignSheet!C13)*SIN((A69+DesignSheet!C16)) + (DesignSheet!C7)*SIN((DesignSheet!C11+1)*(A69+DesignSheet!C16)) - (DesignSheet!C6/2)*SIN(ATAN( SIN(DesignSheet!C11*(A69+DesignSheet!C16)) / ( COS(DesignSheet!C11*(A69+DesignSheet!C16)) + (DesignSheet!C11*DesignSheet!C13)/(DesignSheet!C7*(DesignSheet!C11+1)) ) )+(A69+DesignSheet!C16))</f>
        <v>-0.34114970942471978</v>
      </c>
    </row>
    <row r="70" spans="1:3" x14ac:dyDescent="0.3">
      <c r="A70" s="6">
        <f>2*PI()*68/(DesignSheet!C9-1)</f>
        <v>1.1868238913561442</v>
      </c>
      <c r="B70" s="6">
        <f>(DesignSheet!C11*DesignSheet!C13)*COS((A70+DesignSheet!C16)) + (DesignSheet!C7)*COS((DesignSheet!C11+1)*(A70+DesignSheet!C16)) - (DesignSheet!C6/2)*COS(ATAN( SIN(DesignSheet!C11*(A70+DesignSheet!C16)) / ( COS(DesignSheet!C11*(A70+DesignSheet!C16)) + (DesignSheet!C11*DesignSheet!C13)/(DesignSheet!C7*(DesignSheet!C11+1)) ) )+(A70+DesignSheet!C16))</f>
        <v>0.67377196833456043</v>
      </c>
      <c r="C70" s="6">
        <f>(DesignSheet!C11*DesignSheet!C13)*SIN((A70+DesignSheet!C16)) + (DesignSheet!C7)*SIN((DesignSheet!C11+1)*(A70+DesignSheet!C16)) - (DesignSheet!C6/2)*SIN(ATAN( SIN(DesignSheet!C11*(A70+DesignSheet!C16)) / ( COS(DesignSheet!C11*(A70+DesignSheet!C16)) + (DesignSheet!C11*DesignSheet!C13)/(DesignSheet!C7*(DesignSheet!C11+1)) ) )+(A70+DesignSheet!C16))</f>
        <v>-0.32944094263854357</v>
      </c>
    </row>
    <row r="71" spans="1:3" x14ac:dyDescent="0.3">
      <c r="A71" s="6">
        <f>2*PI()*69/(DesignSheet!C9-1)</f>
        <v>1.2042771838760873</v>
      </c>
      <c r="B71" s="6">
        <f>(DesignSheet!C11*DesignSheet!C13)*COS((A71+DesignSheet!C16)) + (DesignSheet!C7)*COS((DesignSheet!C11+1)*(A71+DesignSheet!C16)) - (DesignSheet!C6/2)*COS(ATAN( SIN(DesignSheet!C11*(A71+DesignSheet!C16)) / ( COS(DesignSheet!C11*(A71+DesignSheet!C16)) + (DesignSheet!C11*DesignSheet!C13)/(DesignSheet!C7*(DesignSheet!C11+1)) ) )+(A71+DesignSheet!C16))</f>
        <v>0.67941888682830487</v>
      </c>
      <c r="C71" s="6">
        <f>(DesignSheet!C11*DesignSheet!C13)*SIN((A71+DesignSheet!C16)) + (DesignSheet!C7)*SIN((DesignSheet!C11+1)*(A71+DesignSheet!C16)) - (DesignSheet!C6/2)*SIN(ATAN( SIN(DesignSheet!C11*(A71+DesignSheet!C16)) / ( COS(DesignSheet!C11*(A71+DesignSheet!C16)) + (DesignSheet!C11*DesignSheet!C13)/(DesignSheet!C7*(DesignSheet!C11+1)) ) )+(A71+DesignSheet!C16))</f>
        <v>-0.31763182494987352</v>
      </c>
    </row>
    <row r="72" spans="1:3" x14ac:dyDescent="0.3">
      <c r="A72" s="6">
        <f>2*PI()*70/(DesignSheet!C9-1)</f>
        <v>1.2217304763960306</v>
      </c>
      <c r="B72" s="6">
        <f>(DesignSheet!C11*DesignSheet!C13)*COS((A72+DesignSheet!C16)) + (DesignSheet!C7)*COS((DesignSheet!C11+1)*(A72+DesignSheet!C16)) - (DesignSheet!C6/2)*COS(ATAN( SIN(DesignSheet!C11*(A72+DesignSheet!C16)) / ( COS(DesignSheet!C11*(A72+DesignSheet!C16)) + (DesignSheet!C11*DesignSheet!C13)/(DesignSheet!C7*(DesignSheet!C11+1)) ) )+(A72+DesignSheet!C16))</f>
        <v>0.68485884774744299</v>
      </c>
      <c r="C72" s="6">
        <f>(DesignSheet!C11*DesignSheet!C13)*SIN((A72+DesignSheet!C16)) + (DesignSheet!C7)*SIN((DesignSheet!C11+1)*(A72+DesignSheet!C16)) - (DesignSheet!C6/2)*SIN(ATAN( SIN(DesignSheet!C11*(A72+DesignSheet!C16)) / ( COS(DesignSheet!C11*(A72+DesignSheet!C16)) + (DesignSheet!C11*DesignSheet!C13)/(DesignSheet!C7*(DesignSheet!C11+1)) ) )+(A72+DesignSheet!C16))</f>
        <v>-0.30572595353035492</v>
      </c>
    </row>
    <row r="73" spans="1:3" x14ac:dyDescent="0.3">
      <c r="A73" s="6">
        <f>2*PI()*71/(DesignSheet!C9-1)</f>
        <v>1.2391837689159739</v>
      </c>
      <c r="B73" s="6">
        <f>(DesignSheet!C11*DesignSheet!C13)*COS((A73+DesignSheet!C16)) + (DesignSheet!C7)*COS((DesignSheet!C11+1)*(A73+DesignSheet!C16)) - (DesignSheet!C6/2)*COS(ATAN( SIN(DesignSheet!C11*(A73+DesignSheet!C16)) / ( COS(DesignSheet!C11*(A73+DesignSheet!C16)) + (DesignSheet!C11*DesignSheet!C13)/(DesignSheet!C7*(DesignSheet!C11+1)) ) )+(A73+DesignSheet!C16))</f>
        <v>0.69009019402718064</v>
      </c>
      <c r="C73" s="6">
        <f>(DesignSheet!C11*DesignSheet!C13)*SIN((A73+DesignSheet!C16)) + (DesignSheet!C7)*SIN((DesignSheet!C11+1)*(A73+DesignSheet!C16)) - (DesignSheet!C6/2)*SIN(ATAN( SIN(DesignSheet!C11*(A73+DesignSheet!C16)) / ( COS(DesignSheet!C11*(A73+DesignSheet!C16)) + (DesignSheet!C11*DesignSheet!C13)/(DesignSheet!C7*(DesignSheet!C11+1)) ) )+(A73+DesignSheet!C16))</f>
        <v>-0.29372695502375712</v>
      </c>
    </row>
    <row r="74" spans="1:3" x14ac:dyDescent="0.3">
      <c r="A74" s="6">
        <f>2*PI()*72/(DesignSheet!C9-1)</f>
        <v>1.2566370614359172</v>
      </c>
      <c r="B74" s="6">
        <f>(DesignSheet!C11*DesignSheet!C13)*COS((A74+DesignSheet!C16)) + (DesignSheet!C7)*COS((DesignSheet!C11+1)*(A74+DesignSheet!C16)) - (DesignSheet!C6/2)*COS(ATAN( SIN(DesignSheet!C11*(A74+DesignSheet!C16)) / ( COS(DesignSheet!C11*(A74+DesignSheet!C16)) + (DesignSheet!C11*DesignSheet!C13)/(DesignSheet!C7*(DesignSheet!C11+1)) ) )+(A74+DesignSheet!C16))</f>
        <v>0.69511133214876364</v>
      </c>
      <c r="C74" s="6">
        <f>(DesignSheet!C11*DesignSheet!C13)*SIN((A74+DesignSheet!C16)) + (DesignSheet!C7)*SIN((DesignSheet!C11+1)*(A74+DesignSheet!C16)) - (DesignSheet!C6/2)*SIN(ATAN( SIN(DesignSheet!C11*(A74+DesignSheet!C16)) / ( COS(DesignSheet!C11*(A74+DesignSheet!C16)) + (DesignSheet!C11*DesignSheet!C13)/(DesignSheet!C7*(DesignSheet!C11+1)) ) )+(A74+DesignSheet!C16))</f>
        <v>-0.28163848444126249</v>
      </c>
    </row>
    <row r="75" spans="1:3" x14ac:dyDescent="0.3">
      <c r="A75" s="6">
        <f>2*PI()*73/(DesignSheet!C9-1)</f>
        <v>1.2740903539558606</v>
      </c>
      <c r="B75" s="6">
        <f>(DesignSheet!C11*DesignSheet!C13)*COS((A75+DesignSheet!C16)) + (DesignSheet!C7)*COS((DesignSheet!C11+1)*(A75+DesignSheet!C16)) - (DesignSheet!C6/2)*COS(ATAN( SIN(DesignSheet!C11*(A75+DesignSheet!C16)) / ( COS(DesignSheet!C11*(A75+DesignSheet!C16)) + (DesignSheet!C11*DesignSheet!C13)/(DesignSheet!C7*(DesignSheet!C11+1)) ) )+(A75+DesignSheet!C16))</f>
        <v>0.69992073262487942</v>
      </c>
      <c r="C75" s="6">
        <f>(DesignSheet!C11*DesignSheet!C13)*SIN((A75+DesignSheet!C16)) + (DesignSheet!C7)*SIN((DesignSheet!C11+1)*(A75+DesignSheet!C16)) - (DesignSheet!C6/2)*SIN(ATAN( SIN(DesignSheet!C11*(A75+DesignSheet!C16)) / ( COS(DesignSheet!C11*(A75+DesignSheet!C16)) + (DesignSheet!C11*DesignSheet!C13)/(DesignSheet!C7*(DesignSheet!C11+1)) ) )+(A75+DesignSheet!C16))</f>
        <v>-0.26946422404811377</v>
      </c>
    </row>
    <row r="76" spans="1:3" x14ac:dyDescent="0.3">
      <c r="A76" s="6">
        <f>2*PI()*74/(DesignSheet!C9-1)</f>
        <v>1.2915436464758039</v>
      </c>
      <c r="B76" s="6">
        <f>(DesignSheet!C11*DesignSheet!C13)*COS((A76+DesignSheet!C16)) + (DesignSheet!C7)*COS((DesignSheet!C11+1)*(A76+DesignSheet!C16)) - (DesignSheet!C6/2)*COS(ATAN( SIN(DesignSheet!C11*(A76+DesignSheet!C16)) / ( COS(DesignSheet!C11*(A76+DesignSheet!C16)) + (DesignSheet!C11*DesignSheet!C13)/(DesignSheet!C7*(DesignSheet!C11+1)) ) )+(A76+DesignSheet!C16))</f>
        <v>0.70451693046555341</v>
      </c>
      <c r="C76" s="6">
        <f>(DesignSheet!C11*DesignSheet!C13)*SIN((A76+DesignSheet!C16)) + (DesignSheet!C7)*SIN((DesignSheet!C11+1)*(A76+DesignSheet!C16)) - (DesignSheet!C6/2)*SIN(ATAN( SIN(DesignSheet!C11*(A76+DesignSheet!C16)) / ( COS(DesignSheet!C11*(A76+DesignSheet!C16)) + (DesignSheet!C11*DesignSheet!C13)/(DesignSheet!C7*(DesignSheet!C11+1)) ) )+(A76+DesignSheet!C16))</f>
        <v>-0.25720788224196117</v>
      </c>
    </row>
    <row r="77" spans="1:3" x14ac:dyDescent="0.3">
      <c r="A77" s="6">
        <f>2*PI()*75/(DesignSheet!C9-1)</f>
        <v>1.3089969389957472</v>
      </c>
      <c r="B77" s="6">
        <f>(DesignSheet!C11*DesignSheet!C13)*COS((A77+DesignSheet!C16)) + (DesignSheet!C7)*COS((DesignSheet!C11+1)*(A77+DesignSheet!C16)) - (DesignSheet!C6/2)*COS(ATAN( SIN(DesignSheet!C11*(A77+DesignSheet!C16)) / ( COS(DesignSheet!C11*(A77+DesignSheet!C16)) + (DesignSheet!C11*DesignSheet!C13)/(DesignSheet!C7*(DesignSheet!C11+1)) ) )+(A77+DesignSheet!C16))</f>
        <v>0.70889852562439881</v>
      </c>
      <c r="C77" s="6">
        <f>(DesignSheet!C11*DesignSheet!C13)*SIN((A77+DesignSheet!C16)) + (DesignSheet!C7)*SIN((DesignSheet!C11+1)*(A77+DesignSheet!C16)) - (DesignSheet!C6/2)*SIN(ATAN( SIN(DesignSheet!C11*(A77+DesignSheet!C16)) / ( COS(DesignSheet!C11*(A77+DesignSheet!C16)) + (DesignSheet!C11*DesignSheet!C13)/(DesignSheet!C7*(DesignSheet!C11+1)) ) )+(A77+DesignSheet!C16))</f>
        <v>-0.24487319242324895</v>
      </c>
    </row>
    <row r="78" spans="1:3" x14ac:dyDescent="0.3">
      <c r="A78" s="6">
        <f>2*PI()*76/(DesignSheet!C9-1)</f>
        <v>1.3264502315156903</v>
      </c>
      <c r="B78" s="6">
        <f>(DesignSheet!C11*DesignSheet!C13)*COS((A78+DesignSheet!C16)) + (DesignSheet!C7)*COS((DesignSheet!C11+1)*(A78+DesignSheet!C16)) - (DesignSheet!C6/2)*COS(ATAN( SIN(DesignSheet!C11*(A78+DesignSheet!C16)) / ( COS(DesignSheet!C11*(A78+DesignSheet!C16)) + (DesignSheet!C11*DesignSheet!C13)/(DesignSheet!C7*(DesignSheet!C11+1)) ) )+(A78+DesignSheet!C16))</f>
        <v>0.71306418342508482</v>
      </c>
      <c r="C78" s="6">
        <f>(DesignSheet!C11*DesignSheet!C13)*SIN((A78+DesignSheet!C16)) + (DesignSheet!C7)*SIN((DesignSheet!C11+1)*(A78+DesignSheet!C16)) - (DesignSheet!C6/2)*SIN(ATAN( SIN(DesignSheet!C11*(A78+DesignSheet!C16)) / ( COS(DesignSheet!C11*(A78+DesignSheet!C16)) + (DesignSheet!C11*DesignSheet!C13)/(DesignSheet!C7*(DesignSheet!C11+1)) ) )+(A78+DesignSheet!C16))</f>
        <v>-0.23246391185798504</v>
      </c>
    </row>
    <row r="79" spans="1:3" x14ac:dyDescent="0.3">
      <c r="A79" s="6">
        <f>2*PI()*77/(DesignSheet!C9-1)</f>
        <v>1.3439035240356338</v>
      </c>
      <c r="B79" s="6">
        <f>(DesignSheet!C11*DesignSheet!C13)*COS((A79+DesignSheet!C16)) + (DesignSheet!C7)*COS((DesignSheet!C11+1)*(A79+DesignSheet!C16)) - (DesignSheet!C6/2)*COS(ATAN( SIN(DesignSheet!C11*(A79+DesignSheet!C16)) / ( COS(DesignSheet!C11*(A79+DesignSheet!C16)) + (DesignSheet!C11*DesignSheet!C13)/(DesignSheet!C7*(DesignSheet!C11+1)) ) )+(A79+DesignSheet!C16))</f>
        <v>0.71701263496789158</v>
      </c>
      <c r="C79" s="6">
        <f>(DesignSheet!C11*DesignSheet!C13)*SIN((A79+DesignSheet!C16)) + (DesignSheet!C7)*SIN((DesignSheet!C11+1)*(A79+DesignSheet!C16)) - (DesignSheet!C6/2)*SIN(ATAN( SIN(DesignSheet!C11*(A79+DesignSheet!C16)) / ( COS(DesignSheet!C11*(A79+DesignSheet!C16)) + (DesignSheet!C11*DesignSheet!C13)/(DesignSheet!C7*(DesignSheet!C11+1)) ) )+(A79+DesignSheet!C16))</f>
        <v>-0.21998382053324073</v>
      </c>
    </row>
    <row r="80" spans="1:3" x14ac:dyDescent="0.3">
      <c r="A80" s="6">
        <f>2*PI()*78/(DesignSheet!C9-1)</f>
        <v>1.3613568165555769</v>
      </c>
      <c r="B80" s="6">
        <f>(DesignSheet!C11*DesignSheet!C13)*COS((A80+DesignSheet!C16)) + (DesignSheet!C7)*COS((DesignSheet!C11+1)*(A80+DesignSheet!C16)) - (DesignSheet!C6/2)*COS(ATAN( SIN(DesignSheet!C11*(A80+DesignSheet!C16)) / ( COS(DesignSheet!C11*(A80+DesignSheet!C16)) + (DesignSheet!C11*DesignSheet!C13)/(DesignSheet!C7*(DesignSheet!C11+1)) ) )+(A80+DesignSheet!C16))</f>
        <v>0.72074267751622978</v>
      </c>
      <c r="C80" s="6">
        <f>(DesignSheet!C11*DesignSheet!C13)*SIN((A80+DesignSheet!C16)) + (DesignSheet!C7)*SIN((DesignSheet!C11+1)*(A80+DesignSheet!C16)) - (DesignSheet!C6/2)*SIN(ATAN( SIN(DesignSheet!C11*(A80+DesignSheet!C16)) / ( COS(DesignSheet!C11*(A80+DesignSheet!C16)) + (DesignSheet!C11*DesignSheet!C13)/(DesignSheet!C7*(DesignSheet!C11+1)) ) )+(A80+DesignSheet!C16))</f>
        <v>-0.20743672000573082</v>
      </c>
    </row>
    <row r="81" spans="1:3" x14ac:dyDescent="0.3">
      <c r="A81" s="6">
        <f>2*PI()*79/(DesignSheet!C9-1)</f>
        <v>1.3788101090755203</v>
      </c>
      <c r="B81" s="6">
        <f>(DesignSheet!C11*DesignSheet!C13)*COS((A81+DesignSheet!C16)) + (DesignSheet!C7)*COS((DesignSheet!C11+1)*(A81+DesignSheet!C16)) - (DesignSheet!C6/2)*COS(ATAN( SIN(DesignSheet!C11*(A81+DesignSheet!C16)) / ( COS(DesignSheet!C11*(A81+DesignSheet!C16)) + (DesignSheet!C11*DesignSheet!C13)/(DesignSheet!C7*(DesignSheet!C11+1)) ) )+(A81+DesignSheet!C16))</f>
        <v>0.72425317486300556</v>
      </c>
      <c r="C81" s="6">
        <f>(DesignSheet!C11*DesignSheet!C13)*SIN((A81+DesignSheet!C16)) + (DesignSheet!C7)*SIN((DesignSheet!C11+1)*(A81+DesignSheet!C16)) - (DesignSheet!C6/2)*SIN(ATAN( SIN(DesignSheet!C11*(A81+DesignSheet!C16)) / ( COS(DesignSheet!C11*(A81+DesignSheet!C16)) + (DesignSheet!C11*DesignSheet!C13)/(DesignSheet!C7*(DesignSheet!C11+1)) ) )+(A81+DesignSheet!C16))</f>
        <v>-0.19482643224382229</v>
      </c>
    </row>
    <row r="82" spans="1:3" x14ac:dyDescent="0.3">
      <c r="A82" s="6">
        <f>2*PI()*80/(DesignSheet!C9-1)</f>
        <v>1.3962634015954636</v>
      </c>
      <c r="B82" s="6">
        <f>(DesignSheet!C11*DesignSheet!C13)*COS((A82+DesignSheet!C16)) + (DesignSheet!C7)*COS((DesignSheet!C11+1)*(A82+DesignSheet!C16)) - (DesignSheet!C6/2)*COS(ATAN( SIN(DesignSheet!C11*(A82+DesignSheet!C16)) / ( COS(DesignSheet!C11*(A82+DesignSheet!C16)) + (DesignSheet!C11*DesignSheet!C13)/(DesignSheet!C7*(DesignSheet!C11+1)) ) )+(A82+DesignSheet!C16))</f>
        <v>0.72754305767672012</v>
      </c>
      <c r="C82" s="6">
        <f>(DesignSheet!C11*DesignSheet!C13)*SIN((A82+DesignSheet!C16)) + (DesignSheet!C7)*SIN((DesignSheet!C11+1)*(A82+DesignSheet!C16)) - (DesignSheet!C6/2)*SIN(ATAN( SIN(DesignSheet!C11*(A82+DesignSheet!C16)) / ( COS(DesignSheet!C11*(A82+DesignSheet!C16)) + (DesignSheet!C11*DesignSheet!C13)/(DesignSheet!C7*(DesignSheet!C11+1)) ) )+(A82+DesignSheet!C16))</f>
        <v>-0.18215679846332619</v>
      </c>
    </row>
    <row r="83" spans="1:3" x14ac:dyDescent="0.3">
      <c r="A83" s="6">
        <f>2*PI()*81/(DesignSheet!C9-1)</f>
        <v>1.4137166941154069</v>
      </c>
      <c r="B83" s="6">
        <f>(DesignSheet!C11*DesignSheet!C13)*COS((A83+DesignSheet!C16)) + (DesignSheet!C7)*COS((DesignSheet!C11+1)*(A83+DesignSheet!C16)) - (DesignSheet!C6/2)*COS(ATAN( SIN(DesignSheet!C11*(A83+DesignSheet!C16)) / ( COS(DesignSheet!C11*(A83+DesignSheet!C16)) + (DesignSheet!C11*DesignSheet!C13)/(DesignSheet!C7*(DesignSheet!C11+1)) ) )+(A83+DesignSheet!C16))</f>
        <v>0.73061132382719829</v>
      </c>
      <c r="C83" s="6">
        <f>(DesignSheet!C11*DesignSheet!C13)*SIN((A83+DesignSheet!C16)) + (DesignSheet!C7)*SIN((DesignSheet!C11+1)*(A83+DesignSheet!C16)) - (DesignSheet!C6/2)*SIN(ATAN( SIN(DesignSheet!C11*(A83+DesignSheet!C16)) / ( COS(DesignSheet!C11*(A83+DesignSheet!C16)) + (DesignSheet!C11*DesignSheet!C13)/(DesignSheet!C7*(DesignSheet!C11+1)) ) )+(A83+DesignSheet!C16))</f>
        <v>-0.16943167795742597</v>
      </c>
    </row>
    <row r="84" spans="1:3" x14ac:dyDescent="0.3">
      <c r="A84" s="6">
        <f>2*PI()*82/(DesignSheet!C9-1)</f>
        <v>1.43116998663535</v>
      </c>
      <c r="B84" s="6">
        <f>(DesignSheet!C11*DesignSheet!C13)*COS((A84+DesignSheet!C16)) + (DesignSheet!C7)*COS((DesignSheet!C11+1)*(A84+DesignSheet!C16)) - (DesignSheet!C6/2)*COS(ATAN( SIN(DesignSheet!C11*(A84+DesignSheet!C16)) / ( COS(DesignSheet!C11*(A84+DesignSheet!C16)) + (DesignSheet!C11*DesignSheet!C13)/(DesignSheet!C7*(DesignSheet!C11+1)) ) )+(A84+DesignSheet!C16))</f>
        <v>0.73345703869084788</v>
      </c>
      <c r="C84" s="6">
        <f>(DesignSheet!C11*DesignSheet!C13)*SIN((A84+DesignSheet!C16)) + (DesignSheet!C7)*SIN((DesignSheet!C11+1)*(A84+DesignSheet!C16)) - (DesignSheet!C6/2)*SIN(ATAN( SIN(DesignSheet!C11*(A84+DesignSheet!C16)) / ( COS(DesignSheet!C11*(A84+DesignSheet!C16)) + (DesignSheet!C11*DesignSheet!C13)/(DesignSheet!C7*(DesignSheet!C11+1)) ) )+(A84+DesignSheet!C16))</f>
        <v>-0.15665494692109844</v>
      </c>
    </row>
    <row r="85" spans="1:3" x14ac:dyDescent="0.3">
      <c r="A85" s="6">
        <f>2*PI()*83/(DesignSheet!C9-1)</f>
        <v>1.4486232791552935</v>
      </c>
      <c r="B85" s="6">
        <f>(DesignSheet!C11*DesignSheet!C13)*COS((A85+DesignSheet!C16)) + (DesignSheet!C7)*COS((DesignSheet!C11+1)*(A85+DesignSheet!C16)) - (DesignSheet!C6/2)*COS(ATAN( SIN(DesignSheet!C11*(A85+DesignSheet!C16)) / ( COS(DesignSheet!C11*(A85+DesignSheet!C16)) + (DesignSheet!C11*DesignSheet!C13)/(DesignSheet!C7*(DesignSheet!C11+1)) ) )+(A85+DesignSheet!C16))</f>
        <v>0.73607933543535442</v>
      </c>
      <c r="C85" s="6">
        <f>(DesignSheet!C11*DesignSheet!C13)*SIN((A85+DesignSheet!C16)) + (DesignSheet!C7)*SIN((DesignSheet!C11+1)*(A85+DesignSheet!C16)) - (DesignSheet!C6/2)*SIN(ATAN( SIN(DesignSheet!C11*(A85+DesignSheet!C16)) / ( COS(DesignSheet!C11*(A85+DesignSheet!C16)) + (DesignSheet!C11*DesignSheet!C13)/(DesignSheet!C7*(DesignSheet!C11+1)) ) )+(A85+DesignSheet!C16))</f>
        <v>-0.14383049727038785</v>
      </c>
    </row>
    <row r="86" spans="1:3" x14ac:dyDescent="0.3">
      <c r="A86" s="6">
        <f>2*PI()*84/(DesignSheet!C9-1)</f>
        <v>1.4660765716752369</v>
      </c>
      <c r="B86" s="6">
        <f>(DesignSheet!C11*DesignSheet!C13)*COS((A86+DesignSheet!C16)) + (DesignSheet!C7)*COS((DesignSheet!C11+1)*(A86+DesignSheet!C16)) - (DesignSheet!C6/2)*COS(ATAN( SIN(DesignSheet!C11*(A86+DesignSheet!C16)) / ( COS(DesignSheet!C11*(A86+DesignSheet!C16)) + (DesignSheet!C11*DesignSheet!C13)/(DesignSheet!C7*(DesignSheet!C11+1)) ) )+(A86+DesignSheet!C16))</f>
        <v>0.73847741528372668</v>
      </c>
      <c r="C86" s="6">
        <f>(DesignSheet!C11*DesignSheet!C13)*SIN((A86+DesignSheet!C16)) + (DesignSheet!C7)*SIN((DesignSheet!C11+1)*(A86+DesignSheet!C16)) - (DesignSheet!C6/2)*SIN(ATAN( SIN(DesignSheet!C11*(A86+DesignSheet!C16)) / ( COS(DesignSheet!C11*(A86+DesignSheet!C16)) + (DesignSheet!C11*DesignSheet!C13)/(DesignSheet!C7*(DesignSheet!C11+1)) ) )+(A86+DesignSheet!C16))</f>
        <v>-0.13096223545689137</v>
      </c>
    </row>
    <row r="87" spans="1:3" x14ac:dyDescent="0.3">
      <c r="A87" s="6">
        <f>2*PI()*85/(DesignSheet!C9-1)</f>
        <v>1.4835298641951802</v>
      </c>
      <c r="B87" s="6">
        <f>(DesignSheet!C11*DesignSheet!C13)*COS((A87+DesignSheet!C16)) + (DesignSheet!C7)*COS((DesignSheet!C11+1)*(A87+DesignSheet!C16)) - (DesignSheet!C6/2)*COS(ATAN( SIN(DesignSheet!C11*(A87+DesignSheet!C16)) / ( COS(DesignSheet!C11*(A87+DesignSheet!C16)) + (DesignSheet!C11*DesignSheet!C13)/(DesignSheet!C7*(DesignSheet!C11+1)) ) )+(A87+DesignSheet!C16))</f>
        <v>0.74065054775761219</v>
      </c>
      <c r="C87" s="6">
        <f>(DesignSheet!C11*DesignSheet!C13)*SIN((A87+DesignSheet!C16)) + (DesignSheet!C7)*SIN((DesignSheet!C11+1)*(A87+DesignSheet!C16)) - (DesignSheet!C6/2)*SIN(ATAN( SIN(DesignSheet!C11*(A87+DesignSheet!C16)) / ( COS(DesignSheet!C11*(A87+DesignSheet!C16)) + (DesignSheet!C11*DesignSheet!C13)/(DesignSheet!C7*(DesignSheet!C11+1)) ) )+(A87+DesignSheet!C16))</f>
        <v>-0.11805408127781541</v>
      </c>
    </row>
    <row r="88" spans="1:3" x14ac:dyDescent="0.3">
      <c r="A88" s="6">
        <f>2*PI()*86/(DesignSheet!C9-1)</f>
        <v>1.5009831567151233</v>
      </c>
      <c r="B88" s="6">
        <f>(DesignSheet!C11*DesignSheet!C13)*COS((A88+DesignSheet!C16)) + (DesignSheet!C7)*COS((DesignSheet!C11+1)*(A88+DesignSheet!C16)) - (DesignSheet!C6/2)*COS(ATAN( SIN(DesignSheet!C11*(A88+DesignSheet!C16)) / ( COS(DesignSheet!C11*(A88+DesignSheet!C16)) + (DesignSheet!C11*DesignSheet!C13)/(DesignSheet!C7*(DesignSheet!C11+1)) ) )+(A88+DesignSheet!C16))</f>
        <v>0.74259807089980767</v>
      </c>
      <c r="C88" s="6">
        <f>(DesignSheet!C11*DesignSheet!C13)*SIN((A88+DesignSheet!C16)) + (DesignSheet!C7)*SIN((DesignSheet!C11+1)*(A88+DesignSheet!C16)) - (DesignSheet!C6/2)*SIN(ATAN( SIN(DesignSheet!C11*(A88+DesignSheet!C16)) / ( COS(DesignSheet!C11*(A88+DesignSheet!C16)) + (DesignSheet!C11*DesignSheet!C13)/(DesignSheet!C7*(DesignSheet!C11+1)) ) )+(A88+DesignSheet!C16))</f>
        <v>-0.10510996668196665</v>
      </c>
    </row>
    <row r="89" spans="1:3" x14ac:dyDescent="0.3">
      <c r="A89" s="6">
        <f>2*PI()*87/(DesignSheet!C9-1)</f>
        <v>1.5184364492350666</v>
      </c>
      <c r="B89" s="6">
        <f>(DesignSheet!C11*DesignSheet!C13)*COS((A89+DesignSheet!C16)) + (DesignSheet!C7)*COS((DesignSheet!C11+1)*(A89+DesignSheet!C16)) - (DesignSheet!C6/2)*COS(ATAN( SIN(DesignSheet!C11*(A89+DesignSheet!C16)) / ( COS(DesignSheet!C11*(A89+DesignSheet!C16)) + (DesignSheet!C11*DesignSheet!C13)/(DesignSheet!C7*(DesignSheet!C11+1)) ) )+(A89+DesignSheet!C16))</f>
        <v>0.7443193914758981</v>
      </c>
      <c r="C89" s="6">
        <f>(DesignSheet!C11*DesignSheet!C13)*SIN((A89+DesignSheet!C16)) + (DesignSheet!C7)*SIN((DesignSheet!C11+1)*(A89+DesignSheet!C16)) - (DesignSheet!C6/2)*SIN(ATAN( SIN(DesignSheet!C11*(A89+DesignSheet!C16)) / ( COS(DesignSheet!C11*(A89+DesignSheet!C16)) + (DesignSheet!C11*DesignSheet!C13)/(DesignSheet!C7*(DesignSheet!C11+1)) ) )+(A89+DesignSheet!C16))</f>
        <v>-9.2133834572043466E-2</v>
      </c>
    </row>
    <row r="90" spans="1:3" x14ac:dyDescent="0.3">
      <c r="A90" s="6">
        <f>2*PI()*88/(DesignSheet!C9-1)</f>
        <v>1.5358897417550099</v>
      </c>
      <c r="B90" s="6">
        <f>(DesignSheet!C11*DesignSheet!C13)*COS((A90+DesignSheet!C16)) + (DesignSheet!C7)*COS((DesignSheet!C11+1)*(A90+DesignSheet!C16)) - (DesignSheet!C6/2)*COS(ATAN( SIN(DesignSheet!C11*(A90+DesignSheet!C16)) / ( COS(DesignSheet!C11*(A90+DesignSheet!C16)) + (DesignSheet!C11*DesignSheet!C13)/(DesignSheet!C7*(DesignSheet!C11+1)) ) )+(A90+DesignSheet!C16))</f>
        <v>0.74581398515496122</v>
      </c>
      <c r="C90" s="6">
        <f>(DesignSheet!C11*DesignSheet!C13)*SIN((A90+DesignSheet!C16)) + (DesignSheet!C7)*SIN((DesignSheet!C11+1)*(A90+DesignSheet!C16)) - (DesignSheet!C6/2)*SIN(ATAN( SIN(DesignSheet!C11*(A90+DesignSheet!C16)) / ( COS(DesignSheet!C11*(A90+DesignSheet!C16)) + (DesignSheet!C11*DesignSheet!C13)/(DesignSheet!C7*(DesignSheet!C11+1)) ) )+(A90+DesignSheet!C16))</f>
        <v>-7.9129637603588793E-2</v>
      </c>
    </row>
    <row r="91" spans="1:3" x14ac:dyDescent="0.3">
      <c r="A91" s="6">
        <f>2*PI()*89/(DesignSheet!C9-1)</f>
        <v>1.5533430342749535</v>
      </c>
      <c r="B91" s="6">
        <f>(DesignSheet!C11*DesignSheet!C13)*COS((A91+DesignSheet!C16)) + (DesignSheet!C7)*COS((DesignSheet!C11+1)*(A91+DesignSheet!C16)) - (DesignSheet!C6/2)*COS(ATAN( SIN(DesignSheet!C11*(A91+DesignSheet!C16)) / ( COS(DesignSheet!C11*(A91+DesignSheet!C16)) + (DesignSheet!C11*DesignSheet!C13)/(DesignSheet!C7*(DesignSheet!C11+1)) ) )+(A91+DesignSheet!C16))</f>
        <v>0.74708139666928375</v>
      </c>
      <c r="C91" s="6">
        <f>(DesignSheet!C11*DesignSheet!C13)*SIN((A91+DesignSheet!C16)) + (DesignSheet!C7)*SIN((DesignSheet!C11+1)*(A91+DesignSheet!C16)) - (DesignSheet!C6/2)*SIN(ATAN( SIN(DesignSheet!C11*(A91+DesignSheet!C16)) / ( COS(DesignSheet!C11*(A91+DesignSheet!C16)) + (DesignSheet!C11*DesignSheet!C13)/(DesignSheet!C7*(DesignSheet!C11+1)) ) )+(A91+DesignSheet!C16))</f>
        <v>-6.6101336980974063E-2</v>
      </c>
    </row>
    <row r="92" spans="1:3" x14ac:dyDescent="0.3">
      <c r="A92" s="6">
        <f>2*PI()*90/(DesignSheet!C9-1)</f>
        <v>1.5707963267948966</v>
      </c>
      <c r="B92" s="6">
        <f>(DesignSheet!C11*DesignSheet!C13)*COS((A92+DesignSheet!C16)) + (DesignSheet!C7)*COS((DesignSheet!C11+1)*(A92+DesignSheet!C16)) - (DesignSheet!C6/2)*COS(ATAN( SIN(DesignSheet!C11*(A92+DesignSheet!C16)) / ( COS(DesignSheet!C11*(A92+DesignSheet!C16)) + (DesignSheet!C11*DesignSheet!C13)/(DesignSheet!C7*(DesignSheet!C11+1)) ) )+(A92+DesignSheet!C16))</f>
        <v>0.74812123995304081</v>
      </c>
      <c r="C92" s="6">
        <f>(DesignSheet!C11*DesignSheet!C13)*SIN((A92+DesignSheet!C16)) + (DesignSheet!C7)*SIN((DesignSheet!C11+1)*(A92+DesignSheet!C16)) - (DesignSheet!C6/2)*SIN(ATAN( SIN(DesignSheet!C11*(A92+DesignSheet!C16)) / ( COS(DesignSheet!C11*(A92+DesignSheet!C16)) + (DesignSheet!C11*DesignSheet!C13)/(DesignSheet!C7*(DesignSheet!C11+1)) ) )+(A92+DesignSheet!C16))</f>
        <v>-5.3052901250777232E-2</v>
      </c>
    </row>
    <row r="93" spans="1:3" x14ac:dyDescent="0.3">
      <c r="A93" s="6">
        <f>2*PI()*91/(DesignSheet!C9-1)</f>
        <v>1.5882496193148399</v>
      </c>
      <c r="B93" s="6">
        <f>(DesignSheet!C11*DesignSheet!C13)*COS((A93+DesignSheet!C16)) + (DesignSheet!C7)*COS((DesignSheet!C11+1)*(A93+DesignSheet!C16)) - (DesignSheet!C6/2)*COS(ATAN( SIN(DesignSheet!C11*(A93+DesignSheet!C16)) / ( COS(DesignSheet!C11*(A93+DesignSheet!C16)) + (DesignSheet!C11*DesignSheet!C13)/(DesignSheet!C7*(DesignSheet!C11+1)) ) )+(A93+DesignSheet!C16))</f>
        <v>0.74893319825989502</v>
      </c>
      <c r="C93" s="6">
        <f>(DesignSheet!C11*DesignSheet!C13)*SIN((A93+DesignSheet!C16)) + (DesignSheet!C7)*SIN((DesignSheet!C11+1)*(A93+DesignSheet!C16)) - (DesignSheet!C6/2)*SIN(ATAN( SIN(DesignSheet!C11*(A93+DesignSheet!C16)) / ( COS(DesignSheet!C11*(A93+DesignSheet!C16)) + (DesignSheet!C11*DesignSheet!C13)/(DesignSheet!C7*(DesignSheet!C11+1)) ) )+(A93+DesignSheet!C16))</f>
        <v>-3.9988305092924413E-2</v>
      </c>
    </row>
    <row r="94" spans="1:3" x14ac:dyDescent="0.3">
      <c r="A94" s="6">
        <f>2*PI()*92/(DesignSheet!C9-1)</f>
        <v>1.605702911834783</v>
      </c>
      <c r="B94" s="6">
        <f>(DesignSheet!C11*DesignSheet!C13)*COS((A94+DesignSheet!C16)) + (DesignSheet!C7)*COS((DesignSheet!C11+1)*(A94+DesignSheet!C16)) - (DesignSheet!C6/2)*COS(ATAN( SIN(DesignSheet!C11*(A94+DesignSheet!C16)) / ( COS(DesignSheet!C11*(A94+DesignSheet!C16)) + (DesignSheet!C11*DesignSheet!C13)/(DesignSheet!C7*(DesignSheet!C11+1)) ) )+(A94+DesignSheet!C16))</f>
        <v>0.74951702425948041</v>
      </c>
      <c r="C94" s="6">
        <f>(DesignSheet!C11*DesignSheet!C13)*SIN((A94+DesignSheet!C16)) + (DesignSheet!C7)*SIN((DesignSheet!C11+1)*(A94+DesignSheet!C16)) - (DesignSheet!C6/2)*SIN(ATAN( SIN(DesignSheet!C11*(A94+DesignSheet!C16)) / ( COS(DesignSheet!C11*(A94+DesignSheet!C16)) + (DesignSheet!C11*DesignSheet!C13)/(DesignSheet!C7*(DesignSheet!C11+1)) ) )+(A94+DesignSheet!C16))</f>
        <v>-2.6911528109964885E-2</v>
      </c>
    </row>
    <row r="95" spans="1:3" x14ac:dyDescent="0.3">
      <c r="A95" s="6">
        <f>2*PI()*93/(DesignSheet!C9-1)</f>
        <v>1.6231562043547263</v>
      </c>
      <c r="B95" s="6">
        <f>(DesignSheet!C11*DesignSheet!C13)*COS((A95+DesignSheet!C16)) + (DesignSheet!C7)*COS((DesignSheet!C11+1)*(A95+DesignSheet!C16)) - (DesignSheet!C6/2)*COS(ATAN( SIN(DesignSheet!C11*(A95+DesignSheet!C16)) / ( COS(DesignSheet!C11*(A95+DesignSheet!C16)) + (DesignSheet!C11*DesignSheet!C13)/(DesignSheet!C7*(DesignSheet!C11+1)) ) )+(A95+DesignSheet!C16))</f>
        <v>0.74987254011274196</v>
      </c>
      <c r="C95" s="6">
        <f>(DesignSheet!C11*DesignSheet!C13)*SIN((A95+DesignSheet!C16)) + (DesignSheet!C7)*SIN((DesignSheet!C11+1)*(A95+DesignSheet!C16)) - (DesignSheet!C6/2)*SIN(ATAN( SIN(DesignSheet!C11*(A95+DesignSheet!C16)) / ( COS(DesignSheet!C11*(A95+DesignSheet!C16)) + (DesignSheet!C11*DesignSheet!C13)/(DesignSheet!C7*(DesignSheet!C11+1)) ) )+(A95+DesignSheet!C16))</f>
        <v>-1.3826553614844899E-2</v>
      </c>
    </row>
    <row r="96" spans="1:3" x14ac:dyDescent="0.3">
      <c r="A96" s="6">
        <f>2*PI()*94/(DesignSheet!C9-1)</f>
        <v>1.6406094968746698</v>
      </c>
      <c r="B96" s="6">
        <f>(DesignSheet!C11*DesignSheet!C13)*COS((A96+DesignSheet!C16)) + (DesignSheet!C7)*COS((DesignSheet!C11+1)*(A96+DesignSheet!C16)) - (DesignSheet!C6/2)*COS(ATAN( SIN(DesignSheet!C11*(A96+DesignSheet!C16)) / ( COS(DesignSheet!C11*(A96+DesignSheet!C16)) + (DesignSheet!C11*DesignSheet!C13)/(DesignSheet!C7*(DesignSheet!C11+1)) ) )+(A96+DesignSheet!C16))</f>
        <v>0.74999963752610677</v>
      </c>
      <c r="C96" s="6">
        <f>(DesignSheet!C11*DesignSheet!C13)*SIN((A96+DesignSheet!C16)) + (DesignSheet!C7)*SIN((DesignSheet!C11+1)*(A96+DesignSheet!C16)) - (DesignSheet!C6/2)*SIN(ATAN( SIN(DesignSheet!C11*(A96+DesignSheet!C16)) / ( COS(DesignSheet!C11*(A96+DesignSheet!C16)) + (DesignSheet!C11*DesignSheet!C13)/(DesignSheet!C7*(DesignSheet!C11+1)) ) )+(A96+DesignSheet!C16))</f>
        <v>-7.3736741755299983E-4</v>
      </c>
    </row>
    <row r="97" spans="1:3" x14ac:dyDescent="0.3">
      <c r="A97" s="6">
        <f>2*PI()*95/(DesignSheet!C9-1)</f>
        <v>1.6580627893946132</v>
      </c>
      <c r="B97" s="6">
        <f>(DesignSheet!C11*DesignSheet!C13)*COS((A97+DesignSheet!C16)) + (DesignSheet!C7)*COS((DesignSheet!C11+1)*(A97+DesignSheet!C16)) - (DesignSheet!C6/2)*COS(ATAN( SIN(DesignSheet!C11*(A97+DesignSheet!C16)) / ( COS(DesignSheet!C11*(A97+DesignSheet!C16)) + (DesignSheet!C11*DesignSheet!C13)/(DesignSheet!C7*(DesignSheet!C11+1)) ) )+(A97+DesignSheet!C16))</f>
        <v>0.74989827778447149</v>
      </c>
      <c r="C97" s="6">
        <f>(DesignSheet!C11*DesignSheet!C13)*SIN((A97+DesignSheet!C16)) + (DesignSheet!C7)*SIN((DesignSheet!C11+1)*(A97+DesignSheet!C16)) - (DesignSheet!C6/2)*SIN(ATAN( SIN(DesignSheet!C11*(A97+DesignSheet!C16)) / ( COS(DesignSheet!C11*(A97+DesignSheet!C16)) + (DesignSheet!C11*DesignSheet!C13)/(DesignSheet!C7*(DesignSheet!C11+1)) ) )+(A97+DesignSheet!C16))</f>
        <v>1.2352043388996991E-2</v>
      </c>
    </row>
    <row r="98" spans="1:3" x14ac:dyDescent="0.3">
      <c r="A98" s="6">
        <f>2*PI()*96/(DesignSheet!C9-1)</f>
        <v>1.6755160819145563</v>
      </c>
      <c r="B98" s="6">
        <f>(DesignSheet!C11*DesignSheet!C13)*COS((A98+DesignSheet!C16)) + (DesignSheet!C7)*COS((DesignSheet!C11+1)*(A98+DesignSheet!C16)) - (DesignSheet!C6/2)*COS(ATAN( SIN(DesignSheet!C11*(A98+DesignSheet!C16)) / ( COS(DesignSheet!C11*(A98+DesignSheet!C16)) + (DesignSheet!C11*DesignSheet!C13)/(DesignSheet!C7*(DesignSheet!C11+1)) ) )+(A98+DesignSheet!C16))</f>
        <v>0.74956849176299534</v>
      </c>
      <c r="C98" s="6">
        <f>(DesignSheet!C11*DesignSheet!C13)*SIN((A98+DesignSheet!C16)) + (DesignSheet!C7)*SIN((DesignSheet!C11+1)*(A98+DesignSheet!C16)) - (DesignSheet!C6/2)*SIN(ATAN( SIN(DesignSheet!C11*(A98+DesignSheet!C16)) / ( COS(DesignSheet!C11*(A98+DesignSheet!C16)) + (DesignSheet!C11*DesignSheet!C13)/(DesignSheet!C7*(DesignSheet!C11+1)) ) )+(A98+DesignSheet!C16))</f>
        <v>2.5437691643473759E-2</v>
      </c>
    </row>
    <row r="99" spans="1:3" x14ac:dyDescent="0.3">
      <c r="A99" s="6">
        <f>2*PI()*97/(DesignSheet!C9-1)</f>
        <v>1.6929693744344996</v>
      </c>
      <c r="B99" s="6">
        <f>(DesignSheet!C11*DesignSheet!C13)*COS((A99+DesignSheet!C16)) + (DesignSheet!C7)*COS((DesignSheet!C11+1)*(A99+DesignSheet!C16)) - (DesignSheet!C6/2)*COS(ATAN( SIN(DesignSheet!C11*(A99+DesignSheet!C16)) / ( COS(DesignSheet!C11*(A99+DesignSheet!C16)) + (DesignSheet!C11*DesignSheet!C13)/(DesignSheet!C7*(DesignSheet!C11+1)) ) )+(A99+DesignSheet!C16))</f>
        <v>0.74901037991769503</v>
      </c>
      <c r="C99" s="6">
        <f>(DesignSheet!C11*DesignSheet!C13)*SIN((A99+DesignSheet!C16)) + (DesignSheet!C7)*SIN((DesignSheet!C11+1)*(A99+DesignSheet!C16)) - (DesignSheet!C6/2)*SIN(ATAN( SIN(DesignSheet!C11*(A99+DesignSheet!C16)) / ( COS(DesignSheet!C11*(A99+DesignSheet!C16)) + (DesignSheet!C11*DesignSheet!C13)/(DesignSheet!C7*(DesignSheet!C11+1)) ) )+(A99+DesignSheet!C16))</f>
        <v>3.851559133065581E-2</v>
      </c>
    </row>
    <row r="100" spans="1:3" x14ac:dyDescent="0.3">
      <c r="A100" s="6">
        <f>2*PI()*98/(DesignSheet!C9-1)</f>
        <v>1.7104226669544429</v>
      </c>
      <c r="B100" s="6">
        <f>(DesignSheet!C11*DesignSheet!C13)*COS((A100+DesignSheet!C16)) + (DesignSheet!C7)*COS((DesignSheet!C11+1)*(A100+DesignSheet!C16)) - (DesignSheet!C6/2)*COS(ATAN( SIN(DesignSheet!C11*(A100+DesignSheet!C16)) / ( COS(DesignSheet!C11*(A100+DesignSheet!C16)) + (DesignSheet!C11*DesignSheet!C13)/(DesignSheet!C7*(DesignSheet!C11+1)) ) )+(A100+DesignSheet!C16))</f>
        <v>0.74822411225484542</v>
      </c>
      <c r="C100" s="6">
        <f>(DesignSheet!C11*DesignSheet!C13)*SIN((A100+DesignSheet!C16)) + (DesignSheet!C7)*SIN((DesignSheet!C11+1)*(A100+DesignSheet!C16)) - (DesignSheet!C6/2)*SIN(ATAN( SIN(DesignSheet!C11*(A100+DesignSheet!C16)) / ( COS(DesignSheet!C11*(A100+DesignSheet!C16)) + (DesignSheet!C11*DesignSheet!C13)/(DesignSheet!C7*(DesignSheet!C11+1)) ) )+(A100+DesignSheet!C16))</f>
        <v>5.1581758795609639E-2</v>
      </c>
    </row>
    <row r="101" spans="1:3" x14ac:dyDescent="0.3">
      <c r="A101" s="6">
        <f>2*PI()*99/(DesignSheet!C9-1)</f>
        <v>1.7278759594743864</v>
      </c>
      <c r="B101" s="6">
        <f>(DesignSheet!C11*DesignSheet!C13)*COS((A101+DesignSheet!C16)) + (DesignSheet!C7)*COS((DesignSheet!C11+1)*(A101+DesignSheet!C16)) - (DesignSheet!C6/2)*COS(ATAN( SIN(DesignSheet!C11*(A101+DesignSheet!C16)) / ( COS(DesignSheet!C11*(A101+DesignSheet!C16)) + (DesignSheet!C11*DesignSheet!C13)/(DesignSheet!C7*(DesignSheet!C11+1)) ) )+(A101+DesignSheet!C16))</f>
        <v>0.7472099282791933</v>
      </c>
      <c r="C101" s="6">
        <f>(DesignSheet!C11*DesignSheet!C13)*SIN((A101+DesignSheet!C16)) + (DesignSheet!C7)*SIN((DesignSheet!C11+1)*(A101+DesignSheet!C16)) - (DesignSheet!C6/2)*SIN(ATAN( SIN(DesignSheet!C11*(A101+DesignSheet!C16)) / ( COS(DesignSheet!C11*(A101+DesignSheet!C16)) + (DesignSheet!C11*DesignSheet!C13)/(DesignSheet!C7*(DesignSheet!C11+1)) ) )+(A101+DesignSheet!C16))</f>
        <v>6.4632213957150256E-2</v>
      </c>
    </row>
    <row r="102" spans="1:3" x14ac:dyDescent="0.3">
      <c r="A102" s="6">
        <f>2*PI()*100/(DesignSheet!C9-1)</f>
        <v>1.7453292519943295</v>
      </c>
      <c r="B102" s="6">
        <f>(DesignSheet!C11*DesignSheet!C13)*COS((A102+DesignSheet!C16)) + (DesignSheet!C7)*COS((DesignSheet!C11+1)*(A102+DesignSheet!C16)) - (DesignSheet!C6/2)*COS(ATAN( SIN(DesignSheet!C11*(A102+DesignSheet!C16)) / ( COS(DesignSheet!C11*(A102+DesignSheet!C16)) + (DesignSheet!C11*DesignSheet!C13)/(DesignSheet!C7*(DesignSheet!C11+1)) ) )+(A102+DesignSheet!C16))</f>
        <v>0.74596813692100217</v>
      </c>
      <c r="C102" s="6">
        <f>(DesignSheet!C11*DesignSheet!C13)*SIN((A102+DesignSheet!C16)) + (DesignSheet!C7)*SIN((DesignSheet!C11+1)*(A102+DesignSheet!C16)) - (DesignSheet!C6/2)*SIN(ATAN( SIN(DesignSheet!C11*(A102+DesignSheet!C16)) / ( COS(DesignSheet!C11*(A102+DesignSheet!C16)) + (DesignSheet!C11*DesignSheet!C13)/(DesignSheet!C7*(DesignSheet!C11+1)) ) )+(A102+DesignSheet!C16))</f>
        <v>7.7662981520213226E-2</v>
      </c>
    </row>
    <row r="103" spans="1:3" x14ac:dyDescent="0.3">
      <c r="A103" s="6">
        <f>2*PI()*101/(DesignSheet!C9-1)</f>
        <v>1.7627825445142729</v>
      </c>
      <c r="B103" s="6">
        <f>(DesignSheet!C11*DesignSheet!C13)*COS((A103+DesignSheet!C16)) + (DesignSheet!C7)*COS((DesignSheet!C11+1)*(A103+DesignSheet!C16)) - (DesignSheet!C6/2)*COS(ATAN( SIN(DesignSheet!C11*(A103+DesignSheet!C16)) / ( COS(DesignSheet!C11*(A103+DesignSheet!C16)) + (DesignSheet!C11*DesignSheet!C13)/(DesignSheet!C7*(DesignSheet!C11+1)) ) )+(A103+DesignSheet!C16))</f>
        <v>0.74449911644194933</v>
      </c>
      <c r="C103" s="6">
        <f>(DesignSheet!C11*DesignSheet!C13)*SIN((A103+DesignSheet!C16)) + (DesignSheet!C7)*SIN((DesignSheet!C11+1)*(A103+DesignSheet!C16)) - (DesignSheet!C6/2)*SIN(ATAN( SIN(DesignSheet!C11*(A103+DesignSheet!C16)) / ( COS(DesignSheet!C11*(A103+DesignSheet!C16)) + (DesignSheet!C11*DesignSheet!C13)/(DesignSheet!C7*(DesignSheet!C11+1)) ) )+(A103+DesignSheet!C16))</f>
        <v>9.0670092186767262E-2</v>
      </c>
    </row>
    <row r="104" spans="1:3" x14ac:dyDescent="0.3">
      <c r="A104" s="6">
        <f>2*PI()*102/(DesignSheet!C9-1)</f>
        <v>1.780235837034216</v>
      </c>
      <c r="B104" s="6">
        <f>(DesignSheet!C11*DesignSheet!C13)*COS((A104+DesignSheet!C16)) + (DesignSheet!C7)*COS((DesignSheet!C11+1)*(A104+DesignSheet!C16)) - (DesignSheet!C6/2)*COS(ATAN( SIN(DesignSheet!C11*(A104+DesignSheet!C16)) / ( COS(DesignSheet!C11*(A104+DesignSheet!C16)) + (DesignSheet!C11*DesignSheet!C13)/(DesignSheet!C7*(DesignSheet!C11+1)) ) )+(A104+DesignSheet!C16))</f>
        <v>0.74280331431990332</v>
      </c>
      <c r="C104" s="6">
        <f>(DesignSheet!C11*DesignSheet!C13)*SIN((A104+DesignSheet!C16)) + (DesignSheet!C7)*SIN((DesignSheet!C11+1)*(A104+DesignSheet!C16)) - (DesignSheet!C6/2)*SIN(ATAN( SIN(DesignSheet!C11*(A104+DesignSheet!C16)) / ( COS(DesignSheet!C11*(A104+DesignSheet!C16)) + (DesignSheet!C11*DesignSheet!C13)/(DesignSheet!C7*(DesignSheet!C11+1)) ) )+(A104+DesignSheet!C16))</f>
        <v>0.10364958386489999</v>
      </c>
    </row>
    <row r="105" spans="1:3" x14ac:dyDescent="0.3">
      <c r="A105" s="6">
        <f>2*PI()*103/(DesignSheet!C9-1)</f>
        <v>1.7976891295541593</v>
      </c>
      <c r="B105" s="6">
        <f>(DesignSheet!C11*DesignSheet!C13)*COS((A105+DesignSheet!C16)) + (DesignSheet!C7)*COS((DesignSheet!C11+1)*(A105+DesignSheet!C16)) - (DesignSheet!C6/2)*COS(ATAN( SIN(DesignSheet!C11*(A105+DesignSheet!C16)) / ( COS(DesignSheet!C11*(A105+DesignSheet!C16)) + (DesignSheet!C11*DesignSheet!C13)/(DesignSheet!C7*(DesignSheet!C11+1)) ) )+(A105+DesignSheet!C16))</f>
        <v>0.74088124711261827</v>
      </c>
      <c r="C105" s="6">
        <f>(DesignSheet!C11*DesignSheet!C13)*SIN((A105+DesignSheet!C16)) + (DesignSheet!C7)*SIN((DesignSheet!C11+1)*(A105+DesignSheet!C16)) - (DesignSheet!C6/2)*SIN(ATAN( SIN(DesignSheet!C11*(A105+DesignSheet!C16)) / ( COS(DesignSheet!C11*(A105+DesignSheet!C16)) + (DesignSheet!C11*DesignSheet!C13)/(DesignSheet!C7*(DesignSheet!C11+1)) ) )+(A105+DesignSheet!C16))</f>
        <v>0.11659750287571172</v>
      </c>
    </row>
    <row r="106" spans="1:3" x14ac:dyDescent="0.3">
      <c r="A106" s="6">
        <f>2*PI()*104/(DesignSheet!C9-1)</f>
        <v>1.8151424220741028</v>
      </c>
      <c r="B106" s="6">
        <f>(DesignSheet!C11*DesignSheet!C13)*COS((A106+DesignSheet!C16)) + (DesignSheet!C7)*COS((DesignSheet!C11+1)*(A106+DesignSheet!C16)) - (DesignSheet!C6/2)*COS(ATAN( SIN(DesignSheet!C11*(A106+DesignSheet!C16)) / ( COS(DesignSheet!C11*(A106+DesignSheet!C16)) + (DesignSheet!C11*DesignSheet!C13)/(DesignSheet!C7*(DesignSheet!C11+1)) ) )+(A106+DesignSheet!C16))</f>
        <v>0.73873350030038476</v>
      </c>
      <c r="C106" s="6">
        <f>(DesignSheet!C11*DesignSheet!C13)*SIN((A106+DesignSheet!C16)) + (DesignSheet!C7)*SIN((DesignSheet!C11+1)*(A106+DesignSheet!C16)) - (DesignSheet!C6/2)*SIN(ATAN( SIN(DesignSheet!C11*(A106+DesignSheet!C16)) / ( COS(DesignSheet!C11*(A106+DesignSheet!C16)) + (DesignSheet!C11*DesignSheet!C13)/(DesignSheet!C7*(DesignSheet!C11+1)) ) )+(A106+DesignSheet!C16))</f>
        <v>0.1295099051576418</v>
      </c>
    </row>
    <row r="107" spans="1:3" x14ac:dyDescent="0.3">
      <c r="A107" s="6">
        <f>2*PI()*105/(DesignSheet!C9-1)</f>
        <v>1.8325957145940461</v>
      </c>
      <c r="B107" s="6">
        <f>(DesignSheet!C11*DesignSheet!C13)*COS((A107+DesignSheet!C16)) + (DesignSheet!C7)*COS((DesignSheet!C11+1)*(A107+DesignSheet!C16)) - (DesignSheet!C6/2)*COS(ATAN( SIN(DesignSheet!C11*(A107+DesignSheet!C16)) / ( COS(DesignSheet!C11*(A107+DesignSheet!C16)) + (DesignSheet!C11*DesignSheet!C13)/(DesignSheet!C7*(DesignSheet!C11+1)) ) )+(A107+DesignSheet!C16))</f>
        <v>0.73636072810768771</v>
      </c>
      <c r="C107" s="6">
        <f>(DesignSheet!C11*DesignSheet!C13)*SIN((A107+DesignSheet!C16)) + (DesignSheet!C7)*SIN((DesignSheet!C11+1)*(A107+DesignSheet!C16)) - (DesignSheet!C6/2)*SIN(ATAN( SIN(DesignSheet!C11*(A107+DesignSheet!C16)) / ( COS(DesignSheet!C11*(A107+DesignSheet!C16)) + (DesignSheet!C11*DesignSheet!C13)/(DesignSheet!C7*(DesignSheet!C11+1)) ) )+(A107+DesignSheet!C16))</f>
        <v>0.1423828574678706</v>
      </c>
    </row>
    <row r="108" spans="1:3" x14ac:dyDescent="0.3">
      <c r="A108" s="6">
        <f>2*PI()*106/(DesignSheet!C9-1)</f>
        <v>1.8500490071139892</v>
      </c>
      <c r="B108" s="6">
        <f>(DesignSheet!C11*DesignSheet!C13)*COS((A108+DesignSheet!C16)) + (DesignSheet!C7)*COS((DesignSheet!C11+1)*(A108+DesignSheet!C16)) - (DesignSheet!C6/2)*COS(ATAN( SIN(DesignSheet!C11*(A108+DesignSheet!C16)) / ( COS(DesignSheet!C11*(A108+DesignSheet!C16)) + (DesignSheet!C11*DesignSheet!C13)/(DesignSheet!C7*(DesignSheet!C11+1)) ) )+(A108+DesignSheet!C16))</f>
        <v>0.73376365330392268</v>
      </c>
      <c r="C108" s="6">
        <f>(DesignSheet!C11*DesignSheet!C13)*SIN((A108+DesignSheet!C16)) + (DesignSheet!C7)*SIN((DesignSheet!C11+1)*(A108+DesignSheet!C16)) - (DesignSheet!C6/2)*SIN(ATAN( SIN(DesignSheet!C11*(A108+DesignSheet!C16)) / ( COS(DesignSheet!C11*(A108+DesignSheet!C16)) + (DesignSheet!C11*DesignSheet!C13)/(DesignSheet!C7*(DesignSheet!C11+1)) ) )+(A108+DesignSheet!C16))</f>
        <v>0.15521243858042061</v>
      </c>
    </row>
    <row r="109" spans="1:3" x14ac:dyDescent="0.3">
      <c r="A109" s="6">
        <f>2*PI()*107/(DesignSheet!C9-1)</f>
        <v>1.8675022996339325</v>
      </c>
      <c r="B109" s="6">
        <f>(DesignSheet!C11*DesignSheet!C13)*COS((A109+DesignSheet!C16)) + (DesignSheet!C7)*COS((DesignSheet!C11+1)*(A109+DesignSheet!C16)) - (DesignSheet!C6/2)*COS(ATAN( SIN(DesignSheet!C11*(A109+DesignSheet!C16)) / ( COS(DesignSheet!C11*(A109+DesignSheet!C16)) + (DesignSheet!C11*DesignSheet!C13)/(DesignSheet!C7*(DesignSheet!C11+1)) ) )+(A109+DesignSheet!C16))</f>
        <v>0.73094306698323286</v>
      </c>
      <c r="C109" s="6">
        <f>(DesignSheet!C11*DesignSheet!C13)*SIN((A109+DesignSheet!C16)) + (DesignSheet!C7)*SIN((DesignSheet!C11+1)*(A109+DesignSheet!C16)) - (DesignSheet!C6/2)*SIN(ATAN( SIN(DesignSheet!C11*(A109+DesignSheet!C16)) / ( COS(DesignSheet!C11*(A109+DesignSheet!C16)) + (DesignSheet!C11*DesignSheet!C13)/(DesignSheet!C7*(DesignSheet!C11+1)) ) )+(A109+DesignSheet!C16))</f>
        <v>0.16799474048060273</v>
      </c>
    </row>
    <row r="110" spans="1:3" x14ac:dyDescent="0.3">
      <c r="A110" s="6">
        <f>2*PI()*108/(DesignSheet!C9-1)</f>
        <v>1.8849555921538759</v>
      </c>
      <c r="B110" s="6">
        <f>(DesignSheet!C11*DesignSheet!C13)*COS((A110+DesignSheet!C16)) + (DesignSheet!C7)*COS((DesignSheet!C11+1)*(A110+DesignSheet!C16)) - (DesignSheet!C6/2)*COS(ATAN( SIN(DesignSheet!C11*(A110+DesignSheet!C16)) / ( COS(DesignSheet!C11*(A110+DesignSheet!C16)) + (DesignSheet!C11*DesignSheet!C13)/(DesignSheet!C7*(DesignSheet!C11+1)) ) )+(A110+DesignSheet!C16))</f>
        <v>0.72789982832353572</v>
      </c>
      <c r="C110" s="6">
        <f>(DesignSheet!C11*DesignSheet!C13)*SIN((A110+DesignSheet!C16)) + (DesignSheet!C7)*SIN((DesignSheet!C11+1)*(A110+DesignSheet!C16)) - (DesignSheet!C6/2)*SIN(ATAN( SIN(DesignSheet!C11*(A110+DesignSheet!C16)) / ( COS(DesignSheet!C11*(A110+DesignSheet!C16)) + (DesignSheet!C11*DesignSheet!C13)/(DesignSheet!C7*(DesignSheet!C11+1)) ) )+(A110+DesignSheet!C16))</f>
        <v>0.18072586955543252</v>
      </c>
    </row>
    <row r="111" spans="1:3" x14ac:dyDescent="0.3">
      <c r="A111" s="6">
        <f>2*PI()*109/(DesignSheet!C9-1)</f>
        <v>1.902408884673819</v>
      </c>
      <c r="B111" s="6">
        <f>(DesignSheet!C11*DesignSheet!C13)*COS((A111+DesignSheet!C16)) + (DesignSheet!C7)*COS((DesignSheet!C11+1)*(A111+DesignSheet!C16)) - (DesignSheet!C6/2)*COS(ATAN( SIN(DesignSheet!C11*(A111+DesignSheet!C16)) / ( COS(DesignSheet!C11*(A111+DesignSheet!C16)) + (DesignSheet!C11*DesignSheet!C13)/(DesignSheet!C7*(DesignSheet!C11+1)) ) )+(A111+DesignSheet!C16))</f>
        <v>0.72463486432480717</v>
      </c>
      <c r="C111" s="6">
        <f>(DesignSheet!C11*DesignSheet!C13)*SIN((A111+DesignSheet!C16)) + (DesignSheet!C7)*SIN((DesignSheet!C11+1)*(A111+DesignSheet!C16)) - (DesignSheet!C6/2)*SIN(ATAN( SIN(DesignSheet!C11*(A111+DesignSheet!C16)) / ( COS(DesignSheet!C11*(A111+DesignSheet!C16)) + (DesignSheet!C11*DesignSheet!C13)/(DesignSheet!C7*(DesignSheet!C11+1)) ) )+(A111+DesignSheet!C16))</f>
        <v>0.19340194777966491</v>
      </c>
    </row>
    <row r="112" spans="1:3" x14ac:dyDescent="0.3">
      <c r="A112" s="6">
        <f>2*PI()*110/(DesignSheet!C9-1)</f>
        <v>1.9198621771937625</v>
      </c>
      <c r="B112" s="6">
        <f>(DesignSheet!C11*DesignSheet!C13)*COS((A112+DesignSheet!C16)) + (DesignSheet!C7)*COS((DesignSheet!C11+1)*(A112+DesignSheet!C16)) - (DesignSheet!C6/2)*COS(ATAN( SIN(DesignSheet!C11*(A112+DesignSheet!C16)) / ( COS(DesignSheet!C11*(A112+DesignSheet!C16)) + (DesignSheet!C11*DesignSheet!C13)/(DesignSheet!C7*(DesignSheet!C11+1)) ) )+(A112+DesignSheet!C16))</f>
        <v>0.72114916952670971</v>
      </c>
      <c r="C112" s="6">
        <f>(DesignSheet!C11*DesignSheet!C13)*SIN((A112+DesignSheet!C16)) + (DesignSheet!C7)*SIN((DesignSheet!C11+1)*(A112+DesignSheet!C16)) - (DesignSheet!C6/2)*SIN(ATAN( SIN(DesignSheet!C11*(A112+DesignSheet!C16)) / ( COS(DesignSheet!C11*(A112+DesignSheet!C16)) + (DesignSheet!C11*DesignSheet!C13)/(DesignSheet!C7*(DesignSheet!C11+1)) ) )+(A112+DesignSheet!C16))</f>
        <v>0.20601911389707722</v>
      </c>
    </row>
    <row r="113" spans="1:3" x14ac:dyDescent="0.3">
      <c r="A113" s="6">
        <f>2*PI()*111/(DesignSheet!C9-1)</f>
        <v>1.9373154697137058</v>
      </c>
      <c r="B113" s="6">
        <f>(DesignSheet!C11*DesignSheet!C13)*COS((A113+DesignSheet!C16)) + (DesignSheet!C7)*COS((DesignSheet!C11+1)*(A113+DesignSheet!C16)) - (DesignSheet!C6/2)*COS(ATAN( SIN(DesignSheet!C11*(A113+DesignSheet!C16)) / ( COS(DesignSheet!C11*(A113+DesignSheet!C16)) + (DesignSheet!C11*DesignSheet!C13)/(DesignSheet!C7*(DesignSheet!C11+1)) ) )+(A113+DesignSheet!C16))</f>
        <v>0.71744380570564559</v>
      </c>
      <c r="C113" s="6">
        <f>(DesignSheet!C11*DesignSheet!C13)*SIN((A113+DesignSheet!C16)) + (DesignSheet!C7)*SIN((DesignSheet!C11+1)*(A113+DesignSheet!C16)) - (DesignSheet!C6/2)*SIN(ATAN( SIN(DesignSheet!C11*(A113+DesignSheet!C16)) / ( COS(DesignSheet!C11*(A113+DesignSheet!C16)) + (DesignSheet!C11*DesignSheet!C13)/(DesignSheet!C7*(DesignSheet!C11+1)) ) )+(A113+DesignSheet!C16))</f>
        <v>0.21857352459664448</v>
      </c>
    </row>
    <row r="114" spans="1:3" x14ac:dyDescent="0.3">
      <c r="A114" s="6">
        <f>2*PI()*112/(DesignSheet!C9-1)</f>
        <v>1.9547687622336491</v>
      </c>
      <c r="B114" s="6">
        <f>(DesignSheet!C11*DesignSheet!C13)*COS((A114+DesignSheet!C16)) + (DesignSheet!C7)*COS((DesignSheet!C11+1)*(A114+DesignSheet!C16)) - (DesignSheet!C6/2)*COS(ATAN( SIN(DesignSheet!C11*(A114+DesignSheet!C16)) / ( COS(DesignSheet!C11*(A114+DesignSheet!C16)) + (DesignSheet!C11*DesignSheet!C13)/(DesignSheet!C7*(DesignSheet!C11+1)) ) )+(A114+DesignSheet!C16))</f>
        <v>0.71351990155132927</v>
      </c>
      <c r="C114" s="6">
        <f>(DesignSheet!C11*DesignSheet!C13)*SIN((A114+DesignSheet!C16)) + (DesignSheet!C7)*SIN((DesignSheet!C11+1)*(A114+DesignSheet!C16)) - (DesignSheet!C6/2)*SIN(ATAN( SIN(DesignSheet!C11*(A114+DesignSheet!C16)) / ( COS(DesignSheet!C11*(A114+DesignSheet!C16)) + (DesignSheet!C11*DesignSheet!C13)/(DesignSheet!C7*(DesignSheet!C11+1)) ) )+(A114+DesignSheet!C16))</f>
        <v>0.23106135568325001</v>
      </c>
    </row>
    <row r="115" spans="1:3" x14ac:dyDescent="0.3">
      <c r="A115" s="6">
        <f>2*PI()*113/(DesignSheet!C9-1)</f>
        <v>1.9722220547535922</v>
      </c>
      <c r="B115" s="6">
        <f>(DesignSheet!C11*DesignSheet!C13)*COS((A115+DesignSheet!C16)) + (DesignSheet!C7)*COS((DesignSheet!C11+1)*(A115+DesignSheet!C16)) - (DesignSheet!C6/2)*COS(ATAN( SIN(DesignSheet!C11*(A115+DesignSheet!C16)) / ( COS(DesignSheet!C11*(A115+DesignSheet!C16)) + (DesignSheet!C11*DesignSheet!C13)/(DesignSheet!C7*(DesignSheet!C11+1)) ) )+(A115+DesignSheet!C16))</f>
        <v>0.70937865232297803</v>
      </c>
      <c r="C115" s="6">
        <f>(DesignSheet!C11*DesignSheet!C13)*SIN((A115+DesignSheet!C16)) + (DesignSheet!C7)*SIN((DesignSheet!C11+1)*(A115+DesignSheet!C16)) - (DesignSheet!C6/2)*SIN(ATAN( SIN(DesignSheet!C11*(A115+DesignSheet!C16)) / ( COS(DesignSheet!C11*(A115+DesignSheet!C16)) + (DesignSheet!C11*DesignSheet!C13)/(DesignSheet!C7*(DesignSheet!C11+1)) ) )+(A115+DesignSheet!C16))</f>
        <v>0.24347880324257282</v>
      </c>
    </row>
    <row r="116" spans="1:3" x14ac:dyDescent="0.3">
      <c r="A116" s="6">
        <f>2*PI()*114/(DesignSheet!C9-1)</f>
        <v>1.9896753472735356</v>
      </c>
      <c r="B116" s="6">
        <f>(DesignSheet!C11*DesignSheet!C13)*COS((A116+DesignSheet!C16)) + (DesignSheet!C7)*COS((DesignSheet!C11+1)*(A116+DesignSheet!C16)) - (DesignSheet!C6/2)*COS(ATAN( SIN(DesignSheet!C11*(A116+DesignSheet!C16)) / ( COS(DesignSheet!C11*(A116+DesignSheet!C16)) + (DesignSheet!C11*DesignSheet!C13)/(DesignSheet!C7*(DesignSheet!C11+1)) ) )+(A116+DesignSheet!C16))</f>
        <v>0.70502131948522384</v>
      </c>
      <c r="C116" s="6">
        <f>(DesignSheet!C11*DesignSheet!C13)*SIN((A116+DesignSheet!C16)) + (DesignSheet!C7)*SIN((DesignSheet!C11+1)*(A116+DesignSheet!C16)) - (DesignSheet!C6/2)*SIN(ATAN( SIN(DesignSheet!C11*(A116+DesignSheet!C16)) / ( COS(DesignSheet!C11*(A116+DesignSheet!C16)) + (DesignSheet!C11*DesignSheet!C13)/(DesignSheet!C7*(DesignSheet!C11+1)) ) )+(A116+DesignSheet!C16))</f>
        <v>0.25582208479979585</v>
      </c>
    </row>
    <row r="117" spans="1:3" x14ac:dyDescent="0.3">
      <c r="A117" s="6">
        <f>2*PI()*115/(DesignSheet!C9-1)</f>
        <v>2.0071286397934789</v>
      </c>
      <c r="B117" s="6">
        <f>(DesignSheet!C11*DesignSheet!C13)*COS((A117+DesignSheet!C16)) + (DesignSheet!C7)*COS((DesignSheet!C11+1)*(A117+DesignSheet!C16)) - (DesignSheet!C6/2)*COS(ATAN( SIN(DesignSheet!C11*(A117+DesignSheet!C16)) / ( COS(DesignSheet!C11*(A117+DesignSheet!C16)) + (DesignSheet!C11*DesignSheet!C13)/(DesignSheet!C7*(DesignSheet!C11+1)) ) )+(A117+DesignSheet!C16))</f>
        <v>0.70044923032385942</v>
      </c>
      <c r="C117" s="6">
        <f>(DesignSheet!C11*DesignSheet!C13)*SIN((A117+DesignSheet!C16)) + (DesignSheet!C7)*SIN((DesignSheet!C11+1)*(A117+DesignSheet!C16)) - (DesignSheet!C6/2)*SIN(ATAN( SIN(DesignSheet!C11*(A117+DesignSheet!C16)) / ( COS(DesignSheet!C11*(A117+DesignSheet!C16)) + (DesignSheet!C11*DesignSheet!C13)/(DesignSheet!C7*(DesignSheet!C11+1)) ) )+(A117+DesignSheet!C16))</f>
        <v>0.2680874404717849</v>
      </c>
    </row>
    <row r="118" spans="1:3" x14ac:dyDescent="0.3">
      <c r="A118" s="6">
        <f>2*PI()*116/(DesignSheet!C9-1)</f>
        <v>2.0245819323134224</v>
      </c>
      <c r="B118" s="6">
        <f>(DesignSheet!C11*DesignSheet!C13)*COS((A118+DesignSheet!C16)) + (DesignSheet!C7)*COS((DesignSheet!C11+1)*(A118+DesignSheet!C16)) - (DesignSheet!C6/2)*COS(ATAN( SIN(DesignSheet!C11*(A118+DesignSheet!C16)) / ( COS(DesignSheet!C11*(A118+DesignSheet!C16)) + (DesignSheet!C11*DesignSheet!C13)/(DesignSheet!C7*(DesignSheet!C11+1)) ) )+(A118+DesignSheet!C16))</f>
        <v>0.69566377754153441</v>
      </c>
      <c r="C118" s="6">
        <f>(DesignSheet!C11*DesignSheet!C13)*SIN((A118+DesignSheet!C16)) + (DesignSheet!C7)*SIN((DesignSheet!C11+1)*(A118+DesignSheet!C16)) - (DesignSheet!C6/2)*SIN(ATAN( SIN(DesignSheet!C11*(A118+DesignSheet!C16)) / ( COS(DesignSheet!C11*(A118+DesignSheet!C16)) + (DesignSheet!C11*DesignSheet!C13)/(DesignSheet!C7*(DesignSheet!C11+1)) ) )+(A118+DesignSheet!C16))</f>
        <v>0.28027113411238502</v>
      </c>
    </row>
    <row r="119" spans="1:3" x14ac:dyDescent="0.3">
      <c r="A119" s="6">
        <f>2*PI()*117/(DesignSheet!C9-1)</f>
        <v>2.0420352248333655</v>
      </c>
      <c r="B119" s="6">
        <f>(DesignSheet!C11*DesignSheet!C13)*COS((A119+DesignSheet!C16)) + (DesignSheet!C7)*COS((DesignSheet!C11+1)*(A119+DesignSheet!C16)) - (DesignSheet!C6/2)*COS(ATAN( SIN(DesignSheet!C11*(A119+DesignSheet!C16)) / ( COS(DesignSheet!C11*(A119+DesignSheet!C16)) + (DesignSheet!C11*DesignSheet!C13)/(DesignSheet!C7*(DesignSheet!C11+1)) ) )+(A119+DesignSheet!C16))</f>
        <v>0.69066641883352398</v>
      </c>
      <c r="C119" s="6">
        <f>(DesignSheet!C11*DesignSheet!C13)*SIN((A119+DesignSheet!C16)) + (DesignSheet!C7)*SIN((DesignSheet!C11+1)*(A119+DesignSheet!C16)) - (DesignSheet!C6/2)*SIN(ATAN( SIN(DesignSheet!C11*(A119+DesignSheet!C16)) / ( COS(DesignSheet!C11*(A119+DesignSheet!C16)) + (DesignSheet!C11*DesignSheet!C13)/(DesignSheet!C7*(DesignSheet!C11+1)) ) )+(A119+DesignSheet!C16))</f>
        <v>0.29236945445048668</v>
      </c>
    </row>
    <row r="120" spans="1:3" x14ac:dyDescent="0.3">
      <c r="A120" s="6">
        <f>2*PI()*118/(DesignSheet!C9-1)</f>
        <v>2.0594885173533086</v>
      </c>
      <c r="B120" s="6">
        <f>(DesignSheet!C11*DesignSheet!C13)*COS((A120+DesignSheet!C16)) + (DesignSheet!C7)*COS((DesignSheet!C11+1)*(A120+DesignSheet!C16)) - (DesignSheet!C6/2)*COS(ATAN( SIN(DesignSheet!C11*(A120+DesignSheet!C16)) / ( COS(DesignSheet!C11*(A120+DesignSheet!C16)) + (DesignSheet!C11*DesignSheet!C13)/(DesignSheet!C7*(DesignSheet!C11+1)) ) )+(A120+DesignSheet!C16))</f>
        <v>0.68545867644370106</v>
      </c>
      <c r="C120" s="6">
        <f>(DesignSheet!C11*DesignSheet!C13)*SIN((A120+DesignSheet!C16)) + (DesignSheet!C7)*SIN((DesignSheet!C11+1)*(A120+DesignSheet!C16)) - (DesignSheet!C6/2)*SIN(ATAN( SIN(DesignSheet!C11*(A120+DesignSheet!C16)) / ( COS(DesignSheet!C11*(A120+DesignSheet!C16)) + (DesignSheet!C11*DesignSheet!C13)/(DesignSheet!C7*(DesignSheet!C11+1)) ) )+(A120+DesignSheet!C16))</f>
        <v>0.30437871622051621</v>
      </c>
    </row>
    <row r="121" spans="1:3" x14ac:dyDescent="0.3">
      <c r="A121" s="6">
        <f>2*PI()*119/(DesignSheet!C9-1)</f>
        <v>2.0769418098732522</v>
      </c>
      <c r="B121" s="6">
        <f>(DesignSheet!C11*DesignSheet!C13)*COS((A121+DesignSheet!C16)) + (DesignSheet!C7)*COS((DesignSheet!C11+1)*(A121+DesignSheet!C16)) - (DesignSheet!C6/2)*COS(ATAN( SIN(DesignSheet!C11*(A121+DesignSheet!C16)) / ( COS(DesignSheet!C11*(A121+DesignSheet!C16)) + (DesignSheet!C11*DesignSheet!C13)/(DesignSheet!C7*(DesignSheet!C11+1)) ) )+(A121+DesignSheet!C16))</f>
        <v>0.6800421367008459</v>
      </c>
      <c r="C121" s="6">
        <f>(DesignSheet!C11*DesignSheet!C13)*SIN((A121+DesignSheet!C16)) + (DesignSheet!C7)*SIN((DesignSheet!C11+1)*(A121+DesignSheet!C16)) - (DesignSheet!C6/2)*SIN(ATAN( SIN(DesignSheet!C11*(A121+DesignSheet!C16)) / ( COS(DesignSheet!C11*(A121+DesignSheet!C16)) + (DesignSheet!C11*DesignSheet!C13)/(DesignSheet!C7*(DesignSheet!C11+1)) ) )+(A121+DesignSheet!C16))</f>
        <v>0.31629526128500246</v>
      </c>
    </row>
    <row r="122" spans="1:3" x14ac:dyDescent="0.3">
      <c r="A122" s="6">
        <f>2*PI()*120/(DesignSheet!C9-1)</f>
        <v>2.0943951023931953</v>
      </c>
      <c r="B122" s="6">
        <f>(DesignSheet!C11*DesignSheet!C13)*COS((A122+DesignSheet!C16)) + (DesignSheet!C7)*COS((DesignSheet!C11+1)*(A122+DesignSheet!C16)) - (DesignSheet!C6/2)*COS(ATAN( SIN(DesignSheet!C11*(A122+DesignSheet!C16)) / ( COS(DesignSheet!C11*(A122+DesignSheet!C16)) + (DesignSheet!C11*DesignSheet!C13)/(DesignSheet!C7*(DesignSheet!C11+1)) ) )+(A122+DesignSheet!C16))</f>
        <v>0.67441844953543573</v>
      </c>
      <c r="C122" s="6">
        <f>(DesignSheet!C11*DesignSheet!C13)*SIN((A122+DesignSheet!C16)) + (DesignSheet!C7)*SIN((DesignSheet!C11+1)*(A122+DesignSheet!C16)) - (DesignSheet!C6/2)*SIN(ATAN( SIN(DesignSheet!C11*(A122+DesignSheet!C16)) / ( COS(DesignSheet!C11*(A122+DesignSheet!C16)) + (DesignSheet!C11*DesignSheet!C13)/(DesignSheet!C7*(DesignSheet!C11+1)) ) )+(A122+DesignSheet!C16))</f>
        <v>0.32811545974888001</v>
      </c>
    </row>
    <row r="123" spans="1:3" x14ac:dyDescent="0.3">
      <c r="A123" s="6">
        <f>2*PI()*121/(DesignSheet!C9-1)</f>
        <v>2.1118483949131388</v>
      </c>
      <c r="B123" s="6">
        <f>(DesignSheet!C11*DesignSheet!C13)*COS((A123+DesignSheet!C16)) + (DesignSheet!C7)*COS((DesignSheet!C11+1)*(A123+DesignSheet!C16)) - (DesignSheet!C6/2)*COS(ATAN( SIN(DesignSheet!C11*(A123+DesignSheet!C16)) / ( COS(DesignSheet!C11*(A123+DesignSheet!C16)) + (DesignSheet!C11*DesignSheet!C13)/(DesignSheet!C7*(DesignSheet!C11+1)) ) )+(A123+DesignSheet!C16))</f>
        <v>0.66858932797705872</v>
      </c>
      <c r="C123" s="6">
        <f>(DesignSheet!C11*DesignSheet!C13)*SIN((A123+DesignSheet!C16)) + (DesignSheet!C7)*SIN((DesignSheet!C11+1)*(A123+DesignSheet!C16)) - (DesignSheet!C6/2)*SIN(ATAN( SIN(DesignSheet!C11*(A123+DesignSheet!C16)) / ( COS(DesignSheet!C11*(A123+DesignSheet!C16)) + (DesignSheet!C11*DesignSheet!C13)/(DesignSheet!C7*(DesignSheet!C11+1)) ) )+(A123+DesignSheet!C16))</f>
        <v>0.3398357110651925</v>
      </c>
    </row>
    <row r="124" spans="1:3" x14ac:dyDescent="0.3">
      <c r="A124" s="6">
        <f>2*PI()*122/(DesignSheet!C9-1)</f>
        <v>2.1293016874330819</v>
      </c>
      <c r="B124" s="6">
        <f>(DesignSheet!C11*DesignSheet!C13)*COS((A124+DesignSheet!C16)) + (DesignSheet!C7)*COS((DesignSheet!C11+1)*(A124+DesignSheet!C16)) - (DesignSheet!C6/2)*COS(ATAN( SIN(DesignSheet!C11*(A124+DesignSheet!C16)) / ( COS(DesignSheet!C11*(A124+DesignSheet!C16)) + (DesignSheet!C11*DesignSheet!C13)/(DesignSheet!C7*(DesignSheet!C11+1)) ) )+(A124+DesignSheet!C16))</f>
        <v>0.66255654763260974</v>
      </c>
      <c r="C124" s="6">
        <f>(DesignSheet!C11*DesignSheet!C13)*SIN((A124+DesignSheet!C16)) + (DesignSheet!C7)*SIN((DesignSheet!C11+1)*(A124+DesignSheet!C16)) - (DesignSheet!C6/2)*SIN(ATAN( SIN(DesignSheet!C11*(A124+DesignSheet!C16)) / ( COS(DesignSheet!C11*(A124+DesignSheet!C16)) + (DesignSheet!C11*DesignSheet!C13)/(DesignSheet!C7*(DesignSheet!C11+1)) ) )+(A124+DesignSheet!C16))</f>
        <v>0.35145244513185181</v>
      </c>
    </row>
    <row r="125" spans="1:3" x14ac:dyDescent="0.3">
      <c r="A125" s="6">
        <f>2*PI()*123/(DesignSheet!C9-1)</f>
        <v>2.1467549799530254</v>
      </c>
      <c r="B125" s="6">
        <f>(DesignSheet!C11*DesignSheet!C13)*COS((A125+DesignSheet!C16)) + (DesignSheet!C7)*COS((DesignSheet!C11+1)*(A125+DesignSheet!C16)) - (DesignSheet!C6/2)*COS(ATAN( SIN(DesignSheet!C11*(A125+DesignSheet!C16)) / ( COS(DesignSheet!C11*(A125+DesignSheet!C16)) + (DesignSheet!C11*DesignSheet!C13)/(DesignSheet!C7*(DesignSheet!C11+1)) ) )+(A125+DesignSheet!C16))</f>
        <v>0.65632194614542239</v>
      </c>
      <c r="C125" s="6">
        <f>(DesignSheet!C11*DesignSheet!C13)*SIN((A125+DesignSheet!C16)) + (DesignSheet!C7)*SIN((DesignSheet!C11+1)*(A125+DesignSheet!C16)) - (DesignSheet!C6/2)*SIN(ATAN( SIN(DesignSheet!C11*(A125+DesignSheet!C16)) / ( COS(DesignSheet!C11*(A125+DesignSheet!C16)) + (DesignSheet!C11*DesignSheet!C13)/(DesignSheet!C7*(DesignSheet!C11+1)) ) )+(A125+DesignSheet!C16))</f>
        <v>0.36296212337912792</v>
      </c>
    </row>
    <row r="126" spans="1:3" x14ac:dyDescent="0.3">
      <c r="A126" s="6">
        <f>2*PI()*124/(DesignSheet!C9-1)</f>
        <v>2.1642082724729685</v>
      </c>
      <c r="B126" s="6">
        <f>(DesignSheet!C11*DesignSheet!C13)*COS((A126+DesignSheet!C16)) + (DesignSheet!C7)*COS((DesignSheet!C11+1)*(A126+DesignSheet!C16)) - (DesignSheet!C6/2)*COS(ATAN( SIN(DesignSheet!C11*(A126+DesignSheet!C16)) / ( COS(DesignSheet!C11*(A126+DesignSheet!C16)) + (DesignSheet!C11*DesignSheet!C13)/(DesignSheet!C7*(DesignSheet!C11+1)) ) )+(A126+DesignSheet!C16))</f>
        <v>0.64988742263550581</v>
      </c>
      <c r="C126" s="6">
        <f>(DesignSheet!C11*DesignSheet!C13)*SIN((A126+DesignSheet!C16)) + (DesignSheet!C7)*SIN((DesignSheet!C11+1)*(A126+DesignSheet!C16)) - (DesignSheet!C6/2)*SIN(ATAN( SIN(DesignSheet!C11*(A126+DesignSheet!C16)) / ( COS(DesignSheet!C11*(A126+DesignSheet!C16)) + (DesignSheet!C11*DesignSheet!C13)/(DesignSheet!C7*(DesignSheet!C11+1)) ) )+(A126+DesignSheet!C16))</f>
        <v>0.37436123984752945</v>
      </c>
    </row>
    <row r="127" spans="1:3" x14ac:dyDescent="0.3">
      <c r="A127" s="6">
        <f>2*PI()*125/(DesignSheet!C9-1)</f>
        <v>2.1816615649929116</v>
      </c>
      <c r="B127" s="6">
        <f>(DesignSheet!C11*DesignSheet!C13)*COS((A127+DesignSheet!C16)) + (DesignSheet!C7)*COS((DesignSheet!C11+1)*(A127+DesignSheet!C16)) - (DesignSheet!C6/2)*COS(ATAN( SIN(DesignSheet!C11*(A127+DesignSheet!C16)) / ( COS(DesignSheet!C11*(A127+DesignSheet!C16)) + (DesignSheet!C11*DesignSheet!C13)/(DesignSheet!C7*(DesignSheet!C11+1)) ) )+(A127+DesignSheet!C16))</f>
        <v>0.64325493712105364</v>
      </c>
      <c r="C127" s="6">
        <f>(DesignSheet!C11*DesignSheet!C13)*SIN((A127+DesignSheet!C16)) + (DesignSheet!C7)*SIN((DesignSheet!C11+1)*(A127+DesignSheet!C16)) - (DesignSheet!C6/2)*SIN(ATAN( SIN(DesignSheet!C11*(A127+DesignSheet!C16)) / ( COS(DesignSheet!C11*(A127+DesignSheet!C16)) + (DesignSheet!C11*DesignSheet!C13)/(DesignSheet!C7*(DesignSheet!C11+1)) ) )+(A127+DesignSheet!C16))</f>
        <v>0.38564632225575468</v>
      </c>
    </row>
    <row r="128" spans="1:3" x14ac:dyDescent="0.3">
      <c r="A128" s="6">
        <f>2*PI()*126/(DesignSheet!C9-1)</f>
        <v>2.1991148575128552</v>
      </c>
      <c r="B128" s="6">
        <f>(DesignSheet!C11*DesignSheet!C13)*COS((A128+DesignSheet!C16)) + (DesignSheet!C7)*COS((DesignSheet!C11+1)*(A128+DesignSheet!C16)) - (DesignSheet!C6/2)*COS(ATAN( SIN(DesignSheet!C11*(A128+DesignSheet!C16)) / ( COS(DesignSheet!C11*(A128+DesignSheet!C16)) + (DesignSheet!C11*DesignSheet!C13)/(DesignSheet!C7*(DesignSheet!C11+1)) ) )+(A128+DesignSheet!C16))</f>
        <v>0.6364265099214037</v>
      </c>
      <c r="C128" s="6">
        <f>(DesignSheet!C11*DesignSheet!C13)*SIN((A128+DesignSheet!C16)) + (DesignSheet!C7)*SIN((DesignSheet!C11+1)*(A128+DesignSheet!C16)) - (DesignSheet!C6/2)*SIN(ATAN( SIN(DesignSheet!C11*(A128+DesignSheet!C16)) / ( COS(DesignSheet!C11*(A128+DesignSheet!C16)) + (DesignSheet!C11*DesignSheet!C13)/(DesignSheet!C7*(DesignSheet!C11+1)) ) )+(A128+DesignSheet!C16))</f>
        <v>0.3968139330583812</v>
      </c>
    </row>
    <row r="129" spans="1:3" x14ac:dyDescent="0.3">
      <c r="A129" s="6">
        <f>2*PI()*127/(DesignSheet!C9-1)</f>
        <v>2.2165681500327987</v>
      </c>
      <c r="B129" s="6">
        <f>(DesignSheet!C11*DesignSheet!C13)*COS((A129+DesignSheet!C16)) + (DesignSheet!C7)*COS((DesignSheet!C11+1)*(A129+DesignSheet!C16)) - (DesignSheet!C6/2)*COS(ATAN( SIN(DesignSheet!C11*(A129+DesignSheet!C16)) / ( COS(DesignSheet!C11*(A129+DesignSheet!C16)) + (DesignSheet!C11*DesignSheet!C13)/(DesignSheet!C7*(DesignSheet!C11+1)) ) )+(A129+DesignSheet!C16))</f>
        <v>0.62940422104162974</v>
      </c>
      <c r="C129" s="6">
        <f>(DesignSheet!C11*DesignSheet!C13)*SIN((A129+DesignSheet!C16)) + (DesignSheet!C7)*SIN((DesignSheet!C11+1)*(A129+DesignSheet!C16)) - (DesignSheet!C6/2)*SIN(ATAN( SIN(DesignSheet!C11*(A129+DesignSheet!C16)) / ( COS(DesignSheet!C11*(A129+DesignSheet!C16)) + (DesignSheet!C11*DesignSheet!C13)/(DesignSheet!C7*(DesignSheet!C11+1)) ) )+(A129+DesignSheet!C16))</f>
        <v>0.40786067049297536</v>
      </c>
    </row>
    <row r="130" spans="1:3" x14ac:dyDescent="0.3">
      <c r="A130" s="6">
        <f>2*PI()*128/(DesignSheet!C9-1)</f>
        <v>2.2340214425527418</v>
      </c>
      <c r="B130" s="6">
        <f>(DesignSheet!C11*DesignSheet!C13)*COS((A130+DesignSheet!C16)) + (DesignSheet!C7)*COS((DesignSheet!C11+1)*(A130+DesignSheet!C16)) - (DesignSheet!C6/2)*COS(ATAN( SIN(DesignSheet!C11*(A130+DesignSheet!C16)) / ( COS(DesignSheet!C11*(A130+DesignSheet!C16)) + (DesignSheet!C11*DesignSheet!C13)/(DesignSheet!C7*(DesignSheet!C11+1)) ) )+(A130+DesignSheet!C16))</f>
        <v>0.62219020953895099</v>
      </c>
      <c r="C130" s="6">
        <f>(DesignSheet!C11*DesignSheet!C13)*SIN((A130+DesignSheet!C16)) + (DesignSheet!C7)*SIN((DesignSheet!C11+1)*(A130+DesignSheet!C16)) - (DesignSheet!C6/2)*SIN(ATAN( SIN(DesignSheet!C11*(A130+DesignSheet!C16)) / ( COS(DesignSheet!C11*(A130+DesignSheet!C16)) + (DesignSheet!C11*DesignSheet!C13)/(DesignSheet!C7*(DesignSheet!C11+1)) ) )+(A130+DesignSheet!C16))</f>
        <v>0.41878316961630196</v>
      </c>
    </row>
    <row r="131" spans="1:3" x14ac:dyDescent="0.3">
      <c r="A131" s="6">
        <f>2*PI()*129/(DesignSheet!C9-1)</f>
        <v>2.2514747350726849</v>
      </c>
      <c r="B131" s="6">
        <f>(DesignSheet!C11*DesignSheet!C13)*COS((A131+DesignSheet!C16)) + (DesignSheet!C7)*COS((DesignSheet!C11+1)*(A131+DesignSheet!C16)) - (DesignSheet!C6/2)*COS(ATAN( SIN(DesignSheet!C11*(A131+DesignSheet!C16)) / ( COS(DesignSheet!C11*(A131+DesignSheet!C16)) + (DesignSheet!C11*DesignSheet!C13)/(DesignSheet!C7*(DesignSheet!C11+1)) ) )+(A131+DesignSheet!C16))</f>
        <v>0.61478667287115474</v>
      </c>
      <c r="C131" s="6">
        <f>(DesignSheet!C11*DesignSheet!C13)*SIN((A131+DesignSheet!C16)) + (DesignSheet!C7)*SIN((DesignSheet!C11+1)*(A131+DesignSheet!C16)) - (DesignSheet!C6/2)*SIN(ATAN( SIN(DesignSheet!C11*(A131+DesignSheet!C16)) / ( COS(DesignSheet!C11*(A131+DesignSheet!C16)) + (DesignSheet!C11*DesignSheet!C13)/(DesignSheet!C7*(DesignSheet!C11+1)) ) )+(A131+DesignSheet!C16))</f>
        <v>0.42957810332931984</v>
      </c>
    </row>
    <row r="132" spans="1:3" x14ac:dyDescent="0.3">
      <c r="A132" s="6">
        <f>2*PI()*130/(DesignSheet!C9-1)</f>
        <v>2.2689280275926285</v>
      </c>
      <c r="B132" s="6">
        <f>(DesignSheet!C11*DesignSheet!C13)*COS((A132+DesignSheet!C16)) + (DesignSheet!C7)*COS((DesignSheet!C11+1)*(A132+DesignSheet!C16)) - (DesignSheet!C6/2)*COS(ATAN( SIN(DesignSheet!C11*(A132+DesignSheet!C16)) / ( COS(DesignSheet!C11*(A132+DesignSheet!C16)) + (DesignSheet!C11*DesignSheet!C13)/(DesignSheet!C7*(DesignSheet!C11+1)) ) )+(A132+DesignSheet!C16))</f>
        <v>0.60719586622722954</v>
      </c>
      <c r="C132" s="6">
        <f>(DesignSheet!C11*DesignSheet!C13)*SIN((A132+DesignSheet!C16)) + (DesignSheet!C7)*SIN((DesignSheet!C11+1)*(A132+DesignSheet!C16)) - (DesignSheet!C6/2)*SIN(ATAN( SIN(DesignSheet!C11*(A132+DesignSheet!C16)) / ( COS(DesignSheet!C11*(A132+DesignSheet!C16)) + (DesignSheet!C11*DesignSheet!C13)/(DesignSheet!C7*(DesignSheet!C11+1)) ) )+(A132+DesignSheet!C16))</f>
        <v>0.44024218339064725</v>
      </c>
    </row>
    <row r="133" spans="1:3" x14ac:dyDescent="0.3">
      <c r="A133" s="6">
        <f>2*PI()*131/(DesignSheet!C9-1)</f>
        <v>2.286381320112572</v>
      </c>
      <c r="B133" s="6">
        <f>(DesignSheet!C11*DesignSheet!C13)*COS((A133+DesignSheet!C16)) + (DesignSheet!C7)*COS((DesignSheet!C11+1)*(A133+DesignSheet!C16)) - (DesignSheet!C6/2)*COS(ATAN( SIN(DesignSheet!C11*(A133+DesignSheet!C16)) / ( COS(DesignSheet!C11*(A133+DesignSheet!C16)) + (DesignSheet!C11*DesignSheet!C13)/(DesignSheet!C7*(DesignSheet!C11+1)) ) )+(A133+DesignSheet!C16))</f>
        <v>0.59942010184041317</v>
      </c>
      <c r="C133" s="6">
        <f>(DesignSheet!C11*DesignSheet!C13)*SIN((A133+DesignSheet!C16)) + (DesignSheet!C7)*SIN((DesignSheet!C11+1)*(A133+DesignSheet!C16)) - (DesignSheet!C6/2)*SIN(ATAN( SIN(DesignSheet!C11*(A133+DesignSheet!C16)) / ( COS(DesignSheet!C11*(A133+DesignSheet!C16)) + (DesignSheet!C11*DesignSheet!C13)/(DesignSheet!C7*(DesignSheet!C11+1)) ) )+(A133+DesignSheet!C16))</f>
        <v>0.45077216141819221</v>
      </c>
    </row>
    <row r="134" spans="1:3" x14ac:dyDescent="0.3">
      <c r="A134" s="6">
        <f>2*PI()*132/(DesignSheet!C9-1)</f>
        <v>2.3038346126325151</v>
      </c>
      <c r="B134" s="6">
        <f>(DesignSheet!C11*DesignSheet!C13)*COS((A134+DesignSheet!C16)) + (DesignSheet!C7)*COS((DesignSheet!C11+1)*(A134+DesignSheet!C16)) - (DesignSheet!C6/2)*COS(ATAN( SIN(DesignSheet!C11*(A134+DesignSheet!C16)) / ( COS(DesignSheet!C11*(A134+DesignSheet!C16)) + (DesignSheet!C11*DesignSheet!C13)/(DesignSheet!C7*(DesignSheet!C11+1)) ) )+(A134+DesignSheet!C16))</f>
        <v>0.59146174828386344</v>
      </c>
      <c r="C134" s="6">
        <f>(DesignSheet!C11*DesignSheet!C13)*SIN((A134+DesignSheet!C16)) + (DesignSheet!C7)*SIN((DesignSheet!C11+1)*(A134+DesignSheet!C16)) - (DesignSheet!C6/2)*SIN(ATAN( SIN(DesignSheet!C11*(A134+DesignSheet!C16)) / ( COS(DesignSheet!C11*(A134+DesignSheet!C16)) + (DesignSheet!C11*DesignSheet!C13)/(DesignSheet!C7*(DesignSheet!C11+1)) ) )+(A134+DesignSheet!C16))</f>
        <v>0.46116482987864083</v>
      </c>
    </row>
    <row r="135" spans="1:3" x14ac:dyDescent="0.3">
      <c r="A135" s="6">
        <f>2*PI()*133/(DesignSheet!C9-1)</f>
        <v>2.3212879051524582</v>
      </c>
      <c r="B135" s="6">
        <f>(DesignSheet!C11*DesignSheet!C13)*COS((A135+DesignSheet!C16)) + (DesignSheet!C7)*COS((DesignSheet!C11+1)*(A135+DesignSheet!C16)) - (DesignSheet!C6/2)*COS(ATAN( SIN(DesignSheet!C11*(A135+DesignSheet!C16)) / ( COS(DesignSheet!C11*(A135+DesignSheet!C16)) + (DesignSheet!C11*DesignSheet!C13)/(DesignSheet!C7*(DesignSheet!C11+1)) ) )+(A135+DesignSheet!C16))</f>
        <v>0.58332322974916784</v>
      </c>
      <c r="C135" s="6">
        <f>(DesignSheet!C11*DesignSheet!C13)*SIN((A135+DesignSheet!C16)) + (DesignSheet!C7)*SIN((DesignSheet!C11+1)*(A135+DesignSheet!C16)) - (DesignSheet!C6/2)*SIN(ATAN( SIN(DesignSheet!C11*(A135+DesignSheet!C16)) / ( COS(DesignSheet!C11*(A135+DesignSheet!C16)) + (DesignSheet!C11*DesignSheet!C13)/(DesignSheet!C7*(DesignSheet!C11+1)) ) )+(A135+DesignSheet!C16))</f>
        <v>0.4714170230645045</v>
      </c>
    </row>
    <row r="136" spans="1:3" x14ac:dyDescent="0.3">
      <c r="A136" s="6">
        <f>2*PI()*134/(DesignSheet!C9-1)</f>
        <v>2.3387411976724013</v>
      </c>
      <c r="B136" s="6">
        <f>(DesignSheet!C11*DesignSheet!C13)*COS((A136+DesignSheet!C16)) + (DesignSheet!C7)*COS((DesignSheet!C11+1)*(A136+DesignSheet!C16)) - (DesignSheet!C6/2)*COS(ATAN( SIN(DesignSheet!C11*(A136+DesignSheet!C16)) / ( COS(DesignSheet!C11*(A136+DesignSheet!C16)) + (DesignSheet!C11*DesignSheet!C13)/(DesignSheet!C7*(DesignSheet!C11+1)) ) )+(A136+DesignSheet!C16))</f>
        <v>0.57500702530791159</v>
      </c>
      <c r="C136" s="6">
        <f>(DesignSheet!C11*DesignSheet!C13)*SIN((A136+DesignSheet!C16)) + (DesignSheet!C7)*SIN((DesignSheet!C11+1)*(A136+DesignSheet!C16)) - (DesignSheet!C6/2)*SIN(ATAN( SIN(DesignSheet!C11*(A136+DesignSheet!C16)) / ( COS(DesignSheet!C11*(A136+DesignSheet!C16)) + (DesignSheet!C11*DesignSheet!C13)/(DesignSheet!C7*(DesignSheet!C11+1)) ) )+(A136+DesignSheet!C16))</f>
        <v>0.48152561805842337</v>
      </c>
    </row>
    <row r="137" spans="1:3" x14ac:dyDescent="0.3">
      <c r="A137" s="6">
        <f>2*PI()*135/(DesignSheet!C9-1)</f>
        <v>2.3561944901923448</v>
      </c>
      <c r="B137" s="6">
        <f>(DesignSheet!C11*DesignSheet!C13)*COS((A137+DesignSheet!C16)) + (DesignSheet!C7)*COS((DesignSheet!C11+1)*(A137+DesignSheet!C16)) - (DesignSheet!C6/2)*COS(ATAN( SIN(DesignSheet!C11*(A137+DesignSheet!C16)) / ( COS(DesignSheet!C11*(A137+DesignSheet!C16)) + (DesignSheet!C11*DesignSheet!C13)/(DesignSheet!C7*(DesignSheet!C11+1)) ) )+(A137+DesignSheet!C16))</f>
        <v>0.56651566815652832</v>
      </c>
      <c r="C137" s="6">
        <f>(DesignSheet!C11*DesignSheet!C13)*SIN((A137+DesignSheet!C16)) + (DesignSheet!C7)*SIN((DesignSheet!C11+1)*(A137+DesignSheet!C16)) - (DesignSheet!C6/2)*SIN(ATAN( SIN(DesignSheet!C11*(A137+DesignSheet!C16)) / ( COS(DesignSheet!C11*(A137+DesignSheet!C16)) + (DesignSheet!C11*DesignSheet!C13)/(DesignSheet!C7*(DesignSheet!C11+1)) ) )+(A137+DesignSheet!C16))</f>
        <v>0.49148753568443859</v>
      </c>
    </row>
    <row r="138" spans="1:3" x14ac:dyDescent="0.3">
      <c r="A138" s="6">
        <f>2*PI()*136/(DesignSheet!C9-1)</f>
        <v>2.3736477827122884</v>
      </c>
      <c r="B138" s="6">
        <f>(DesignSheet!C11*DesignSheet!C13)*COS((A138+DesignSheet!C16)) + (DesignSheet!C7)*COS((DesignSheet!C11+1)*(A138+DesignSheet!C16)) - (DesignSheet!C6/2)*COS(ATAN( SIN(DesignSheet!C11*(A138+DesignSheet!C16)) / ( COS(DesignSheet!C11*(A138+DesignSheet!C16)) + (DesignSheet!C11*DesignSheet!C13)/(DesignSheet!C7*(DesignSheet!C11+1)) ) )+(A138+DesignSheet!C16))</f>
        <v>0.55785174484466404</v>
      </c>
      <c r="C138" s="6">
        <f>(DesignSheet!C11*DesignSheet!C13)*SIN((A138+DesignSheet!C16)) + (DesignSheet!C7)*SIN((DesignSheet!C11+1)*(A138+DesignSheet!C16)) - (DesignSheet!C6/2)*SIN(ATAN( SIN(DesignSheet!C11*(A138+DesignSheet!C16)) / ( COS(DesignSheet!C11*(A138+DesignSheet!C16)) + (DesignSheet!C11*DesignSheet!C13)/(DesignSheet!C7*(DesignSheet!C11+1)) ) )+(A138+DesignSheet!C16))</f>
        <v>0.50129974144593759</v>
      </c>
    </row>
    <row r="139" spans="1:3" x14ac:dyDescent="0.3">
      <c r="A139" s="6">
        <f>2*PI()*137/(DesignSheet!C9-1)</f>
        <v>2.3911010752322315</v>
      </c>
      <c r="B139" s="6">
        <f>(DesignSheet!C11*DesignSheet!C13)*COS((A139+DesignSheet!C16)) + (DesignSheet!C7)*COS((DesignSheet!C11+1)*(A139+DesignSheet!C16)) - (DesignSheet!C6/2)*COS(ATAN( SIN(DesignSheet!C11*(A139+DesignSheet!C16)) / ( COS(DesignSheet!C11*(A139+DesignSheet!C16)) + (DesignSheet!C11*DesignSheet!C13)/(DesignSheet!C7*(DesignSheet!C11+1)) ) )+(A139+DesignSheet!C16))</f>
        <v>0.54901789448728899</v>
      </c>
      <c r="C139" s="6">
        <f>(DesignSheet!C11*DesignSheet!C13)*SIN((A139+DesignSheet!C16)) + (DesignSheet!C7)*SIN((DesignSheet!C11+1)*(A139+DesignSheet!C16)) - (DesignSheet!C6/2)*SIN(ATAN( SIN(DesignSheet!C11*(A139+DesignSheet!C16)) / ( COS(DesignSheet!C11*(A139+DesignSheet!C16)) + (DesignSheet!C11*DesignSheet!C13)/(DesignSheet!C7*(DesignSheet!C11+1)) ) )+(A139+DesignSheet!C16))</f>
        <v>0.51095924644999235</v>
      </c>
    </row>
    <row r="140" spans="1:3" x14ac:dyDescent="0.3">
      <c r="A140" s="6">
        <f>2*PI()*138/(DesignSheet!C9-1)</f>
        <v>2.4085543677521746</v>
      </c>
      <c r="B140" s="6">
        <f>(DesignSheet!C11*DesignSheet!C13)*COS((A140+DesignSheet!C16)) + (DesignSheet!C7)*COS((DesignSheet!C11+1)*(A140+DesignSheet!C16)) - (DesignSheet!C6/2)*COS(ATAN( SIN(DesignSheet!C11*(A140+DesignSheet!C16)) / ( COS(DesignSheet!C11*(A140+DesignSheet!C16)) + (DesignSheet!C11*DesignSheet!C13)/(DesignSheet!C7*(DesignSheet!C11+1)) ) )+(A140+DesignSheet!C16))</f>
        <v>0.54001680796079743</v>
      </c>
      <c r="C140" s="6">
        <f>(DesignSheet!C11*DesignSheet!C13)*SIN((A140+DesignSheet!C16)) + (DesignSheet!C7)*SIN((DesignSheet!C11+1)*(A140+DesignSheet!C16)) - (DesignSheet!C6/2)*SIN(ATAN( SIN(DesignSheet!C11*(A140+DesignSheet!C16)) / ( COS(DesignSheet!C11*(A140+DesignSheet!C16)) + (DesignSheet!C11*DesignSheet!C13)/(DesignSheet!C7*(DesignSheet!C11+1)) ) )+(A140+DesignSheet!C16))</f>
        <v>0.52046310831780507</v>
      </c>
    </row>
    <row r="141" spans="1:3" x14ac:dyDescent="0.3">
      <c r="A141" s="6">
        <f>2*PI()*139/(DesignSheet!C9-1)</f>
        <v>2.4260076602721181</v>
      </c>
      <c r="B141" s="6">
        <f>(DesignSheet!C11*DesignSheet!C13)*COS((A141+DesignSheet!C16)) + (DesignSheet!C7)*COS((DesignSheet!C11+1)*(A141+DesignSheet!C16)) - (DesignSheet!C6/2)*COS(ATAN( SIN(DesignSheet!C11*(A141+DesignSheet!C16)) / ( COS(DesignSheet!C11*(A141+DesignSheet!C16)) + (DesignSheet!C11*DesignSheet!C13)/(DesignSheet!C7*(DesignSheet!C11+1)) ) )+(A141+DesignSheet!C16))</f>
        <v>0.53085122708334054</v>
      </c>
      <c r="C141" s="6">
        <f>(DesignSheet!C11*DesignSheet!C13)*SIN((A141+DesignSheet!C16)) + (DesignSheet!C7)*SIN((DesignSheet!C11+1)*(A141+DesignSheet!C16)) - (DesignSheet!C6/2)*SIN(ATAN( SIN(DesignSheet!C11*(A141+DesignSheet!C16)) / ( COS(DesignSheet!C11*(A141+DesignSheet!C16)) + (DesignSheet!C11*DesignSheet!C13)/(DesignSheet!C7*(DesignSheet!C11+1)) ) )+(A141+DesignSheet!C16))</f>
        <v>0.52980843208098494</v>
      </c>
    </row>
    <row r="142" spans="1:3" x14ac:dyDescent="0.3">
      <c r="A142" s="6">
        <f>2*PI()*140/(DesignSheet!C9-1)</f>
        <v>2.4434609527920612</v>
      </c>
      <c r="B142" s="6">
        <f>(DesignSheet!C11*DesignSheet!C13)*COS((A142+DesignSheet!C16)) + (DesignSheet!C7)*COS((DesignSheet!C11+1)*(A142+DesignSheet!C16)) - (DesignSheet!C6/2)*COS(ATAN( SIN(DesignSheet!C11*(A142+DesignSheet!C16)) / ( COS(DesignSheet!C11*(A142+DesignSheet!C16)) + (DesignSheet!C11*DesignSheet!C13)/(DesignSheet!C7*(DesignSheet!C11+1)) ) )+(A142+DesignSheet!C16))</f>
        <v>0.52152394377964284</v>
      </c>
      <c r="C142" s="6">
        <f>(DesignSheet!C11*DesignSheet!C13)*SIN((A142+DesignSheet!C16)) + (DesignSheet!C7)*SIN((DesignSheet!C11+1)*(A142+DesignSheet!C16)) - (DesignSheet!C6/2)*SIN(ATAN( SIN(DesignSheet!C11*(A142+DesignSheet!C16)) / ( COS(DesignSheet!C11*(A142+DesignSheet!C16)) + (DesignSheet!C11*DesignSheet!C13)/(DesignSheet!C7*(DesignSheet!C11+1)) ) )+(A142+DesignSheet!C16))</f>
        <v>0.53899237106338327</v>
      </c>
    </row>
    <row r="143" spans="1:3" x14ac:dyDescent="0.3">
      <c r="A143" s="6">
        <f>2*PI()*141/(DesignSheet!C9-1)</f>
        <v>2.4609142453120043</v>
      </c>
      <c r="B143" s="6">
        <f>(DesignSheet!C11*DesignSheet!C13)*COS((A143+DesignSheet!C16)) + (DesignSheet!C7)*COS((DesignSheet!C11+1)*(A143+DesignSheet!C16)) - (DesignSheet!C6/2)*COS(ATAN( SIN(DesignSheet!C11*(A143+DesignSheet!C16)) / ( COS(DesignSheet!C11*(A143+DesignSheet!C16)) + (DesignSheet!C11*DesignSheet!C13)/(DesignSheet!C7*(DesignSheet!C11+1)) ) )+(A143+DesignSheet!C16))</f>
        <v>0.51203779923055415</v>
      </c>
      <c r="C143" s="6">
        <f>(DesignSheet!C11*DesignSheet!C13)*SIN((A143+DesignSheet!C16)) + (DesignSheet!C7)*SIN((DesignSheet!C11+1)*(A143+DesignSheet!C16)) - (DesignSheet!C6/2)*SIN(ATAN( SIN(DesignSheet!C11*(A143+DesignSheet!C16)) / ( COS(DesignSheet!C11*(A143+DesignSheet!C16)) + (DesignSheet!C11*DesignSheet!C13)/(DesignSheet!C7*(DesignSheet!C11+1)) ) )+(A143+DesignSheet!C16))</f>
        <v>0.5480121277482195</v>
      </c>
    </row>
    <row r="144" spans="1:3" x14ac:dyDescent="0.3">
      <c r="A144" s="6">
        <f>2*PI()*142/(DesignSheet!C9-1)</f>
        <v>2.4783675378319479</v>
      </c>
      <c r="B144" s="6">
        <f>(DesignSheet!C11*DesignSheet!C13)*COS((A144+DesignSheet!C16)) + (DesignSheet!C7)*COS((DesignSheet!C11+1)*(A144+DesignSheet!C16)) - (DesignSheet!C6/2)*COS(ATAN( SIN(DesignSheet!C11*(A144+DesignSheet!C16)) / ( COS(DesignSheet!C11*(A144+DesignSheet!C16)) + (DesignSheet!C11*DesignSheet!C13)/(DesignSheet!C7*(DesignSheet!C11+1)) ) )+(A144+DesignSheet!C16))</f>
        <v>0.50239568300759796</v>
      </c>
      <c r="C144" s="6">
        <f>(DesignSheet!C11*DesignSheet!C13)*SIN((A144+DesignSheet!C16)) + (DesignSheet!C7)*SIN((DesignSheet!C11+1)*(A144+DesignSheet!C16)) - (DesignSheet!C6/2)*SIN(ATAN( SIN(DesignSheet!C11*(A144+DesignSheet!C16)) / ( COS(DesignSheet!C11*(A144+DesignSheet!C16)) + (DesignSheet!C11*DesignSheet!C13)/(DesignSheet!C7*(DesignSheet!C11+1)) ) )+(A144+DesignSheet!C16))</f>
        <v>0.55686495463023089</v>
      </c>
    </row>
    <row r="145" spans="1:3" x14ac:dyDescent="0.3">
      <c r="A145" s="6">
        <f>2*PI()*143/(DesignSheet!C9-1)</f>
        <v>2.4958208303518914</v>
      </c>
      <c r="B145" s="6">
        <f>(DesignSheet!C11*DesignSheet!C13)*COS((A145+DesignSheet!C16)) + (DesignSheet!C7)*COS((DesignSheet!C11+1)*(A145+DesignSheet!C16)) - (DesignSheet!C6/2)*COS(ATAN( SIN(DesignSheet!C11*(A145+DesignSheet!C16)) / ( COS(DesignSheet!C11*(A145+DesignSheet!C16)) + (DesignSheet!C11*DesignSheet!C13)/(DesignSheet!C7*(DesignSheet!C11+1)) ) )+(A145+DesignSheet!C16))</f>
        <v>0.49260053219278138</v>
      </c>
      <c r="C145" s="6">
        <f>(DesignSheet!C11*DesignSheet!C13)*SIN((A145+DesignSheet!C16)) + (DesignSheet!C7)*SIN((DesignSheet!C11+1)*(A145+DesignSheet!C16)) - (DesignSheet!C6/2)*SIN(ATAN( SIN(DesignSheet!C11*(A145+DesignSheet!C16)) / ( COS(DesignSheet!C11*(A145+DesignSheet!C16)) + (DesignSheet!C11*DesignSheet!C13)/(DesignSheet!C7*(DesignSheet!C11+1)) ) )+(A145+DesignSheet!C16))</f>
        <v>0.56554815505259015</v>
      </c>
    </row>
    <row r="146" spans="1:3" x14ac:dyDescent="0.3">
      <c r="A146" s="6">
        <f>2*PI()*144/(DesignSheet!C9-1)</f>
        <v>2.5132741228718345</v>
      </c>
      <c r="B146" s="6">
        <f>(DesignSheet!C11*DesignSheet!C13)*COS((A146+DesignSheet!C16)) + (DesignSheet!C7)*COS((DesignSheet!C11+1)*(A146+DesignSheet!C16)) - (DesignSheet!C6/2)*COS(ATAN( SIN(DesignSheet!C11*(A146+DesignSheet!C16)) / ( COS(DesignSheet!C11*(A146+DesignSheet!C16)) + (DesignSheet!C11*DesignSheet!C13)/(DesignSheet!C7*(DesignSheet!C11+1)) ) )+(A146+DesignSheet!C16))</f>
        <v>0.48265533048393061</v>
      </c>
      <c r="C146" s="6">
        <f>(DesignSheet!C11*DesignSheet!C13)*SIN((A146+DesignSheet!C16)) + (DesignSheet!C7)*SIN((DesignSheet!C11+1)*(A146+DesignSheet!C16)) - (DesignSheet!C6/2)*SIN(ATAN( SIN(DesignSheet!C11*(A146+DesignSheet!C16)) / ( COS(DesignSheet!C11*(A146+DesignSheet!C16)) + (DesignSheet!C11*DesignSheet!C13)/(DesignSheet!C7*(DesignSheet!C11+1)) ) )+(A146+DesignSheet!C16))</f>
        <v>0.57405908402833217</v>
      </c>
    </row>
    <row r="147" spans="1:3" x14ac:dyDescent="0.3">
      <c r="A147" s="6">
        <f>2*PI()*145/(DesignSheet!C9-1)</f>
        <v>2.5307274153917776</v>
      </c>
      <c r="B147" s="6">
        <f>(DesignSheet!C11*DesignSheet!C13)*COS((A147+DesignSheet!C16)) + (DesignSheet!C7)*COS((DesignSheet!C11+1)*(A147+DesignSheet!C16)) - (DesignSheet!C6/2)*COS(ATAN( SIN(DesignSheet!C11*(A147+DesignSheet!C16)) / ( COS(DesignSheet!C11*(A147+DesignSheet!C16)) + (DesignSheet!C11*DesignSheet!C13)/(DesignSheet!C7*(DesignSheet!C11+1)) ) )+(A147+DesignSheet!C16))</f>
        <v>0.47256310728582729</v>
      </c>
      <c r="C147" s="6">
        <f>(DesignSheet!C11*DesignSheet!C13)*SIN((A147+DesignSheet!C16)) + (DesignSheet!C7)*SIN((DesignSheet!C11+1)*(A147+DesignSheet!C16)) - (DesignSheet!C6/2)*SIN(ATAN( SIN(DesignSheet!C11*(A147+DesignSheet!C16)) / ( COS(DesignSheet!C11*(A147+DesignSheet!C16)) + (DesignSheet!C11*DesignSheet!C13)/(DesignSheet!C7*(DesignSheet!C11+1)) ) )+(A147+DesignSheet!C16))</f>
        <v>0.58239514904604384</v>
      </c>
    </row>
    <row r="148" spans="1:3" x14ac:dyDescent="0.3">
      <c r="A148" s="6">
        <f>2*PI()*146/(DesignSheet!C9-1)</f>
        <v>2.5481807079117211</v>
      </c>
      <c r="B148" s="6">
        <f>(DesignSheet!C11*DesignSheet!C13)*COS((A148+DesignSheet!C16)) + (DesignSheet!C7)*COS((DesignSheet!C11+1)*(A148+DesignSheet!C16)) - (DesignSheet!C6/2)*COS(ATAN( SIN(DesignSheet!C11*(A148+DesignSheet!C16)) / ( COS(DesignSheet!C11*(A148+DesignSheet!C16)) + (DesignSheet!C11*DesignSheet!C13)/(DesignSheet!C7*(DesignSheet!C11+1)) ) )+(A148+DesignSheet!C16))</f>
        <v>0.46232693678742315</v>
      </c>
      <c r="C148" s="6">
        <f>(DesignSheet!C11*DesignSheet!C13)*SIN((A148+DesignSheet!C16)) + (DesignSheet!C7)*SIN((DesignSheet!C11+1)*(A148+DesignSheet!C16)) - (DesignSheet!C6/2)*SIN(ATAN( SIN(DesignSheet!C11*(A148+DesignSheet!C16)) / ( COS(DesignSheet!C11*(A148+DesignSheet!C16)) + (DesignSheet!C11*DesignSheet!C13)/(DesignSheet!C7*(DesignSheet!C11+1)) ) )+(A148+DesignSheet!C16))</f>
        <v>0.59055381085956771</v>
      </c>
    </row>
    <row r="149" spans="1:3" x14ac:dyDescent="0.3">
      <c r="A149" s="6">
        <f>2*PI()*147/(DesignSheet!C9-1)</f>
        <v>2.5656340004316647</v>
      </c>
      <c r="B149" s="6">
        <f>(DesignSheet!C11*DesignSheet!C13)*COS((A149+DesignSheet!C16)) + (DesignSheet!C7)*COS((DesignSheet!C11+1)*(A149+DesignSheet!C16)) - (DesignSheet!C6/2)*COS(ATAN( SIN(DesignSheet!C11*(A149+DesignSheet!C16)) / ( COS(DesignSheet!C11*(A149+DesignSheet!C16)) + (DesignSheet!C11*DesignSheet!C13)/(DesignSheet!C7*(DesignSheet!C11+1)) ) )+(A149+DesignSheet!C16))</f>
        <v>0.45194993702541142</v>
      </c>
      <c r="C149" s="6">
        <f>(DesignSheet!C11*DesignSheet!C13)*SIN((A149+DesignSheet!C16)) + (DesignSheet!C7)*SIN((DesignSheet!C11+1)*(A149+DesignSheet!C16)) - (DesignSheet!C6/2)*SIN(ATAN( SIN(DesignSheet!C11*(A149+DesignSheet!C16)) / ( COS(DesignSheet!C11*(A149+DesignSheet!C16)) + (DesignSheet!C11*DesignSheet!C13)/(DesignSheet!C7*(DesignSheet!C11+1)) ) )+(A149+DesignSheet!C16))</f>
        <v>0.59853258426148082</v>
      </c>
    </row>
    <row r="150" spans="1:3" x14ac:dyDescent="0.3">
      <c r="A150" s="6">
        <f>2*PI()*148/(DesignSheet!C9-1)</f>
        <v>2.5830872929516078</v>
      </c>
      <c r="B150" s="6">
        <f>(DesignSheet!C11*DesignSheet!C13)*COS((A150+DesignSheet!C16)) + (DesignSheet!C7)*COS((DesignSheet!C11+1)*(A150+DesignSheet!C16)) - (DesignSheet!C6/2)*COS(ATAN( SIN(DesignSheet!C11*(A150+DesignSheet!C16)) / ( COS(DesignSheet!C11*(A150+DesignSheet!C16)) + (DesignSheet!C11*DesignSheet!C13)/(DesignSheet!C7*(DesignSheet!C11+1)) ) )+(A150+DesignSheet!C16))</f>
        <v>0.44143526893444479</v>
      </c>
      <c r="C150" s="6">
        <f>(DesignSheet!C11*DesignSheet!C13)*SIN((A150+DesignSheet!C16)) + (DesignSheet!C7)*SIN((DesignSheet!C11+1)*(A150+DesignSheet!C16)) - (DesignSheet!C6/2)*SIN(ATAN( SIN(DesignSheet!C11*(A150+DesignSheet!C16)) / ( COS(DesignSheet!C11*(A150+DesignSheet!C16)) + (DesignSheet!C11*DesignSheet!C13)/(DesignSheet!C7*(DesignSheet!C11+1)) ) )+(A150+DesignSheet!C16))</f>
        <v>0.60632903884011224</v>
      </c>
    </row>
    <row r="151" spans="1:3" x14ac:dyDescent="0.3">
      <c r="A151" s="6">
        <f>2*PI()*149/(DesignSheet!C9-1)</f>
        <v>2.6005405854715509</v>
      </c>
      <c r="B151" s="6">
        <f>(DesignSheet!C11*DesignSheet!C13)*COS((A151+DesignSheet!C16)) + (DesignSheet!C7)*COS((DesignSheet!C11+1)*(A151+DesignSheet!C16)) - (DesignSheet!C6/2)*COS(ATAN( SIN(DesignSheet!C11*(A151+DesignSheet!C16)) / ( COS(DesignSheet!C11*(A151+DesignSheet!C16)) + (DesignSheet!C11*DesignSheet!C13)/(DesignSheet!C7*(DesignSheet!C11+1)) ) )+(A151+DesignSheet!C16))</f>
        <v>0.43078613538428145</v>
      </c>
      <c r="C151" s="6">
        <f>(DesignSheet!C11*DesignSheet!C13)*SIN((A151+DesignSheet!C16)) + (DesignSheet!C7)*SIN((DesignSheet!C11+1)*(A151+DesignSheet!C16)) - (DesignSheet!C6/2)*SIN(ATAN( SIN(DesignSheet!C11*(A151+DesignSheet!C16)) / ( COS(DesignSheet!C11*(A151+DesignSheet!C16)) + (DesignSheet!C11*DesignSheet!C13)/(DesignSheet!C7*(DesignSheet!C11+1)) ) )+(A151+DesignSheet!C16))</f>
        <v>0.6139407997198717</v>
      </c>
    </row>
    <row r="152" spans="1:3" x14ac:dyDescent="0.3">
      <c r="A152" s="6">
        <f>2*PI()*150/(DesignSheet!C9-1)</f>
        <v>2.6179938779914944</v>
      </c>
      <c r="B152" s="6">
        <f>(DesignSheet!C11*DesignSheet!C13)*COS((A152+DesignSheet!C16)) + (DesignSheet!C7)*COS((DesignSheet!C11+1)*(A152+DesignSheet!C16)) - (DesignSheet!C6/2)*COS(ATAN( SIN(DesignSheet!C11*(A152+DesignSheet!C16)) / ( COS(DesignSheet!C11*(A152+DesignSheet!C16)) + (DesignSheet!C11*DesignSheet!C13)/(DesignSheet!C7*(DesignSheet!C11+1)) ) )+(A152+DesignSheet!C16))</f>
        <v>0.42000578020416035</v>
      </c>
      <c r="C152" s="6">
        <f>(DesignSheet!C11*DesignSheet!C13)*SIN((A152+DesignSheet!C16)) + (DesignSheet!C7)*SIN((DesignSheet!C11+1)*(A152+DesignSheet!C16)) - (DesignSheet!C6/2)*SIN(ATAN( SIN(DesignSheet!C11*(A152+DesignSheet!C16)) / ( COS(DesignSheet!C11*(A152+DesignSheet!C16)) + (DesignSheet!C11*DesignSheet!C13)/(DesignSheet!C7*(DesignSheet!C11+1)) ) )+(A152+DesignSheet!C16))</f>
        <v>0.62136554828465873</v>
      </c>
    </row>
    <row r="153" spans="1:3" x14ac:dyDescent="0.3">
      <c r="A153" s="6">
        <f>2*PI()*151/(DesignSheet!C9-1)</f>
        <v>2.6354471705114375</v>
      </c>
      <c r="B153" s="6">
        <f>(DesignSheet!C11*DesignSheet!C13)*COS((A153+DesignSheet!C16)) + (DesignSheet!C7)*COS((DesignSheet!C11+1)*(A153+DesignSheet!C16)) - (DesignSheet!C6/2)*COS(ATAN( SIN(DesignSheet!C11*(A153+DesignSheet!C16)) / ( COS(DesignSheet!C11*(A153+DesignSheet!C16)) + (DesignSheet!C11*DesignSheet!C13)/(DesignSheet!C7*(DesignSheet!C11+1)) ) )+(A153+DesignSheet!C16))</f>
        <v>0.4090974871947029</v>
      </c>
      <c r="C153" s="6">
        <f>(DesignSheet!C11*DesignSheet!C13)*SIN((A153+DesignSheet!C16)) + (DesignSheet!C7)*SIN((DesignSheet!C11+1)*(A153+DesignSheet!C16)) - (DesignSheet!C6/2)*SIN(ATAN( SIN(DesignSheet!C11*(A153+DesignSheet!C16)) / ( COS(DesignSheet!C11*(A153+DesignSheet!C16)) + (DesignSheet!C11*DesignSheet!C13)/(DesignSheet!C7*(DesignSheet!C11+1)) ) )+(A153+DesignSheet!C16))</f>
        <v>0.62860102288413433</v>
      </c>
    </row>
    <row r="154" spans="1:3" x14ac:dyDescent="0.3">
      <c r="A154" s="6">
        <f>2*PI()*152/(DesignSheet!C9-1)</f>
        <v>2.6529004630313806</v>
      </c>
      <c r="B154" s="6">
        <f>(DesignSheet!C11*DesignSheet!C13)*COS((A154+DesignSheet!C16)) + (DesignSheet!C7)*COS((DesignSheet!C11+1)*(A154+DesignSheet!C16)) - (DesignSheet!C6/2)*COS(ATAN( SIN(DesignSheet!C11*(A154+DesignSheet!C16)) / ( COS(DesignSheet!C11*(A154+DesignSheet!C16)) + (DesignSheet!C11*DesignSheet!C13)/(DesignSheet!C7*(DesignSheet!C11+1)) ) )+(A154+DesignSheet!C16))</f>
        <v>0.39806457912762844</v>
      </c>
      <c r="C154" s="6">
        <f>(DesignSheet!C11*DesignSheet!C13)*SIN((A154+DesignSheet!C16)) + (DesignSheet!C7)*SIN((DesignSheet!C11+1)*(A154+DesignSheet!C16)) - (DesignSheet!C6/2)*SIN(ATAN( SIN(DesignSheet!C11*(A154+DesignSheet!C16)) / ( COS(DesignSheet!C11*(A154+DesignSheet!C16)) + (DesignSheet!C11*DesignSheet!C13)/(DesignSheet!C7*(DesignSheet!C11+1)) ) )+(A154+DesignSheet!C16))</f>
        <v>0.63564501952264529</v>
      </c>
    </row>
    <row r="155" spans="1:3" x14ac:dyDescent="0.3">
      <c r="A155" s="6">
        <f>2*PI()*153/(DesignSheet!C9-1)</f>
        <v>2.6703537555513241</v>
      </c>
      <c r="B155" s="6">
        <f>(DesignSheet!C11*DesignSheet!C13)*COS((A155+DesignSheet!C16)) + (DesignSheet!C7)*COS((DesignSheet!C11+1)*(A155+DesignSheet!C16)) - (DesignSheet!C6/2)*COS(ATAN( SIN(DesignSheet!C11*(A155+DesignSheet!C16)) / ( COS(DesignSheet!C11*(A155+DesignSheet!C16)) + (DesignSheet!C11*DesignSheet!C13)/(DesignSheet!C7*(DesignSheet!C11+1)) ) )+(A155+DesignSheet!C16))</f>
        <v>0.38691041673361415</v>
      </c>
      <c r="C155" s="6">
        <f>(DesignSheet!C11*DesignSheet!C13)*SIN((A155+DesignSheet!C16)) + (DesignSheet!C7)*SIN((DesignSheet!C11+1)*(A155+DesignSheet!C16)) - (DesignSheet!C6/2)*SIN(ATAN( SIN(DesignSheet!C11*(A155+DesignSheet!C16)) / ( COS(DesignSheet!C11*(A155+DesignSheet!C16)) + (DesignSheet!C11*DesignSheet!C13)/(DesignSheet!C7*(DesignSheet!C11+1)) ) )+(A155+DesignSheet!C16))</f>
        <v>0.64249539253057764</v>
      </c>
    </row>
    <row r="156" spans="1:3" x14ac:dyDescent="0.3">
      <c r="A156" s="6">
        <f>2*PI()*154/(DesignSheet!C9-1)</f>
        <v>2.6878070480712677</v>
      </c>
      <c r="B156" s="6">
        <f>(DesignSheet!C11*DesignSheet!C13)*COS((A156+DesignSheet!C16)) + (DesignSheet!C7)*COS((DesignSheet!C11+1)*(A156+DesignSheet!C16)) - (DesignSheet!C6/2)*COS(ATAN( SIN(DesignSheet!C11*(A156+DesignSheet!C16)) / ( COS(DesignSheet!C11*(A156+DesignSheet!C16)) + (DesignSheet!C11*DesignSheet!C13)/(DesignSheet!C7*(DesignSheet!C11+1)) ) )+(A156+DesignSheet!C16))</f>
        <v>0.37563839767857743</v>
      </c>
      <c r="C156" s="6">
        <f>(DesignSheet!C11*DesignSheet!C13)*SIN((A156+DesignSheet!C16)) + (DesignSheet!C7)*SIN((DesignSheet!C11+1)*(A156+DesignSheet!C16)) - (DesignSheet!C6/2)*SIN(ATAN( SIN(DesignSheet!C11*(A156+DesignSheet!C16)) / ( COS(DesignSheet!C11*(A156+DesignSheet!C16)) + (DesignSheet!C11*DesignSheet!C13)/(DesignSheet!C7*(DesignSheet!C11+1)) ) )+(A156+DesignSheet!C16))</f>
        <v>0.64915005521795255</v>
      </c>
    </row>
    <row r="157" spans="1:3" x14ac:dyDescent="0.3">
      <c r="A157" s="6">
        <f>2*PI()*155/(DesignSheet!C9-1)</f>
        <v>2.7052603405912108</v>
      </c>
      <c r="B157" s="6">
        <f>(DesignSheet!C11*DesignSheet!C13)*COS((A157+DesignSheet!C16)) + (DesignSheet!C7)*COS((DesignSheet!C11+1)*(A157+DesignSheet!C16)) - (DesignSheet!C6/2)*COS(ATAN( SIN(DesignSheet!C11*(A157+DesignSheet!C16)) / ( COS(DesignSheet!C11*(A157+DesignSheet!C16)) + (DesignSheet!C11*DesignSheet!C13)/(DesignSheet!C7*(DesignSheet!C11+1)) ) )+(A157+DesignSheet!C16))</f>
        <v>0.36425195552871636</v>
      </c>
      <c r="C157" s="6">
        <f>(DesignSheet!C11*DesignSheet!C13)*SIN((A157+DesignSheet!C16)) + (DesignSheet!C7)*SIN((DesignSheet!C11+1)*(A157+DesignSheet!C16)) - (DesignSheet!C6/2)*SIN(ATAN( SIN(DesignSheet!C11*(A157+DesignSheet!C16)) / ( COS(DesignSheet!C11*(A157+DesignSheet!C16)) + (DesignSheet!C11*DesignSheet!C13)/(DesignSheet!C7*(DesignSheet!C11+1)) ) )+(A157+DesignSheet!C16))</f>
        <v>0.65560698051005073</v>
      </c>
    </row>
    <row r="158" spans="1:3" x14ac:dyDescent="0.3">
      <c r="A158" s="6">
        <f>2*PI()*156/(DesignSheet!C9-1)</f>
        <v>2.7227136331111539</v>
      </c>
      <c r="B158" s="6">
        <f>(DesignSheet!C11*DesignSheet!C13)*COS((A158+DesignSheet!C16)) + (DesignSheet!C7)*COS((DesignSheet!C11+1)*(A158+DesignSheet!C16)) - (DesignSheet!C6/2)*COS(ATAN( SIN(DesignSheet!C11*(A158+DesignSheet!C16)) / ( COS(DesignSheet!C11*(A158+DesignSheet!C16)) + (DesignSheet!C11*DesignSheet!C13)/(DesignSheet!C7*(DesignSheet!C11+1)) ) )+(A158+DesignSheet!C16))</f>
        <v>0.35275455870461447</v>
      </c>
      <c r="C158" s="6">
        <f>(DesignSheet!C11*DesignSheet!C13)*SIN((A158+DesignSheet!C16)) + (DesignSheet!C7)*SIN((DesignSheet!C11+1)*(A158+DesignSheet!C16)) - (DesignSheet!C6/2)*SIN(ATAN( SIN(DesignSheet!C11*(A158+DesignSheet!C16)) / ( COS(DesignSheet!C11*(A158+DesignSheet!C16)) + (DesignSheet!C11*DesignSheet!C13)/(DesignSheet!C7*(DesignSheet!C11+1)) ) )+(A158+DesignSheet!C16))</f>
        <v>0.66186420156487746</v>
      </c>
    </row>
    <row r="159" spans="1:3" x14ac:dyDescent="0.3">
      <c r="A159" s="6">
        <f>2*PI()*157/(DesignSheet!C9-1)</f>
        <v>2.740166925631097</v>
      </c>
      <c r="B159" s="6">
        <f>(DesignSheet!C11*DesignSheet!C13)*COS((A159+DesignSheet!C16)) + (DesignSheet!C7)*COS((DesignSheet!C11+1)*(A159+DesignSheet!C16)) - (DesignSheet!C6/2)*COS(ATAN( SIN(DesignSheet!C11*(A159+DesignSheet!C16)) / ( COS(DesignSheet!C11*(A159+DesignSheet!C16)) + (DesignSheet!C11*DesignSheet!C13)/(DesignSheet!C7*(DesignSheet!C11+1)) ) )+(A159+DesignSheet!C16))</f>
        <v>0.34114970942471984</v>
      </c>
      <c r="C159" s="6">
        <f>(DesignSheet!C11*DesignSheet!C13)*SIN((A159+DesignSheet!C16)) + (DesignSheet!C7)*SIN((DesignSheet!C11+1)*(A159+DesignSheet!C16)) - (DesignSheet!C6/2)*SIN(ATAN( SIN(DesignSheet!C11*(A159+DesignSheet!C16)) / ( COS(DesignSheet!C11*(A159+DesignSheet!C16)) + (DesignSheet!C11*DesignSheet!C13)/(DesignSheet!C7*(DesignSheet!C11+1)) ) )+(A159+DesignSheet!C16))</f>
        <v>0.66791981237228559</v>
      </c>
    </row>
    <row r="160" spans="1:3" x14ac:dyDescent="0.3">
      <c r="A160" s="6">
        <f>2*PI()*158/(DesignSheet!C9-1)</f>
        <v>2.7576202181510405</v>
      </c>
      <c r="B160" s="6">
        <f>(DesignSheet!C11*DesignSheet!C13)*COS((A160+DesignSheet!C16)) + (DesignSheet!C7)*COS((DesignSheet!C11+1)*(A160+DesignSheet!C16)) - (DesignSheet!C6/2)*COS(ATAN( SIN(DesignSheet!C11*(A160+DesignSheet!C16)) / ( COS(DesignSheet!C11*(A160+DesignSheet!C16)) + (DesignSheet!C11*DesignSheet!C13)/(DesignSheet!C7*(DesignSheet!C11+1)) ) )+(A160+DesignSheet!C16))</f>
        <v>0.32944094263854362</v>
      </c>
      <c r="C160" s="6">
        <f>(DesignSheet!C11*DesignSheet!C13)*SIN((A160+DesignSheet!C16)) + (DesignSheet!C7)*SIN((DesignSheet!C11+1)*(A160+DesignSheet!C16)) - (DesignSheet!C6/2)*SIN(ATAN( SIN(DesignSheet!C11*(A160+DesignSheet!C16)) / ( COS(DesignSheet!C11*(A160+DesignSheet!C16)) + (DesignSheet!C11*DesignSheet!C13)/(DesignSheet!C7*(DesignSheet!C11+1)) ) )+(A160+DesignSheet!C16))</f>
        <v>0.67377196833456043</v>
      </c>
    </row>
    <row r="161" spans="1:3" x14ac:dyDescent="0.3">
      <c r="A161" s="6">
        <f>2*PI()*159/(DesignSheet!C9-1)</f>
        <v>2.7750735106709841</v>
      </c>
      <c r="B161" s="6">
        <f>(DesignSheet!C11*DesignSheet!C13)*COS((A161+DesignSheet!C16)) + (DesignSheet!C7)*COS((DesignSheet!C11+1)*(A161+DesignSheet!C16)) - (DesignSheet!C6/2)*COS(ATAN( SIN(DesignSheet!C11*(A161+DesignSheet!C16)) / ( COS(DesignSheet!C11*(A161+DesignSheet!C16)) + (DesignSheet!C11*DesignSheet!C13)/(DesignSheet!C7*(DesignSheet!C11+1)) ) )+(A161+DesignSheet!C16))</f>
        <v>0.31763182494987358</v>
      </c>
      <c r="C161" s="6">
        <f>(DesignSheet!C11*DesignSheet!C13)*SIN((A161+DesignSheet!C16)) + (DesignSheet!C7)*SIN((DesignSheet!C11+1)*(A161+DesignSheet!C16)) - (DesignSheet!C6/2)*SIN(ATAN( SIN(DesignSheet!C11*(A161+DesignSheet!C16)) / ( COS(DesignSheet!C11*(A161+DesignSheet!C16)) + (DesignSheet!C11*DesignSheet!C13)/(DesignSheet!C7*(DesignSheet!C11+1)) ) )+(A161+DesignSheet!C16))</f>
        <v>0.67941888682830487</v>
      </c>
    </row>
    <row r="162" spans="1:3" x14ac:dyDescent="0.3">
      <c r="A162" s="6">
        <f>2*PI()*160/(DesignSheet!C9-1)</f>
        <v>2.7925268031909272</v>
      </c>
      <c r="B162" s="6">
        <f>(DesignSheet!C11*DesignSheet!C13)*COS((A162+DesignSheet!C16)) + (DesignSheet!C7)*COS((DesignSheet!C11+1)*(A162+DesignSheet!C16)) - (DesignSheet!C6/2)*COS(ATAN( SIN(DesignSheet!C11*(A162+DesignSheet!C16)) / ( COS(DesignSheet!C11*(A162+DesignSheet!C16)) + (DesignSheet!C11*DesignSheet!C13)/(DesignSheet!C7*(DesignSheet!C11+1)) ) )+(A162+DesignSheet!C16))</f>
        <v>0.30572595353035464</v>
      </c>
      <c r="C162" s="6">
        <f>(DesignSheet!C11*DesignSheet!C13)*SIN((A162+DesignSheet!C16)) + (DesignSheet!C7)*SIN((DesignSheet!C11+1)*(A162+DesignSheet!C16)) - (DesignSheet!C6/2)*SIN(ATAN( SIN(DesignSheet!C11*(A162+DesignSheet!C16)) / ( COS(DesignSheet!C11*(A162+DesignSheet!C16)) + (DesignSheet!C11*DesignSheet!C13)/(DesignSheet!C7*(DesignSheet!C11+1)) ) )+(A162+DesignSheet!C16))</f>
        <v>0.6848588477474431</v>
      </c>
    </row>
    <row r="163" spans="1:3" x14ac:dyDescent="0.3">
      <c r="A163" s="6">
        <f>2*PI()*161/(DesignSheet!C9-1)</f>
        <v>2.8099800957108703</v>
      </c>
      <c r="B163" s="6">
        <f>(DesignSheet!C11*DesignSheet!C13)*COS((A163+DesignSheet!C16)) + (DesignSheet!C7)*COS((DesignSheet!C11+1)*(A163+DesignSheet!C16)) - (DesignSheet!C6/2)*COS(ATAN( SIN(DesignSheet!C11*(A163+DesignSheet!C16)) / ( COS(DesignSheet!C11*(A163+DesignSheet!C16)) + (DesignSheet!C11*DesignSheet!C13)/(DesignSheet!C7*(DesignSheet!C11+1)) ) )+(A163+DesignSheet!C16))</f>
        <v>0.29372695502375779</v>
      </c>
      <c r="C163" s="6">
        <f>(DesignSheet!C11*DesignSheet!C13)*SIN((A163+DesignSheet!C16)) + (DesignSheet!C7)*SIN((DesignSheet!C11+1)*(A163+DesignSheet!C16)) - (DesignSheet!C6/2)*SIN(ATAN( SIN(DesignSheet!C11*(A163+DesignSheet!C16)) / ( COS(DesignSheet!C11*(A163+DesignSheet!C16)) + (DesignSheet!C11*DesignSheet!C13)/(DesignSheet!C7*(DesignSheet!C11+1)) ) )+(A163+DesignSheet!C16))</f>
        <v>0.69009019402718041</v>
      </c>
    </row>
    <row r="164" spans="1:3" x14ac:dyDescent="0.3">
      <c r="A164" s="6">
        <f>2*PI()*162/(DesignSheet!C9-1)</f>
        <v>2.8274333882308138</v>
      </c>
      <c r="B164" s="6">
        <f>(DesignSheet!C11*DesignSheet!C13)*COS((A164+DesignSheet!C16)) + (DesignSheet!C7)*COS((DesignSheet!C11+1)*(A164+DesignSheet!C16)) - (DesignSheet!C6/2)*COS(ATAN( SIN(DesignSheet!C11*(A164+DesignSheet!C16)) / ( COS(DesignSheet!C11*(A164+DesignSheet!C16)) + (DesignSheet!C11*DesignSheet!C13)/(DesignSheet!C7*(DesignSheet!C11+1)) ) )+(A164+DesignSheet!C16))</f>
        <v>0.28163848444126249</v>
      </c>
      <c r="C164" s="6">
        <f>(DesignSheet!C11*DesignSheet!C13)*SIN((A164+DesignSheet!C16)) + (DesignSheet!C7)*SIN((DesignSheet!C11+1)*(A164+DesignSheet!C16)) - (DesignSheet!C6/2)*SIN(ATAN( SIN(DesignSheet!C11*(A164+DesignSheet!C16)) / ( COS(DesignSheet!C11*(A164+DesignSheet!C16)) + (DesignSheet!C11*DesignSheet!C13)/(DesignSheet!C7*(DesignSheet!C11+1)) ) )+(A164+DesignSheet!C16))</f>
        <v>0.69511133214876364</v>
      </c>
    </row>
    <row r="165" spans="1:3" x14ac:dyDescent="0.3">
      <c r="A165" s="6">
        <f>2*PI()*163/(DesignSheet!C9-1)</f>
        <v>2.8448866807507569</v>
      </c>
      <c r="B165" s="6">
        <f>(DesignSheet!C11*DesignSheet!C13)*COS((A165+DesignSheet!C16)) + (DesignSheet!C7)*COS((DesignSheet!C11+1)*(A165+DesignSheet!C16)) - (DesignSheet!C6/2)*COS(ATAN( SIN(DesignSheet!C11*(A165+DesignSheet!C16)) / ( COS(DesignSheet!C11*(A165+DesignSheet!C16)) + (DesignSheet!C11*DesignSheet!C13)/(DesignSheet!C7*(DesignSheet!C11+1)) ) )+(A165+DesignSheet!C16))</f>
        <v>0.26946422404811382</v>
      </c>
      <c r="C165" s="6">
        <f>(DesignSheet!C11*DesignSheet!C13)*SIN((A165+DesignSheet!C16)) + (DesignSheet!C7)*SIN((DesignSheet!C11+1)*(A165+DesignSheet!C16)) - (DesignSheet!C6/2)*SIN(ATAN( SIN(DesignSheet!C11*(A165+DesignSheet!C16)) / ( COS(DesignSheet!C11*(A165+DesignSheet!C16)) + (DesignSheet!C11*DesignSheet!C13)/(DesignSheet!C7*(DesignSheet!C11+1)) ) )+(A165+DesignSheet!C16))</f>
        <v>0.69992073262487942</v>
      </c>
    </row>
    <row r="166" spans="1:3" x14ac:dyDescent="0.3">
      <c r="A166" s="6">
        <f>2*PI()*164/(DesignSheet!C9-1)</f>
        <v>2.8623399732707</v>
      </c>
      <c r="B166" s="6">
        <f>(DesignSheet!C11*DesignSheet!C13)*COS((A166+DesignSheet!C16)) + (DesignSheet!C7)*COS((DesignSheet!C11+1)*(A166+DesignSheet!C16)) - (DesignSheet!C6/2)*COS(ATAN( SIN(DesignSheet!C11*(A166+DesignSheet!C16)) / ( COS(DesignSheet!C11*(A166+DesignSheet!C16)) + (DesignSheet!C11*DesignSheet!C13)/(DesignSheet!C7*(DesignSheet!C11+1)) ) )+(A166+DesignSheet!C16))</f>
        <v>0.25720788224196156</v>
      </c>
      <c r="C166" s="6">
        <f>(DesignSheet!C11*DesignSheet!C13)*SIN((A166+DesignSheet!C16)) + (DesignSheet!C7)*SIN((DesignSheet!C11+1)*(A166+DesignSheet!C16)) - (DesignSheet!C6/2)*SIN(ATAN( SIN(DesignSheet!C11*(A166+DesignSheet!C16)) / ( COS(DesignSheet!C11*(A166+DesignSheet!C16)) + (DesignSheet!C11*DesignSheet!C13)/(DesignSheet!C7*(DesignSheet!C11+1)) ) )+(A166+DesignSheet!C16))</f>
        <v>0.7045169304655533</v>
      </c>
    </row>
    <row r="167" spans="1:3" x14ac:dyDescent="0.3">
      <c r="A167" s="6">
        <f>2*PI()*165/(DesignSheet!C9-1)</f>
        <v>2.8797932657906435</v>
      </c>
      <c r="B167" s="6">
        <f>(DesignSheet!C11*DesignSheet!C13)*COS((A167+DesignSheet!C16)) + (DesignSheet!C7)*COS((DesignSheet!C11+1)*(A167+DesignSheet!C16)) - (DesignSheet!C6/2)*COS(ATAN( SIN(DesignSheet!C11*(A167+DesignSheet!C16)) / ( COS(DesignSheet!C11*(A167+DesignSheet!C16)) + (DesignSheet!C11*DesignSheet!C13)/(DesignSheet!C7*(DesignSheet!C11+1)) ) )+(A167+DesignSheet!C16))</f>
        <v>0.24487319242324898</v>
      </c>
      <c r="C167" s="6">
        <f>(DesignSheet!C11*DesignSheet!C13)*SIN((A167+DesignSheet!C16)) + (DesignSheet!C7)*SIN((DesignSheet!C11+1)*(A167+DesignSheet!C16)) - (DesignSheet!C6/2)*SIN(ATAN( SIN(DesignSheet!C11*(A167+DesignSheet!C16)) / ( COS(DesignSheet!C11*(A167+DesignSheet!C16)) + (DesignSheet!C11*DesignSheet!C13)/(DesignSheet!C7*(DesignSheet!C11+1)) ) )+(A167+DesignSheet!C16))</f>
        <v>0.70889852562439881</v>
      </c>
    </row>
    <row r="168" spans="1:3" x14ac:dyDescent="0.3">
      <c r="A168" s="6">
        <f>2*PI()*166/(DesignSheet!C9-1)</f>
        <v>2.8972465583105871</v>
      </c>
      <c r="B168" s="6">
        <f>(DesignSheet!C11*DesignSheet!C13)*COS((A168+DesignSheet!C16)) + (DesignSheet!C7)*COS((DesignSheet!C11+1)*(A168+DesignSheet!C16)) - (DesignSheet!C6/2)*COS(ATAN( SIN(DesignSheet!C11*(A168+DesignSheet!C16)) / ( COS(DesignSheet!C11*(A168+DesignSheet!C16)) + (DesignSheet!C11*DesignSheet!C13)/(DesignSheet!C7*(DesignSheet!C11+1)) ) )+(A168+DesignSheet!C16))</f>
        <v>0.23246391185798507</v>
      </c>
      <c r="C168" s="6">
        <f>(DesignSheet!C11*DesignSheet!C13)*SIN((A168+DesignSheet!C16)) + (DesignSheet!C7)*SIN((DesignSheet!C11+1)*(A168+DesignSheet!C16)) - (DesignSheet!C6/2)*SIN(ATAN( SIN(DesignSheet!C11*(A168+DesignSheet!C16)) / ( COS(DesignSheet!C11*(A168+DesignSheet!C16)) + (DesignSheet!C11*DesignSheet!C13)/(DesignSheet!C7*(DesignSheet!C11+1)) ) )+(A168+DesignSheet!C16))</f>
        <v>0.71306418342508471</v>
      </c>
    </row>
    <row r="169" spans="1:3" x14ac:dyDescent="0.3">
      <c r="A169" s="6">
        <f>2*PI()*167/(DesignSheet!C9-1)</f>
        <v>2.9146998508305306</v>
      </c>
      <c r="B169" s="6">
        <f>(DesignSheet!C11*DesignSheet!C13)*COS((A169+DesignSheet!C16)) + (DesignSheet!C7)*COS((DesignSheet!C11+1)*(A169+DesignSheet!C16)) - (DesignSheet!C6/2)*COS(ATAN( SIN(DesignSheet!C11*(A169+DesignSheet!C16)) / ( COS(DesignSheet!C11*(A169+DesignSheet!C16)) + (DesignSheet!C11*DesignSheet!C13)/(DesignSheet!C7*(DesignSheet!C11+1)) ) )+(A169+DesignSheet!C16))</f>
        <v>0.21998382053324078</v>
      </c>
      <c r="C169" s="6">
        <f>(DesignSheet!C11*DesignSheet!C13)*SIN((A169+DesignSheet!C16)) + (DesignSheet!C7)*SIN((DesignSheet!C11+1)*(A169+DesignSheet!C16)) - (DesignSheet!C6/2)*SIN(ATAN( SIN(DesignSheet!C11*(A169+DesignSheet!C16)) / ( COS(DesignSheet!C11*(A169+DesignSheet!C16)) + (DesignSheet!C11*DesignSheet!C13)/(DesignSheet!C7*(DesignSheet!C11+1)) ) )+(A169+DesignSheet!C16))</f>
        <v>0.71701263496789158</v>
      </c>
    </row>
    <row r="170" spans="1:3" x14ac:dyDescent="0.3">
      <c r="A170" s="6">
        <f>2*PI()*168/(DesignSheet!C9-1)</f>
        <v>2.9321531433504737</v>
      </c>
      <c r="B170" s="6">
        <f>(DesignSheet!C11*DesignSheet!C13)*COS((A170+DesignSheet!C16)) + (DesignSheet!C7)*COS((DesignSheet!C11+1)*(A170+DesignSheet!C16)) - (DesignSheet!C6/2)*COS(ATAN( SIN(DesignSheet!C11*(A170+DesignSheet!C16)) / ( COS(DesignSheet!C11*(A170+DesignSheet!C16)) + (DesignSheet!C11*DesignSheet!C13)/(DesignSheet!C7*(DesignSheet!C11+1)) ) )+(A170+DesignSheet!C16))</f>
        <v>0.20743672000573027</v>
      </c>
      <c r="C170" s="6">
        <f>(DesignSheet!C11*DesignSheet!C13)*SIN((A170+DesignSheet!C16)) + (DesignSheet!C7)*SIN((DesignSheet!C11+1)*(A170+DesignSheet!C16)) - (DesignSheet!C6/2)*SIN(ATAN( SIN(DesignSheet!C11*(A170+DesignSheet!C16)) / ( COS(DesignSheet!C11*(A170+DesignSheet!C16)) + (DesignSheet!C11*DesignSheet!C13)/(DesignSheet!C7*(DesignSheet!C11+1)) ) )+(A170+DesignSheet!C16))</f>
        <v>0.72074267751623</v>
      </c>
    </row>
    <row r="171" spans="1:3" x14ac:dyDescent="0.3">
      <c r="A171" s="6">
        <f>2*PI()*169/(DesignSheet!C9-1)</f>
        <v>2.9496064358704168</v>
      </c>
      <c r="B171" s="6">
        <f>(DesignSheet!C11*DesignSheet!C13)*COS((A171+DesignSheet!C16)) + (DesignSheet!C7)*COS((DesignSheet!C11+1)*(A171+DesignSheet!C16)) - (DesignSheet!C6/2)*COS(ATAN( SIN(DesignSheet!C11*(A171+DesignSheet!C16)) / ( COS(DesignSheet!C11*(A171+DesignSheet!C16)) + (DesignSheet!C11*DesignSheet!C13)/(DesignSheet!C7*(DesignSheet!C11+1)) ) )+(A171+DesignSheet!C16))</f>
        <v>0.19482643224382265</v>
      </c>
      <c r="C171" s="6">
        <f>(DesignSheet!C11*DesignSheet!C13)*SIN((A171+DesignSheet!C16)) + (DesignSheet!C7)*SIN((DesignSheet!C11+1)*(A171+DesignSheet!C16)) - (DesignSheet!C6/2)*SIN(ATAN( SIN(DesignSheet!C11*(A171+DesignSheet!C16)) / ( COS(DesignSheet!C11*(A171+DesignSheet!C16)) + (DesignSheet!C11*DesignSheet!C13)/(DesignSheet!C7*(DesignSheet!C11+1)) ) )+(A171+DesignSheet!C16))</f>
        <v>0.72425317486300544</v>
      </c>
    </row>
    <row r="172" spans="1:3" x14ac:dyDescent="0.3">
      <c r="A172" s="6">
        <f>2*PI()*170/(DesignSheet!C9-1)</f>
        <v>2.9670597283903604</v>
      </c>
      <c r="B172" s="6">
        <f>(DesignSheet!C11*DesignSheet!C13)*COS((A172+DesignSheet!C16)) + (DesignSheet!C7)*COS((DesignSheet!C11+1)*(A172+DesignSheet!C16)) - (DesignSheet!C6/2)*COS(ATAN( SIN(DesignSheet!C11*(A172+DesignSheet!C16)) / ( COS(DesignSheet!C11*(A172+DesignSheet!C16)) + (DesignSheet!C11*DesignSheet!C13)/(DesignSheet!C7*(DesignSheet!C11+1)) ) )+(A172+DesignSheet!C16))</f>
        <v>0.18215679846332625</v>
      </c>
      <c r="C172" s="6">
        <f>(DesignSheet!C11*DesignSheet!C13)*SIN((A172+DesignSheet!C16)) + (DesignSheet!C7)*SIN((DesignSheet!C11+1)*(A172+DesignSheet!C16)) - (DesignSheet!C6/2)*SIN(ATAN( SIN(DesignSheet!C11*(A172+DesignSheet!C16)) / ( COS(DesignSheet!C11*(A172+DesignSheet!C16)) + (DesignSheet!C11*DesignSheet!C13)/(DesignSheet!C7*(DesignSheet!C11+1)) ) )+(A172+DesignSheet!C16))</f>
        <v>0.72754305767672001</v>
      </c>
    </row>
    <row r="173" spans="1:3" x14ac:dyDescent="0.3">
      <c r="A173" s="6">
        <f>2*PI()*171/(DesignSheet!C9-1)</f>
        <v>2.9845130209103035</v>
      </c>
      <c r="B173" s="6">
        <f>(DesignSheet!C11*DesignSheet!C13)*COS((A173+DesignSheet!C16)) + (DesignSheet!C7)*COS((DesignSheet!C11+1)*(A173+DesignSheet!C16)) - (DesignSheet!C6/2)*COS(ATAN( SIN(DesignSheet!C11*(A173+DesignSheet!C16)) / ( COS(DesignSheet!C11*(A173+DesignSheet!C16)) + (DesignSheet!C11*DesignSheet!C13)/(DesignSheet!C7*(DesignSheet!C11+1)) ) )+(A173+DesignSheet!C16))</f>
        <v>0.16943167795742606</v>
      </c>
      <c r="C173" s="6">
        <f>(DesignSheet!C11*DesignSheet!C13)*SIN((A173+DesignSheet!C16)) + (DesignSheet!C7)*SIN((DesignSheet!C11+1)*(A173+DesignSheet!C16)) - (DesignSheet!C6/2)*SIN(ATAN( SIN(DesignSheet!C11*(A173+DesignSheet!C16)) / ( COS(DesignSheet!C11*(A173+DesignSheet!C16)) + (DesignSheet!C11*DesignSheet!C13)/(DesignSheet!C7*(DesignSheet!C11+1)) ) )+(A173+DesignSheet!C16))</f>
        <v>0.73061132382719829</v>
      </c>
    </row>
    <row r="174" spans="1:3" x14ac:dyDescent="0.3">
      <c r="A174" s="6">
        <f>2*PI()*172/(DesignSheet!C9-1)</f>
        <v>3.0019663134302466</v>
      </c>
      <c r="B174" s="6">
        <f>(DesignSheet!C11*DesignSheet!C13)*COS((A174+DesignSheet!C16)) + (DesignSheet!C7)*COS((DesignSheet!C11+1)*(A174+DesignSheet!C16)) - (DesignSheet!C6/2)*COS(ATAN( SIN(DesignSheet!C11*(A174+DesignSheet!C16)) / ( COS(DesignSheet!C11*(A174+DesignSheet!C16)) + (DesignSheet!C11*DesignSheet!C13)/(DesignSheet!C7*(DesignSheet!C11+1)) ) )+(A174+DesignSheet!C16))</f>
        <v>0.15665494692109849</v>
      </c>
      <c r="C174" s="6">
        <f>(DesignSheet!C11*DesignSheet!C13)*SIN((A174+DesignSheet!C16)) + (DesignSheet!C7)*SIN((DesignSheet!C11+1)*(A174+DesignSheet!C16)) - (DesignSheet!C6/2)*SIN(ATAN( SIN(DesignSheet!C11*(A174+DesignSheet!C16)) / ( COS(DesignSheet!C11*(A174+DesignSheet!C16)) + (DesignSheet!C11*DesignSheet!C13)/(DesignSheet!C7*(DesignSheet!C11+1)) ) )+(A174+DesignSheet!C16))</f>
        <v>0.73345703869084788</v>
      </c>
    </row>
    <row r="175" spans="1:3" x14ac:dyDescent="0.3">
      <c r="A175" s="6">
        <f>2*PI()*173/(DesignSheet!C9-1)</f>
        <v>3.0194196059501901</v>
      </c>
      <c r="B175" s="6">
        <f>(DesignSheet!C11*DesignSheet!C13)*COS((A175+DesignSheet!C16)) + (DesignSheet!C7)*COS((DesignSheet!C11+1)*(A175+DesignSheet!C16)) - (DesignSheet!C6/2)*COS(ATAN( SIN(DesignSheet!C11*(A175+DesignSheet!C16)) / ( COS(DesignSheet!C11*(A175+DesignSheet!C16)) + (DesignSheet!C11*DesignSheet!C13)/(DesignSheet!C7*(DesignSheet!C11+1)) ) )+(A175+DesignSheet!C16))</f>
        <v>0.14383049727038758</v>
      </c>
      <c r="C175" s="6">
        <f>(DesignSheet!C11*DesignSheet!C13)*SIN((A175+DesignSheet!C16)) + (DesignSheet!C7)*SIN((DesignSheet!C11+1)*(A175+DesignSheet!C16)) - (DesignSheet!C6/2)*SIN(ATAN( SIN(DesignSheet!C11*(A175+DesignSheet!C16)) / ( COS(DesignSheet!C11*(A175+DesignSheet!C16)) + (DesignSheet!C11*DesignSheet!C13)/(DesignSheet!C7*(DesignSheet!C11+1)) ) )+(A175+DesignSheet!C16))</f>
        <v>0.73607933543535442</v>
      </c>
    </row>
    <row r="176" spans="1:3" x14ac:dyDescent="0.3">
      <c r="A176" s="6">
        <f>2*PI()*174/(DesignSheet!C9-1)</f>
        <v>3.0368728984701332</v>
      </c>
      <c r="B176" s="6">
        <f>(DesignSheet!C11*DesignSheet!C13)*COS((A176+DesignSheet!C16)) + (DesignSheet!C7)*COS((DesignSheet!C11+1)*(A176+DesignSheet!C16)) - (DesignSheet!C6/2)*COS(ATAN( SIN(DesignSheet!C11*(A176+DesignSheet!C16)) / ( COS(DesignSheet!C11*(A176+DesignSheet!C16)) + (DesignSheet!C11*DesignSheet!C13)/(DesignSheet!C7*(DesignSheet!C11+1)) ) )+(A176+DesignSheet!C16))</f>
        <v>0.13096223545689209</v>
      </c>
      <c r="C176" s="6">
        <f>(DesignSheet!C11*DesignSheet!C13)*SIN((A176+DesignSheet!C16)) + (DesignSheet!C7)*SIN((DesignSheet!C11+1)*(A176+DesignSheet!C16)) - (DesignSheet!C6/2)*SIN(ATAN( SIN(DesignSheet!C11*(A176+DesignSheet!C16)) / ( COS(DesignSheet!C11*(A176+DesignSheet!C16)) + (DesignSheet!C11*DesignSheet!C13)/(DesignSheet!C7*(DesignSheet!C11+1)) ) )+(A176+DesignSheet!C16))</f>
        <v>0.73847741528372657</v>
      </c>
    </row>
    <row r="177" spans="1:3" x14ac:dyDescent="0.3">
      <c r="A177" s="6">
        <f>2*PI()*175/(DesignSheet!C9-1)</f>
        <v>3.0543261909900763</v>
      </c>
      <c r="B177" s="6">
        <f>(DesignSheet!C11*DesignSheet!C13)*COS((A177+DesignSheet!C16)) + (DesignSheet!C7)*COS((DesignSheet!C11+1)*(A177+DesignSheet!C16)) - (DesignSheet!C6/2)*COS(ATAN( SIN(DesignSheet!C11*(A177+DesignSheet!C16)) / ( COS(DesignSheet!C11*(A177+DesignSheet!C16)) + (DesignSheet!C11*DesignSheet!C13)/(DesignSheet!C7*(DesignSheet!C11+1)) ) )+(A177+DesignSheet!C16))</f>
        <v>0.11805408127781547</v>
      </c>
      <c r="C177" s="6">
        <f>(DesignSheet!C11*DesignSheet!C13)*SIN((A177+DesignSheet!C16)) + (DesignSheet!C7)*SIN((DesignSheet!C11+1)*(A177+DesignSheet!C16)) - (DesignSheet!C6/2)*SIN(ATAN( SIN(DesignSheet!C11*(A177+DesignSheet!C16)) / ( COS(DesignSheet!C11*(A177+DesignSheet!C16)) + (DesignSheet!C11*DesignSheet!C13)/(DesignSheet!C7*(DesignSheet!C11+1)) ) )+(A177+DesignSheet!C16))</f>
        <v>0.74065054775761219</v>
      </c>
    </row>
    <row r="178" spans="1:3" x14ac:dyDescent="0.3">
      <c r="A178" s="6">
        <f>2*PI()*176/(DesignSheet!C9-1)</f>
        <v>3.0717794835100198</v>
      </c>
      <c r="B178" s="6">
        <f>(DesignSheet!C11*DesignSheet!C13)*COS((A178+DesignSheet!C16)) + (DesignSheet!C7)*COS((DesignSheet!C11+1)*(A178+DesignSheet!C16)) - (DesignSheet!C6/2)*COS(ATAN( SIN(DesignSheet!C11*(A178+DesignSheet!C16)) / ( COS(DesignSheet!C11*(A178+DesignSheet!C16)) + (DesignSheet!C11*DesignSheet!C13)/(DesignSheet!C7*(DesignSheet!C11+1)) ) )+(A178+DesignSheet!C16))</f>
        <v>0.10510996668196669</v>
      </c>
      <c r="C178" s="6">
        <f>(DesignSheet!C11*DesignSheet!C13)*SIN((A178+DesignSheet!C16)) + (DesignSheet!C7)*SIN((DesignSheet!C11+1)*(A178+DesignSheet!C16)) - (DesignSheet!C6/2)*SIN(ATAN( SIN(DesignSheet!C11*(A178+DesignSheet!C16)) / ( COS(DesignSheet!C11*(A178+DesignSheet!C16)) + (DesignSheet!C11*DesignSheet!C13)/(DesignSheet!C7*(DesignSheet!C11+1)) ) )+(A178+DesignSheet!C16))</f>
        <v>0.74259807089980767</v>
      </c>
    </row>
    <row r="179" spans="1:3" x14ac:dyDescent="0.3">
      <c r="A179" s="6">
        <f>2*PI()*177/(DesignSheet!C9-1)</f>
        <v>3.0892327760299634</v>
      </c>
      <c r="B179" s="6">
        <f>(DesignSheet!C11*DesignSheet!C13)*COS((A179+DesignSheet!C16)) + (DesignSheet!C7)*COS((DesignSheet!C11+1)*(A179+DesignSheet!C16)) - (DesignSheet!C6/2)*COS(ATAN( SIN(DesignSheet!C11*(A179+DesignSheet!C16)) / ( COS(DesignSheet!C11*(A179+DesignSheet!C16)) + (DesignSheet!C11*DesignSheet!C13)/(DesignSheet!C7*(DesignSheet!C11+1)) ) )+(A179+DesignSheet!C16))</f>
        <v>9.2133834572043508E-2</v>
      </c>
      <c r="C179" s="6">
        <f>(DesignSheet!C11*DesignSheet!C13)*SIN((A179+DesignSheet!C16)) + (DesignSheet!C7)*SIN((DesignSheet!C11+1)*(A179+DesignSheet!C16)) - (DesignSheet!C6/2)*SIN(ATAN( SIN(DesignSheet!C11*(A179+DesignSheet!C16)) / ( COS(DesignSheet!C11*(A179+DesignSheet!C16)) + (DesignSheet!C11*DesignSheet!C13)/(DesignSheet!C7*(DesignSheet!C11+1)) ) )+(A179+DesignSheet!C16))</f>
        <v>0.7443193914758981</v>
      </c>
    </row>
    <row r="180" spans="1:3" x14ac:dyDescent="0.3">
      <c r="A180" s="6">
        <f>2*PI()*178/(DesignSheet!C9-1)</f>
        <v>3.1066860685499069</v>
      </c>
      <c r="B180" s="6">
        <f>(DesignSheet!C11*DesignSheet!C13)*COS((A180+DesignSheet!C16)) + (DesignSheet!C7)*COS((DesignSheet!C11+1)*(A180+DesignSheet!C16)) - (DesignSheet!C6/2)*COS(ATAN( SIN(DesignSheet!C11*(A180+DesignSheet!C16)) / ( COS(DesignSheet!C11*(A180+DesignSheet!C16)) + (DesignSheet!C11*DesignSheet!C13)/(DesignSheet!C7*(DesignSheet!C11+1)) ) )+(A180+DesignSheet!C16))</f>
        <v>7.9129637603588501E-2</v>
      </c>
      <c r="C180" s="6">
        <f>(DesignSheet!C11*DesignSheet!C13)*SIN((A180+DesignSheet!C16)) + (DesignSheet!C7)*SIN((DesignSheet!C11+1)*(A180+DesignSheet!C16)) - (DesignSheet!C6/2)*SIN(ATAN( SIN(DesignSheet!C11*(A180+DesignSheet!C16)) / ( COS(DesignSheet!C11*(A180+DesignSheet!C16)) + (DesignSheet!C11*DesignSheet!C13)/(DesignSheet!C7*(DesignSheet!C11+1)) ) )+(A180+DesignSheet!C16))</f>
        <v>0.74581398515496122</v>
      </c>
    </row>
    <row r="181" spans="1:3" x14ac:dyDescent="0.3">
      <c r="A181" s="6">
        <f>2*PI()*179/(DesignSheet!C9-1)</f>
        <v>3.12413936106985</v>
      </c>
      <c r="B181" s="6">
        <f>(DesignSheet!C11*DesignSheet!C13)*COS((A181+DesignSheet!C16)) + (DesignSheet!C7)*COS((DesignSheet!C11+1)*(A181+DesignSheet!C16)) - (DesignSheet!C6/2)*COS(ATAN( SIN(DesignSheet!C11*(A181+DesignSheet!C16)) / ( COS(DesignSheet!C11*(A181+DesignSheet!C16)) + (DesignSheet!C11*DesignSheet!C13)/(DesignSheet!C7*(DesignSheet!C11+1)) ) )+(A181+DesignSheet!C16))</f>
        <v>6.6101336980974104E-2</v>
      </c>
      <c r="C181" s="6">
        <f>(DesignSheet!C11*DesignSheet!C13)*SIN((A181+DesignSheet!C16)) + (DesignSheet!C7)*SIN((DesignSheet!C11+1)*(A181+DesignSheet!C16)) - (DesignSheet!C6/2)*SIN(ATAN( SIN(DesignSheet!C11*(A181+DesignSheet!C16)) / ( COS(DesignSheet!C11*(A181+DesignSheet!C16)) + (DesignSheet!C11*DesignSheet!C13)/(DesignSheet!C7*(DesignSheet!C11+1)) ) )+(A181+DesignSheet!C16))</f>
        <v>0.74708139666928375</v>
      </c>
    </row>
    <row r="182" spans="1:3" x14ac:dyDescent="0.3">
      <c r="A182" s="6">
        <f>2*PI()*180/(DesignSheet!C9-1)</f>
        <v>3.1415926535897931</v>
      </c>
      <c r="B182" s="6">
        <f>(DesignSheet!C11*DesignSheet!C13)*COS((A182+DesignSheet!C16)) + (DesignSheet!C7)*COS((DesignSheet!C11+1)*(A182+DesignSheet!C16)) - (DesignSheet!C6/2)*COS(ATAN( SIN(DesignSheet!C11*(A182+DesignSheet!C16)) / ( COS(DesignSheet!C11*(A182+DesignSheet!C16)) + (DesignSheet!C11*DesignSheet!C13)/(DesignSheet!C7*(DesignSheet!C11+1)) ) )+(A182+DesignSheet!C16))</f>
        <v>5.3052901250777273E-2</v>
      </c>
      <c r="C182" s="6">
        <f>(DesignSheet!C11*DesignSheet!C13)*SIN((A182+DesignSheet!C16)) + (DesignSheet!C7)*SIN((DesignSheet!C11+1)*(A182+DesignSheet!C16)) - (DesignSheet!C6/2)*SIN(ATAN( SIN(DesignSheet!C11*(A182+DesignSheet!C16)) / ( COS(DesignSheet!C11*(A182+DesignSheet!C16)) + (DesignSheet!C11*DesignSheet!C13)/(DesignSheet!C7*(DesignSheet!C11+1)) ) )+(A182+DesignSheet!C16))</f>
        <v>0.74812123995304081</v>
      </c>
    </row>
    <row r="183" spans="1:3" x14ac:dyDescent="0.3">
      <c r="A183" s="6">
        <f>2*PI()*181/(DesignSheet!C9-1)</f>
        <v>3.1590459461097362</v>
      </c>
      <c r="B183" s="6">
        <f>(DesignSheet!C11*DesignSheet!C13)*COS((A183+DesignSheet!C16)) + (DesignSheet!C7)*COS((DesignSheet!C11+1)*(A183+DesignSheet!C16)) - (DesignSheet!C6/2)*COS(ATAN( SIN(DesignSheet!C11*(A183+DesignSheet!C16)) / ( COS(DesignSheet!C11*(A183+DesignSheet!C16)) + (DesignSheet!C11*DesignSheet!C13)/(DesignSheet!C7*(DesignSheet!C11+1)) ) )+(A183+DesignSheet!C16))</f>
        <v>3.9988305092924455E-2</v>
      </c>
      <c r="C183" s="6">
        <f>(DesignSheet!C11*DesignSheet!C13)*SIN((A183+DesignSheet!C16)) + (DesignSheet!C7)*SIN((DesignSheet!C11+1)*(A183+DesignSheet!C16)) - (DesignSheet!C6/2)*SIN(ATAN( SIN(DesignSheet!C11*(A183+DesignSheet!C16)) / ( COS(DesignSheet!C11*(A183+DesignSheet!C16)) + (DesignSheet!C11*DesignSheet!C13)/(DesignSheet!C7*(DesignSheet!C11+1)) ) )+(A183+DesignSheet!C16))</f>
        <v>0.74893319825989502</v>
      </c>
    </row>
    <row r="184" spans="1:3" x14ac:dyDescent="0.3">
      <c r="A184" s="6">
        <f>2*PI()*182/(DesignSheet!C9-1)</f>
        <v>3.1764992386296798</v>
      </c>
      <c r="B184" s="6">
        <f>(DesignSheet!C11*DesignSheet!C13)*COS((A184+DesignSheet!C16)) + (DesignSheet!C7)*COS((DesignSheet!C11+1)*(A184+DesignSheet!C16)) - (DesignSheet!C6/2)*COS(ATAN( SIN(DesignSheet!C11*(A184+DesignSheet!C16)) / ( COS(DesignSheet!C11*(A184+DesignSheet!C16)) + (DesignSheet!C11*DesignSheet!C13)/(DesignSheet!C7*(DesignSheet!C11+1)) ) )+(A184+DesignSheet!C16))</f>
        <v>2.6911528109964927E-2</v>
      </c>
      <c r="C184" s="6">
        <f>(DesignSheet!C11*DesignSheet!C13)*SIN((A184+DesignSheet!C16)) + (DesignSheet!C7)*SIN((DesignSheet!C11+1)*(A184+DesignSheet!C16)) - (DesignSheet!C6/2)*SIN(ATAN( SIN(DesignSheet!C11*(A184+DesignSheet!C16)) / ( COS(DesignSheet!C11*(A184+DesignSheet!C16)) + (DesignSheet!C11*DesignSheet!C13)/(DesignSheet!C7*(DesignSheet!C11+1)) ) )+(A184+DesignSheet!C16))</f>
        <v>0.74951702425948041</v>
      </c>
    </row>
    <row r="185" spans="1:3" x14ac:dyDescent="0.3">
      <c r="A185" s="6">
        <f>2*PI()*183/(DesignSheet!C9-1)</f>
        <v>3.1939525311496229</v>
      </c>
      <c r="B185" s="6">
        <f>(DesignSheet!C11*DesignSheet!C13)*COS((A185+DesignSheet!C16)) + (DesignSheet!C7)*COS((DesignSheet!C11+1)*(A185+DesignSheet!C16)) - (DesignSheet!C6/2)*COS(ATAN( SIN(DesignSheet!C11*(A185+DesignSheet!C16)) / ( COS(DesignSheet!C11*(A185+DesignSheet!C16)) + (DesignSheet!C11*DesignSheet!C13)/(DesignSheet!C7*(DesignSheet!C11+1)) ) )+(A185+DesignSheet!C16))</f>
        <v>1.3826553614844611E-2</v>
      </c>
      <c r="C185" s="6">
        <f>(DesignSheet!C11*DesignSheet!C13)*SIN((A185+DesignSheet!C16)) + (DesignSheet!C7)*SIN((DesignSheet!C11+1)*(A185+DesignSheet!C16)) - (DesignSheet!C6/2)*SIN(ATAN( SIN(DesignSheet!C11*(A185+DesignSheet!C16)) / ( COS(DesignSheet!C11*(A185+DesignSheet!C16)) + (DesignSheet!C11*DesignSheet!C13)/(DesignSheet!C7*(DesignSheet!C11+1)) ) )+(A185+DesignSheet!C16))</f>
        <v>0.74987254011274196</v>
      </c>
    </row>
    <row r="186" spans="1:3" x14ac:dyDescent="0.3">
      <c r="A186" s="6">
        <f>2*PI()*184/(DesignSheet!C9-1)</f>
        <v>3.211405823669566</v>
      </c>
      <c r="B186" s="6">
        <f>(DesignSheet!C11*DesignSheet!C13)*COS((A186+DesignSheet!C16)) + (DesignSheet!C7)*COS((DesignSheet!C11+1)*(A186+DesignSheet!C16)) - (DesignSheet!C6/2)*COS(ATAN( SIN(DesignSheet!C11*(A186+DesignSheet!C16)) / ( COS(DesignSheet!C11*(A186+DesignSheet!C16)) + (DesignSheet!C11*DesignSheet!C13)/(DesignSheet!C7*(DesignSheet!C11+1)) ) )+(A186+DesignSheet!C16))</f>
        <v>7.3736741755371193E-4</v>
      </c>
      <c r="C186" s="6">
        <f>(DesignSheet!C11*DesignSheet!C13)*SIN((A186+DesignSheet!C16)) + (DesignSheet!C7)*SIN((DesignSheet!C11+1)*(A186+DesignSheet!C16)) - (DesignSheet!C6/2)*SIN(ATAN( SIN(DesignSheet!C11*(A186+DesignSheet!C16)) / ( COS(DesignSheet!C11*(A186+DesignSheet!C16)) + (DesignSheet!C11*DesignSheet!C13)/(DesignSheet!C7*(DesignSheet!C11+1)) ) )+(A186+DesignSheet!C16))</f>
        <v>0.74999963752610677</v>
      </c>
    </row>
    <row r="187" spans="1:3" x14ac:dyDescent="0.3">
      <c r="A187" s="6">
        <f>2*PI()*185/(DesignSheet!C9-1)</f>
        <v>3.2288591161895095</v>
      </c>
      <c r="B187" s="6">
        <f>(DesignSheet!C11*DesignSheet!C13)*COS((A187+DesignSheet!C16)) + (DesignSheet!C7)*COS((DesignSheet!C11+1)*(A187+DesignSheet!C16)) - (DesignSheet!C6/2)*COS(ATAN( SIN(DesignSheet!C11*(A187+DesignSheet!C16)) / ( COS(DesignSheet!C11*(A187+DesignSheet!C16)) + (DesignSheet!C11*DesignSheet!C13)/(DesignSheet!C7*(DesignSheet!C11+1)) ) )+(A187+DesignSheet!C16))</f>
        <v>-1.2352043388996944E-2</v>
      </c>
      <c r="C187" s="6">
        <f>(DesignSheet!C11*DesignSheet!C13)*SIN((A187+DesignSheet!C16)) + (DesignSheet!C7)*SIN((DesignSheet!C11+1)*(A187+DesignSheet!C16)) - (DesignSheet!C6/2)*SIN(ATAN( SIN(DesignSheet!C11*(A187+DesignSheet!C16)) / ( COS(DesignSheet!C11*(A187+DesignSheet!C16)) + (DesignSheet!C11*DesignSheet!C13)/(DesignSheet!C7*(DesignSheet!C11+1)) ) )+(A187+DesignSheet!C16))</f>
        <v>0.74989827778447149</v>
      </c>
    </row>
    <row r="188" spans="1:3" x14ac:dyDescent="0.3">
      <c r="A188" s="6">
        <f>2*PI()*186/(DesignSheet!C9-1)</f>
        <v>3.2463124087094526</v>
      </c>
      <c r="B188" s="6">
        <f>(DesignSheet!C11*DesignSheet!C13)*COS((A188+DesignSheet!C16)) + (DesignSheet!C7)*COS((DesignSheet!C11+1)*(A188+DesignSheet!C16)) - (DesignSheet!C6/2)*COS(ATAN( SIN(DesignSheet!C11*(A188+DesignSheet!C16)) / ( COS(DesignSheet!C11*(A188+DesignSheet!C16)) + (DesignSheet!C11*DesignSheet!C13)/(DesignSheet!C7*(DesignSheet!C11+1)) ) )+(A188+DesignSheet!C16))</f>
        <v>-2.5437691643473717E-2</v>
      </c>
      <c r="C188" s="6">
        <f>(DesignSheet!C11*DesignSheet!C13)*SIN((A188+DesignSheet!C16)) + (DesignSheet!C7)*SIN((DesignSheet!C11+1)*(A188+DesignSheet!C16)) - (DesignSheet!C6/2)*SIN(ATAN( SIN(DesignSheet!C11*(A188+DesignSheet!C16)) / ( COS(DesignSheet!C11*(A188+DesignSheet!C16)) + (DesignSheet!C11*DesignSheet!C13)/(DesignSheet!C7*(DesignSheet!C11+1)) ) )+(A188+DesignSheet!C16))</f>
        <v>0.74956849176299534</v>
      </c>
    </row>
    <row r="189" spans="1:3" x14ac:dyDescent="0.3">
      <c r="A189" s="6">
        <f>2*PI()*187/(DesignSheet!C9-1)</f>
        <v>3.2637657012293966</v>
      </c>
      <c r="B189" s="6">
        <f>(DesignSheet!C11*DesignSheet!C13)*COS((A189+DesignSheet!C16)) + (DesignSheet!C7)*COS((DesignSheet!C11+1)*(A189+DesignSheet!C16)) - (DesignSheet!C6/2)*COS(ATAN( SIN(DesignSheet!C11*(A189+DesignSheet!C16)) / ( COS(DesignSheet!C11*(A189+DesignSheet!C16)) + (DesignSheet!C11*DesignSheet!C13)/(DesignSheet!C7*(DesignSheet!C11+1)) ) )+(A189+DesignSheet!C16))</f>
        <v>-3.8515591330656102E-2</v>
      </c>
      <c r="C189" s="6">
        <f>(DesignSheet!C11*DesignSheet!C13)*SIN((A189+DesignSheet!C16)) + (DesignSheet!C7)*SIN((DesignSheet!C11+1)*(A189+DesignSheet!C16)) - (DesignSheet!C6/2)*SIN(ATAN( SIN(DesignSheet!C11*(A189+DesignSheet!C16)) / ( COS(DesignSheet!C11*(A189+DesignSheet!C16)) + (DesignSheet!C11*DesignSheet!C13)/(DesignSheet!C7*(DesignSheet!C11+1)) ) )+(A189+DesignSheet!C16))</f>
        <v>0.74901037991769503</v>
      </c>
    </row>
    <row r="190" spans="1:3" x14ac:dyDescent="0.3">
      <c r="A190" s="6">
        <f>2*PI()*188/(DesignSheet!C9-1)</f>
        <v>3.2812189937493397</v>
      </c>
      <c r="B190" s="6">
        <f>(DesignSheet!C11*DesignSheet!C13)*COS((A190+DesignSheet!C16)) + (DesignSheet!C7)*COS((DesignSheet!C11+1)*(A190+DesignSheet!C16)) - (DesignSheet!C6/2)*COS(ATAN( SIN(DesignSheet!C11*(A190+DesignSheet!C16)) / ( COS(DesignSheet!C11*(A190+DesignSheet!C16)) + (DesignSheet!C11*DesignSheet!C13)/(DesignSheet!C7*(DesignSheet!C11+1)) ) )+(A190+DesignSheet!C16))</f>
        <v>-5.1581758795609584E-2</v>
      </c>
      <c r="C190" s="6">
        <f>(DesignSheet!C11*DesignSheet!C13)*SIN((A190+DesignSheet!C16)) + (DesignSheet!C7)*SIN((DesignSheet!C11+1)*(A190+DesignSheet!C16)) - (DesignSheet!C6/2)*SIN(ATAN( SIN(DesignSheet!C11*(A190+DesignSheet!C16)) / ( COS(DesignSheet!C11*(A190+DesignSheet!C16)) + (DesignSheet!C11*DesignSheet!C13)/(DesignSheet!C7*(DesignSheet!C11+1)) ) )+(A190+DesignSheet!C16))</f>
        <v>0.74822411225484542</v>
      </c>
    </row>
    <row r="191" spans="1:3" x14ac:dyDescent="0.3">
      <c r="A191" s="6">
        <f>2*PI()*189/(DesignSheet!C9-1)</f>
        <v>3.2986722862692828</v>
      </c>
      <c r="B191" s="6">
        <f>(DesignSheet!C11*DesignSheet!C13)*COS((A191+DesignSheet!C16)) + (DesignSheet!C7)*COS((DesignSheet!C11+1)*(A191+DesignSheet!C16)) - (DesignSheet!C6/2)*COS(ATAN( SIN(DesignSheet!C11*(A191+DesignSheet!C16)) / ( COS(DesignSheet!C11*(A191+DesignSheet!C16)) + (DesignSheet!C11*DesignSheet!C13)/(DesignSheet!C7*(DesignSheet!C11+1)) ) )+(A191+DesignSheet!C16))</f>
        <v>-6.4632213957150214E-2</v>
      </c>
      <c r="C191" s="6">
        <f>(DesignSheet!C11*DesignSheet!C13)*SIN((A191+DesignSheet!C16)) + (DesignSheet!C7)*SIN((DesignSheet!C11+1)*(A191+DesignSheet!C16)) - (DesignSheet!C6/2)*SIN(ATAN( SIN(DesignSheet!C11*(A191+DesignSheet!C16)) / ( COS(DesignSheet!C11*(A191+DesignSheet!C16)) + (DesignSheet!C11*DesignSheet!C13)/(DesignSheet!C7*(DesignSheet!C11+1)) ) )+(A191+DesignSheet!C16))</f>
        <v>0.7472099282791933</v>
      </c>
    </row>
    <row r="192" spans="1:3" x14ac:dyDescent="0.3">
      <c r="A192" s="6">
        <f>2*PI()*190/(DesignSheet!C9-1)</f>
        <v>3.3161255787892263</v>
      </c>
      <c r="B192" s="6">
        <f>(DesignSheet!C11*DesignSheet!C13)*COS((A192+DesignSheet!C16)) + (DesignSheet!C7)*COS((DesignSheet!C11+1)*(A192+DesignSheet!C16)) - (DesignSheet!C6/2)*COS(ATAN( SIN(DesignSheet!C11*(A192+DesignSheet!C16)) / ( COS(DesignSheet!C11*(A192+DesignSheet!C16)) + (DesignSheet!C11*DesignSheet!C13)/(DesignSheet!C7*(DesignSheet!C11+1)) ) )+(A192+DesignSheet!C16))</f>
        <v>-7.7662981520213184E-2</v>
      </c>
      <c r="C192" s="6">
        <f>(DesignSheet!C11*DesignSheet!C13)*SIN((A192+DesignSheet!C16)) + (DesignSheet!C7)*SIN((DesignSheet!C11+1)*(A192+DesignSheet!C16)) - (DesignSheet!C6/2)*SIN(ATAN( SIN(DesignSheet!C11*(A192+DesignSheet!C16)) / ( COS(DesignSheet!C11*(A192+DesignSheet!C16)) + (DesignSheet!C11*DesignSheet!C13)/(DesignSheet!C7*(DesignSheet!C11+1)) ) )+(A192+DesignSheet!C16))</f>
        <v>0.74596813692100217</v>
      </c>
    </row>
    <row r="193" spans="1:3" x14ac:dyDescent="0.3">
      <c r="A193" s="6">
        <f>2*PI()*191/(DesignSheet!C9-1)</f>
        <v>3.3335788713091694</v>
      </c>
      <c r="B193" s="6">
        <f>(DesignSheet!C11*DesignSheet!C13)*COS((A193+DesignSheet!C16)) + (DesignSheet!C7)*COS((DesignSheet!C11+1)*(A193+DesignSheet!C16)) - (DesignSheet!C6/2)*COS(ATAN( SIN(DesignSheet!C11*(A193+DesignSheet!C16)) / ( COS(DesignSheet!C11*(A193+DesignSheet!C16)) + (DesignSheet!C11*DesignSheet!C13)/(DesignSheet!C7*(DesignSheet!C11+1)) ) )+(A193+DesignSheet!C16))</f>
        <v>-9.0670092186767554E-2</v>
      </c>
      <c r="C193" s="6">
        <f>(DesignSheet!C11*DesignSheet!C13)*SIN((A193+DesignSheet!C16)) + (DesignSheet!C7)*SIN((DesignSheet!C11+1)*(A193+DesignSheet!C16)) - (DesignSheet!C6/2)*SIN(ATAN( SIN(DesignSheet!C11*(A193+DesignSheet!C16)) / ( COS(DesignSheet!C11*(A193+DesignSheet!C16)) + (DesignSheet!C11*DesignSheet!C13)/(DesignSheet!C7*(DesignSheet!C11+1)) ) )+(A193+DesignSheet!C16))</f>
        <v>0.74449911644194922</v>
      </c>
    </row>
    <row r="194" spans="1:3" x14ac:dyDescent="0.3">
      <c r="A194" s="6">
        <f>2*PI()*192/(DesignSheet!C9-1)</f>
        <v>3.3510321638291125</v>
      </c>
      <c r="B194" s="6">
        <f>(DesignSheet!C11*DesignSheet!C13)*COS((A194+DesignSheet!C16)) + (DesignSheet!C7)*COS((DesignSheet!C11+1)*(A194+DesignSheet!C16)) - (DesignSheet!C6/2)*COS(ATAN( SIN(DesignSheet!C11*(A194+DesignSheet!C16)) / ( COS(DesignSheet!C11*(A194+DesignSheet!C16)) + (DesignSheet!C11*DesignSheet!C13)/(DesignSheet!C7*(DesignSheet!C11+1)) ) )+(A194+DesignSheet!C16))</f>
        <v>-0.10364958386489961</v>
      </c>
      <c r="C194" s="6">
        <f>(DesignSheet!C11*DesignSheet!C13)*SIN((A194+DesignSheet!C16)) + (DesignSheet!C7)*SIN((DesignSheet!C11+1)*(A194+DesignSheet!C16)) - (DesignSheet!C6/2)*SIN(ATAN( SIN(DesignSheet!C11*(A194+DesignSheet!C16)) / ( COS(DesignSheet!C11*(A194+DesignSheet!C16)) + (DesignSheet!C11*DesignSheet!C13)/(DesignSheet!C7*(DesignSheet!C11+1)) ) )+(A194+DesignSheet!C16))</f>
        <v>0.74280331431990332</v>
      </c>
    </row>
    <row r="195" spans="1:3" x14ac:dyDescent="0.3">
      <c r="A195" s="6">
        <f>2*PI()*193/(DesignSheet!C9-1)</f>
        <v>3.3684854563490561</v>
      </c>
      <c r="B195" s="6">
        <f>(DesignSheet!C11*DesignSheet!C13)*COS((A195+DesignSheet!C16)) + (DesignSheet!C7)*COS((DesignSheet!C11+1)*(A195+DesignSheet!C16)) - (DesignSheet!C6/2)*COS(ATAN( SIN(DesignSheet!C11*(A195+DesignSheet!C16)) / ( COS(DesignSheet!C11*(A195+DesignSheet!C16)) + (DesignSheet!C11*DesignSheet!C13)/(DesignSheet!C7*(DesignSheet!C11+1)) ) )+(A195+DesignSheet!C16))</f>
        <v>-0.11659750287571168</v>
      </c>
      <c r="C195" s="6">
        <f>(DesignSheet!C11*DesignSheet!C13)*SIN((A195+DesignSheet!C16)) + (DesignSheet!C7)*SIN((DesignSheet!C11+1)*(A195+DesignSheet!C16)) - (DesignSheet!C6/2)*SIN(ATAN( SIN(DesignSheet!C11*(A195+DesignSheet!C16)) / ( COS(DesignSheet!C11*(A195+DesignSheet!C16)) + (DesignSheet!C11*DesignSheet!C13)/(DesignSheet!C7*(DesignSheet!C11+1)) ) )+(A195+DesignSheet!C16))</f>
        <v>0.74088124711261827</v>
      </c>
    </row>
    <row r="196" spans="1:3" x14ac:dyDescent="0.3">
      <c r="A196" s="6">
        <f>2*PI()*194/(DesignSheet!C9-1)</f>
        <v>3.3859387488689991</v>
      </c>
      <c r="B196" s="6">
        <f>(DesignSheet!C11*DesignSheet!C13)*COS((A196+DesignSheet!C16)) + (DesignSheet!C7)*COS((DesignSheet!C11+1)*(A196+DesignSheet!C16)) - (DesignSheet!C6/2)*COS(ATAN( SIN(DesignSheet!C11*(A196+DesignSheet!C16)) / ( COS(DesignSheet!C11*(A196+DesignSheet!C16)) + (DesignSheet!C11*DesignSheet!C13)/(DesignSheet!C7*(DesignSheet!C11+1)) ) )+(A196+DesignSheet!C16))</f>
        <v>-0.12950990515764177</v>
      </c>
      <c r="C196" s="6">
        <f>(DesignSheet!C11*DesignSheet!C13)*SIN((A196+DesignSheet!C16)) + (DesignSheet!C7)*SIN((DesignSheet!C11+1)*(A196+DesignSheet!C16)) - (DesignSheet!C6/2)*SIN(ATAN( SIN(DesignSheet!C11*(A196+DesignSheet!C16)) / ( COS(DesignSheet!C11*(A196+DesignSheet!C16)) + (DesignSheet!C11*DesignSheet!C13)/(DesignSheet!C7*(DesignSheet!C11+1)) ) )+(A196+DesignSheet!C16))</f>
        <v>0.73873350030038476</v>
      </c>
    </row>
    <row r="197" spans="1:3" x14ac:dyDescent="0.3">
      <c r="A197" s="6">
        <f>2*PI()*195/(DesignSheet!C9-1)</f>
        <v>3.4033920413889422</v>
      </c>
      <c r="B197" s="6">
        <f>(DesignSheet!C11*DesignSheet!C13)*COS((A197+DesignSheet!C16)) + (DesignSheet!C7)*COS((DesignSheet!C11+1)*(A197+DesignSheet!C16)) - (DesignSheet!C6/2)*COS(ATAN( SIN(DesignSheet!C11*(A197+DesignSheet!C16)) / ( COS(DesignSheet!C11*(A197+DesignSheet!C16)) + (DesignSheet!C11*DesignSheet!C13)/(DesignSheet!C7*(DesignSheet!C11+1)) ) )+(A197+DesignSheet!C16))</f>
        <v>-0.14238285746787022</v>
      </c>
      <c r="C197" s="6">
        <f>(DesignSheet!C11*DesignSheet!C13)*SIN((A197+DesignSheet!C16)) + (DesignSheet!C7)*SIN((DesignSheet!C11+1)*(A197+DesignSheet!C16)) - (DesignSheet!C6/2)*SIN(ATAN( SIN(DesignSheet!C11*(A197+DesignSheet!C16)) / ( COS(DesignSheet!C11*(A197+DesignSheet!C16)) + (DesignSheet!C11*DesignSheet!C13)/(DesignSheet!C7*(DesignSheet!C11+1)) ) )+(A197+DesignSheet!C16))</f>
        <v>0.73636072810768782</v>
      </c>
    </row>
    <row r="198" spans="1:3" x14ac:dyDescent="0.3">
      <c r="A198" s="6">
        <f>2*PI()*196/(DesignSheet!C9-1)</f>
        <v>3.4208453339088858</v>
      </c>
      <c r="B198" s="6">
        <f>(DesignSheet!C11*DesignSheet!C13)*COS((A198+DesignSheet!C16)) + (DesignSheet!C7)*COS((DesignSheet!C11+1)*(A198+DesignSheet!C16)) - (DesignSheet!C6/2)*COS(ATAN( SIN(DesignSheet!C11*(A198+DesignSheet!C16)) / ( COS(DesignSheet!C11*(A198+DesignSheet!C16)) + (DesignSheet!C11*DesignSheet!C13)/(DesignSheet!C7*(DesignSheet!C11+1)) ) )+(A198+DesignSheet!C16))</f>
        <v>-0.15521243858042091</v>
      </c>
      <c r="C198" s="6">
        <f>(DesignSheet!C11*DesignSheet!C13)*SIN((A198+DesignSheet!C16)) + (DesignSheet!C7)*SIN((DesignSheet!C11+1)*(A198+DesignSheet!C16)) - (DesignSheet!C6/2)*SIN(ATAN( SIN(DesignSheet!C11*(A198+DesignSheet!C16)) / ( COS(DesignSheet!C11*(A198+DesignSheet!C16)) + (DesignSheet!C11*DesignSheet!C13)/(DesignSheet!C7*(DesignSheet!C11+1)) ) )+(A198+DesignSheet!C16))</f>
        <v>0.73376365330392257</v>
      </c>
    </row>
    <row r="199" spans="1:3" x14ac:dyDescent="0.3">
      <c r="A199" s="6">
        <f>2*PI()*197/(DesignSheet!C9-1)</f>
        <v>3.4382986264288289</v>
      </c>
      <c r="B199" s="6">
        <f>(DesignSheet!C11*DesignSheet!C13)*COS((A199+DesignSheet!C16)) + (DesignSheet!C7)*COS((DesignSheet!C11+1)*(A199+DesignSheet!C16)) - (DesignSheet!C6/2)*COS(ATAN( SIN(DesignSheet!C11*(A199+DesignSheet!C16)) / ( COS(DesignSheet!C11*(A199+DesignSheet!C16)) + (DesignSheet!C11*DesignSheet!C13)/(DesignSheet!C7*(DesignSheet!C11+1)) ) )+(A199+DesignSheet!C16))</f>
        <v>-0.16799474048060203</v>
      </c>
      <c r="C199" s="6">
        <f>(DesignSheet!C11*DesignSheet!C13)*SIN((A199+DesignSheet!C16)) + (DesignSheet!C7)*SIN((DesignSheet!C11+1)*(A199+DesignSheet!C16)) - (DesignSheet!C6/2)*SIN(ATAN( SIN(DesignSheet!C11*(A199+DesignSheet!C16)) / ( COS(DesignSheet!C11*(A199+DesignSheet!C16)) + (DesignSheet!C11*DesignSheet!C13)/(DesignSheet!C7*(DesignSheet!C11+1)) ) )+(A199+DesignSheet!C16))</f>
        <v>0.73094306698323308</v>
      </c>
    </row>
    <row r="200" spans="1:3" x14ac:dyDescent="0.3">
      <c r="A200" s="6">
        <f>2*PI()*198/(DesignSheet!C9-1)</f>
        <v>3.4557519189487729</v>
      </c>
      <c r="B200" s="6">
        <f>(DesignSheet!C11*DesignSheet!C13)*COS((A200+DesignSheet!C16)) + (DesignSheet!C7)*COS((DesignSheet!C11+1)*(A200+DesignSheet!C16)) - (DesignSheet!C6/2)*COS(ATAN( SIN(DesignSheet!C11*(A200+DesignSheet!C16)) / ( COS(DesignSheet!C11*(A200+DesignSheet!C16)) + (DesignSheet!C11*DesignSheet!C13)/(DesignSheet!C7*(DesignSheet!C11+1)) ) )+(A200+DesignSheet!C16))</f>
        <v>-0.18072586955543246</v>
      </c>
      <c r="C200" s="6">
        <f>(DesignSheet!C11*DesignSheet!C13)*SIN((A200+DesignSheet!C16)) + (DesignSheet!C7)*SIN((DesignSheet!C11+1)*(A200+DesignSheet!C16)) - (DesignSheet!C6/2)*SIN(ATAN( SIN(DesignSheet!C11*(A200+DesignSheet!C16)) / ( COS(DesignSheet!C11*(A200+DesignSheet!C16)) + (DesignSheet!C11*DesignSheet!C13)/(DesignSheet!C7*(DesignSheet!C11+1)) ) )+(A200+DesignSheet!C16))</f>
        <v>0.72789982832353572</v>
      </c>
    </row>
    <row r="201" spans="1:3" x14ac:dyDescent="0.3">
      <c r="A201" s="6">
        <f>2*PI()*199/(DesignSheet!C9-1)</f>
        <v>3.473205211468716</v>
      </c>
      <c r="B201" s="6">
        <f>(DesignSheet!C11*DesignSheet!C13)*COS((A201+DesignSheet!C16)) + (DesignSheet!C7)*COS((DesignSheet!C11+1)*(A201+DesignSheet!C16)) - (DesignSheet!C6/2)*COS(ATAN( SIN(DesignSheet!C11*(A201+DesignSheet!C16)) / ( COS(DesignSheet!C11*(A201+DesignSheet!C16)) + (DesignSheet!C11*DesignSheet!C13)/(DesignSheet!C7*(DesignSheet!C11+1)) ) )+(A201+DesignSheet!C16))</f>
        <v>-0.19340194777966549</v>
      </c>
      <c r="C201" s="6">
        <f>(DesignSheet!C11*DesignSheet!C13)*SIN((A201+DesignSheet!C16)) + (DesignSheet!C7)*SIN((DesignSheet!C11+1)*(A201+DesignSheet!C16)) - (DesignSheet!C6/2)*SIN(ATAN( SIN(DesignSheet!C11*(A201+DesignSheet!C16)) / ( COS(DesignSheet!C11*(A201+DesignSheet!C16)) + (DesignSheet!C11*DesignSheet!C13)/(DesignSheet!C7*(DesignSheet!C11+1)) ) )+(A201+DesignSheet!C16))</f>
        <v>0.72463486432480706</v>
      </c>
    </row>
    <row r="202" spans="1:3" x14ac:dyDescent="0.3">
      <c r="A202" s="6">
        <f>2*PI()*200/(DesignSheet!C9-1)</f>
        <v>3.4906585039886591</v>
      </c>
      <c r="B202" s="6">
        <f>(DesignSheet!C11*DesignSheet!C13)*COS((A202+DesignSheet!C16)) + (DesignSheet!C7)*COS((DesignSheet!C11+1)*(A202+DesignSheet!C16)) - (DesignSheet!C6/2)*COS(ATAN( SIN(DesignSheet!C11*(A202+DesignSheet!C16)) / ( COS(DesignSheet!C11*(A202+DesignSheet!C16)) + (DesignSheet!C11*DesignSheet!C13)/(DesignSheet!C7*(DesignSheet!C11+1)) ) )+(A202+DesignSheet!C16))</f>
        <v>-0.20601911389707683</v>
      </c>
      <c r="C202" s="6">
        <f>(DesignSheet!C11*DesignSheet!C13)*SIN((A202+DesignSheet!C16)) + (DesignSheet!C7)*SIN((DesignSheet!C11+1)*(A202+DesignSheet!C16)) - (DesignSheet!C6/2)*SIN(ATAN( SIN(DesignSheet!C11*(A202+DesignSheet!C16)) / ( COS(DesignSheet!C11*(A202+DesignSheet!C16)) + (DesignSheet!C11*DesignSheet!C13)/(DesignSheet!C7*(DesignSheet!C11+1)) ) )+(A202+DesignSheet!C16))</f>
        <v>0.72114916952670982</v>
      </c>
    </row>
    <row r="203" spans="1:3" x14ac:dyDescent="0.3">
      <c r="A203" s="6">
        <f>2*PI()*201/(DesignSheet!C9-1)</f>
        <v>3.5081117965086026</v>
      </c>
      <c r="B203" s="6">
        <f>(DesignSheet!C11*DesignSheet!C13)*COS((A203+DesignSheet!C16)) + (DesignSheet!C7)*COS((DesignSheet!C11+1)*(A203+DesignSheet!C16)) - (DesignSheet!C6/2)*COS(ATAN( SIN(DesignSheet!C11*(A203+DesignSheet!C16)) / ( COS(DesignSheet!C11*(A203+DesignSheet!C16)) + (DesignSheet!C11*DesignSheet!C13)/(DesignSheet!C7*(DesignSheet!C11+1)) ) )+(A203+DesignSheet!C16))</f>
        <v>-0.21857352459664442</v>
      </c>
      <c r="C203" s="6">
        <f>(DesignSheet!C11*DesignSheet!C13)*SIN((A203+DesignSheet!C16)) + (DesignSheet!C7)*SIN((DesignSheet!C11+1)*(A203+DesignSheet!C16)) - (DesignSheet!C6/2)*SIN(ATAN( SIN(DesignSheet!C11*(A203+DesignSheet!C16)) / ( COS(DesignSheet!C11*(A203+DesignSheet!C16)) + (DesignSheet!C11*DesignSheet!C13)/(DesignSheet!C7*(DesignSheet!C11+1)) ) )+(A203+DesignSheet!C16))</f>
        <v>0.71744380570564559</v>
      </c>
    </row>
    <row r="204" spans="1:3" x14ac:dyDescent="0.3">
      <c r="A204" s="6">
        <f>2*PI()*202/(DesignSheet!C9-1)</f>
        <v>3.5255650890285457</v>
      </c>
      <c r="B204" s="6">
        <f>(DesignSheet!C11*DesignSheet!C13)*COS((A204+DesignSheet!C16)) + (DesignSheet!C7)*COS((DesignSheet!C11+1)*(A204+DesignSheet!C16)) - (DesignSheet!C6/2)*COS(ATAN( SIN(DesignSheet!C11*(A204+DesignSheet!C16)) / ( COS(DesignSheet!C11*(A204+DesignSheet!C16)) + (DesignSheet!C11*DesignSheet!C13)/(DesignSheet!C7*(DesignSheet!C11+1)) ) )+(A204+DesignSheet!C16))</f>
        <v>-0.23106135568324998</v>
      </c>
      <c r="C204" s="6">
        <f>(DesignSheet!C11*DesignSheet!C13)*SIN((A204+DesignSheet!C16)) + (DesignSheet!C7)*SIN((DesignSheet!C11+1)*(A204+DesignSheet!C16)) - (DesignSheet!C6/2)*SIN(ATAN( SIN(DesignSheet!C11*(A204+DesignSheet!C16)) / ( COS(DesignSheet!C11*(A204+DesignSheet!C16)) + (DesignSheet!C11*DesignSheet!C13)/(DesignSheet!C7*(DesignSheet!C11+1)) ) )+(A204+DesignSheet!C16))</f>
        <v>0.71351990155132927</v>
      </c>
    </row>
    <row r="205" spans="1:3" x14ac:dyDescent="0.3">
      <c r="A205" s="6">
        <f>2*PI()*203/(DesignSheet!C9-1)</f>
        <v>3.5430183815484888</v>
      </c>
      <c r="B205" s="6">
        <f>(DesignSheet!C11*DesignSheet!C13)*COS((A205+DesignSheet!C16)) + (DesignSheet!C7)*COS((DesignSheet!C11+1)*(A205+DesignSheet!C16)) - (DesignSheet!C6/2)*COS(ATAN( SIN(DesignSheet!C11*(A205+DesignSheet!C16)) / ( COS(DesignSheet!C11*(A205+DesignSheet!C16)) + (DesignSheet!C11*DesignSheet!C13)/(DesignSheet!C7*(DesignSheet!C11+1)) ) )+(A205+DesignSheet!C16))</f>
        <v>-0.24347880324257279</v>
      </c>
      <c r="C205" s="6">
        <f>(DesignSheet!C11*DesignSheet!C13)*SIN((A205+DesignSheet!C16)) + (DesignSheet!C7)*SIN((DesignSheet!C11+1)*(A205+DesignSheet!C16)) - (DesignSheet!C6/2)*SIN(ATAN( SIN(DesignSheet!C11*(A205+DesignSheet!C16)) / ( COS(DesignSheet!C11*(A205+DesignSheet!C16)) + (DesignSheet!C11*DesignSheet!C13)/(DesignSheet!C7*(DesignSheet!C11+1)) ) )+(A205+DesignSheet!C16))</f>
        <v>0.70937865232297803</v>
      </c>
    </row>
    <row r="206" spans="1:3" x14ac:dyDescent="0.3">
      <c r="A206" s="6">
        <f>2*PI()*204/(DesignSheet!C9-1)</f>
        <v>3.5604716740684319</v>
      </c>
      <c r="B206" s="6">
        <f>(DesignSheet!C11*DesignSheet!C13)*COS((A206+DesignSheet!C16)) + (DesignSheet!C7)*COS((DesignSheet!C11+1)*(A206+DesignSheet!C16)) - (DesignSheet!C6/2)*COS(ATAN( SIN(DesignSheet!C11*(A206+DesignSheet!C16)) / ( COS(DesignSheet!C11*(A206+DesignSheet!C16)) + (DesignSheet!C11*DesignSheet!C13)/(DesignSheet!C7*(DesignSheet!C11+1)) ) )+(A206+DesignSheet!C16))</f>
        <v>-0.25582208479979579</v>
      </c>
      <c r="C206" s="6">
        <f>(DesignSheet!C11*DesignSheet!C13)*SIN((A206+DesignSheet!C16)) + (DesignSheet!C7)*SIN((DesignSheet!C11+1)*(A206+DesignSheet!C16)) - (DesignSheet!C6/2)*SIN(ATAN( SIN(DesignSheet!C11*(A206+DesignSheet!C16)) / ( COS(DesignSheet!C11*(A206+DesignSheet!C16)) + (DesignSheet!C11*DesignSheet!C13)/(DesignSheet!C7*(DesignSheet!C11+1)) ) )+(A206+DesignSheet!C16))</f>
        <v>0.70502131948522384</v>
      </c>
    </row>
    <row r="207" spans="1:3" x14ac:dyDescent="0.3">
      <c r="A207" s="6">
        <f>2*PI()*205/(DesignSheet!C9-1)</f>
        <v>3.5779249665883754</v>
      </c>
      <c r="B207" s="6">
        <f>(DesignSheet!C11*DesignSheet!C13)*COS((A207+DesignSheet!C16)) + (DesignSheet!C7)*COS((DesignSheet!C11+1)*(A207+DesignSheet!C16)) - (DesignSheet!C6/2)*COS(ATAN( SIN(DesignSheet!C11*(A207+DesignSheet!C16)) / ( COS(DesignSheet!C11*(A207+DesignSheet!C16)) + (DesignSheet!C11*DesignSheet!C13)/(DesignSheet!C7*(DesignSheet!C11+1)) ) )+(A207+DesignSheet!C16))</f>
        <v>-0.26808744047178457</v>
      </c>
      <c r="C207" s="6">
        <f>(DesignSheet!C11*DesignSheet!C13)*SIN((A207+DesignSheet!C16)) + (DesignSheet!C7)*SIN((DesignSheet!C11+1)*(A207+DesignSheet!C16)) - (DesignSheet!C6/2)*SIN(ATAN( SIN(DesignSheet!C11*(A207+DesignSheet!C16)) / ( COS(DesignSheet!C11*(A207+DesignSheet!C16)) + (DesignSheet!C11*DesignSheet!C13)/(DesignSheet!C7*(DesignSheet!C11+1)) ) )+(A207+DesignSheet!C16))</f>
        <v>0.70044923032385964</v>
      </c>
    </row>
    <row r="208" spans="1:3" x14ac:dyDescent="0.3">
      <c r="A208" s="6">
        <f>2*PI()*206/(DesignSheet!C9-1)</f>
        <v>3.5953782591083185</v>
      </c>
      <c r="B208" s="6">
        <f>(DesignSheet!C11*DesignSheet!C13)*COS((A208+DesignSheet!C16)) + (DesignSheet!C7)*COS((DesignSheet!C11+1)*(A208+DesignSheet!C16)) - (DesignSheet!C6/2)*COS(ATAN( SIN(DesignSheet!C11*(A208+DesignSheet!C16)) / ( COS(DesignSheet!C11*(A208+DesignSheet!C16)) + (DesignSheet!C11*DesignSheet!C13)/(DesignSheet!C7*(DesignSheet!C11+1)) ) )+(A208+DesignSheet!C16))</f>
        <v>-0.28027113411238497</v>
      </c>
      <c r="C208" s="6">
        <f>(DesignSheet!C11*DesignSheet!C13)*SIN((A208+DesignSheet!C16)) + (DesignSheet!C7)*SIN((DesignSheet!C11+1)*(A208+DesignSheet!C16)) - (DesignSheet!C6/2)*SIN(ATAN( SIN(DesignSheet!C11*(A208+DesignSheet!C16)) / ( COS(DesignSheet!C11*(A208+DesignSheet!C16)) + (DesignSheet!C11*DesignSheet!C13)/(DesignSheet!C7*(DesignSheet!C11+1)) ) )+(A208+DesignSheet!C16))</f>
        <v>0.69566377754153441</v>
      </c>
    </row>
    <row r="209" spans="1:3" x14ac:dyDescent="0.3">
      <c r="A209" s="6">
        <f>2*PI()*207/(DesignSheet!C9-1)</f>
        <v>3.6128315516282616</v>
      </c>
      <c r="B209" s="6">
        <f>(DesignSheet!C11*DesignSheet!C13)*COS((A209+DesignSheet!C16)) + (DesignSheet!C7)*COS((DesignSheet!C11+1)*(A209+DesignSheet!C16)) - (DesignSheet!C6/2)*COS(ATAN( SIN(DesignSheet!C11*(A209+DesignSheet!C16)) / ( COS(DesignSheet!C11*(A209+DesignSheet!C16)) + (DesignSheet!C11*DesignSheet!C13)/(DesignSheet!C7*(DesignSheet!C11+1)) ) )+(A209+DesignSheet!C16))</f>
        <v>-0.29236945445048601</v>
      </c>
      <c r="C209" s="6">
        <f>(DesignSheet!C11*DesignSheet!C13)*SIN((A209+DesignSheet!C16)) + (DesignSheet!C7)*SIN((DesignSheet!C11+1)*(A209+DesignSheet!C16)) - (DesignSheet!C6/2)*SIN(ATAN( SIN(DesignSheet!C11*(A209+DesignSheet!C16)) / ( COS(DesignSheet!C11*(A209+DesignSheet!C16)) + (DesignSheet!C11*DesignSheet!C13)/(DesignSheet!C7*(DesignSheet!C11+1)) ) )+(A209+DesignSheet!C16))</f>
        <v>0.69066641883352431</v>
      </c>
    </row>
    <row r="210" spans="1:3" x14ac:dyDescent="0.3">
      <c r="A210" s="6">
        <f>2*PI()*208/(DesignSheet!C9-1)</f>
        <v>3.6302848441482056</v>
      </c>
      <c r="B210" s="6">
        <f>(DesignSheet!C11*DesignSheet!C13)*COS((A210+DesignSheet!C16)) + (DesignSheet!C7)*COS((DesignSheet!C11+1)*(A210+DesignSheet!C16)) - (DesignSheet!C6/2)*COS(ATAN( SIN(DesignSheet!C11*(A210+DesignSheet!C16)) / ( COS(DesignSheet!C11*(A210+DesignSheet!C16)) + (DesignSheet!C11*DesignSheet!C13)/(DesignSheet!C7*(DesignSheet!C11+1)) ) )+(A210+DesignSheet!C16))</f>
        <v>-0.30437871622051615</v>
      </c>
      <c r="C210" s="6">
        <f>(DesignSheet!C11*DesignSheet!C13)*SIN((A210+DesignSheet!C16)) + (DesignSheet!C7)*SIN((DesignSheet!C11+1)*(A210+DesignSheet!C16)) - (DesignSheet!C6/2)*SIN(ATAN( SIN(DesignSheet!C11*(A210+DesignSheet!C16)) / ( COS(DesignSheet!C11*(A210+DesignSheet!C16)) + (DesignSheet!C11*DesignSheet!C13)/(DesignSheet!C7*(DesignSheet!C11+1)) ) )+(A210+DesignSheet!C16))</f>
        <v>0.68545867644370118</v>
      </c>
    </row>
    <row r="211" spans="1:3" x14ac:dyDescent="0.3">
      <c r="A211" s="6">
        <f>2*PI()*209/(DesignSheet!C9-1)</f>
        <v>3.6477381366681487</v>
      </c>
      <c r="B211" s="6">
        <f>(DesignSheet!C11*DesignSheet!C13)*COS((A211+DesignSheet!C16)) + (DesignSheet!C7)*COS((DesignSheet!C11+1)*(A211+DesignSheet!C16)) - (DesignSheet!C6/2)*COS(ATAN( SIN(DesignSheet!C11*(A211+DesignSheet!C16)) / ( COS(DesignSheet!C11*(A211+DesignSheet!C16)) + (DesignSheet!C11*DesignSheet!C13)/(DesignSheet!C7*(DesignSheet!C11+1)) ) )+(A211+DesignSheet!C16))</f>
        <v>-0.31629526128500274</v>
      </c>
      <c r="C211" s="6">
        <f>(DesignSheet!C11*DesignSheet!C13)*SIN((A211+DesignSheet!C16)) + (DesignSheet!C7)*SIN((DesignSheet!C11+1)*(A211+DesignSheet!C16)) - (DesignSheet!C6/2)*SIN(ATAN( SIN(DesignSheet!C11*(A211+DesignSheet!C16)) / ( COS(DesignSheet!C11*(A211+DesignSheet!C16)) + (DesignSheet!C11*DesignSheet!C13)/(DesignSheet!C7*(DesignSheet!C11+1)) ) )+(A211+DesignSheet!C16))</f>
        <v>0.68004213670084579</v>
      </c>
    </row>
    <row r="212" spans="1:3" x14ac:dyDescent="0.3">
      <c r="A212" s="6">
        <f>2*PI()*210/(DesignSheet!C9-1)</f>
        <v>3.6651914291880923</v>
      </c>
      <c r="B212" s="6">
        <f>(DesignSheet!C11*DesignSheet!C13)*COS((A212+DesignSheet!C16)) + (DesignSheet!C7)*COS((DesignSheet!C11+1)*(A212+DesignSheet!C16)) - (DesignSheet!C6/2)*COS(ATAN( SIN(DesignSheet!C11*(A212+DesignSheet!C16)) / ( COS(DesignSheet!C11*(A212+DesignSheet!C16)) + (DesignSheet!C11*DesignSheet!C13)/(DesignSheet!C7*(DesignSheet!C11+1)) ) )+(A212+DesignSheet!C16))</f>
        <v>-0.32811545974888029</v>
      </c>
      <c r="C212" s="6">
        <f>(DesignSheet!C11*DesignSheet!C13)*SIN((A212+DesignSheet!C16)) + (DesignSheet!C7)*SIN((DesignSheet!C11+1)*(A212+DesignSheet!C16)) - (DesignSheet!C6/2)*SIN(ATAN( SIN(DesignSheet!C11*(A212+DesignSheet!C16)) / ( COS(DesignSheet!C11*(A212+DesignSheet!C16)) + (DesignSheet!C11*DesignSheet!C13)/(DesignSheet!C7*(DesignSheet!C11+1)) ) )+(A212+DesignSheet!C16))</f>
        <v>0.67441844953543562</v>
      </c>
    </row>
    <row r="213" spans="1:3" x14ac:dyDescent="0.3">
      <c r="A213" s="6">
        <f>2*PI()*211/(DesignSheet!C9-1)</f>
        <v>3.6826447217080354</v>
      </c>
      <c r="B213" s="6">
        <f>(DesignSheet!C11*DesignSheet!C13)*COS((A213+DesignSheet!C16)) + (DesignSheet!C7)*COS((DesignSheet!C11+1)*(A213+DesignSheet!C16)) - (DesignSheet!C6/2)*COS(ATAN( SIN(DesignSheet!C11*(A213+DesignSheet!C16)) / ( COS(DesignSheet!C11*(A213+DesignSheet!C16)) + (DesignSheet!C11*DesignSheet!C13)/(DesignSheet!C7*(DesignSheet!C11+1)) ) )+(A213+DesignSheet!C16))</f>
        <v>-0.33983571106519245</v>
      </c>
      <c r="C213" s="6">
        <f>(DesignSheet!C11*DesignSheet!C13)*SIN((A213+DesignSheet!C16)) + (DesignSheet!C7)*SIN((DesignSheet!C11+1)*(A213+DesignSheet!C16)) - (DesignSheet!C6/2)*SIN(ATAN( SIN(DesignSheet!C11*(A213+DesignSheet!C16)) / ( COS(DesignSheet!C11*(A213+DesignSheet!C16)) + (DesignSheet!C11*DesignSheet!C13)/(DesignSheet!C7*(DesignSheet!C11+1)) ) )+(A213+DesignSheet!C16))</f>
        <v>0.66858932797705872</v>
      </c>
    </row>
    <row r="214" spans="1:3" x14ac:dyDescent="0.3">
      <c r="A214" s="6">
        <f>2*PI()*212/(DesignSheet!C9-1)</f>
        <v>3.7000980142279785</v>
      </c>
      <c r="B214" s="6">
        <f>(DesignSheet!C11*DesignSheet!C13)*COS((A214+DesignSheet!C16)) + (DesignSheet!C7)*COS((DesignSheet!C11+1)*(A214+DesignSheet!C16)) - (DesignSheet!C6/2)*COS(ATAN( SIN(DesignSheet!C11*(A214+DesignSheet!C16)) / ( COS(DesignSheet!C11*(A214+DesignSheet!C16)) + (DesignSheet!C11*DesignSheet!C13)/(DesignSheet!C7*(DesignSheet!C11+1)) ) )+(A214+DesignSheet!C16))</f>
        <v>-0.35145244513185175</v>
      </c>
      <c r="C214" s="6">
        <f>(DesignSheet!C11*DesignSheet!C13)*SIN((A214+DesignSheet!C16)) + (DesignSheet!C7)*SIN((DesignSheet!C11+1)*(A214+DesignSheet!C16)) - (DesignSheet!C6/2)*SIN(ATAN( SIN(DesignSheet!C11*(A214+DesignSheet!C16)) / ( COS(DesignSheet!C11*(A214+DesignSheet!C16)) + (DesignSheet!C11*DesignSheet!C13)/(DesignSheet!C7*(DesignSheet!C11+1)) ) )+(A214+DesignSheet!C16))</f>
        <v>0.66255654763260985</v>
      </c>
    </row>
    <row r="215" spans="1:3" x14ac:dyDescent="0.3">
      <c r="A215" s="6">
        <f>2*PI()*213/(DesignSheet!C9-1)</f>
        <v>3.717551306747922</v>
      </c>
      <c r="B215" s="6">
        <f>(DesignSheet!C11*DesignSheet!C13)*COS((A215+DesignSheet!C16)) + (DesignSheet!C7)*COS((DesignSheet!C11+1)*(A215+DesignSheet!C16)) - (DesignSheet!C6/2)*COS(ATAN( SIN(DesignSheet!C11*(A215+DesignSheet!C16)) / ( COS(DesignSheet!C11*(A215+DesignSheet!C16)) + (DesignSheet!C11*DesignSheet!C13)/(DesignSheet!C7*(DesignSheet!C11+1)) ) )+(A215+DesignSheet!C16))</f>
        <v>-0.36296212337912759</v>
      </c>
      <c r="C215" s="6">
        <f>(DesignSheet!C11*DesignSheet!C13)*SIN((A215+DesignSheet!C16)) + (DesignSheet!C7)*SIN((DesignSheet!C11+1)*(A215+DesignSheet!C16)) - (DesignSheet!C6/2)*SIN(ATAN( SIN(DesignSheet!C11*(A215+DesignSheet!C16)) / ( COS(DesignSheet!C11*(A215+DesignSheet!C16)) + (DesignSheet!C11*DesignSheet!C13)/(DesignSheet!C7*(DesignSheet!C11+1)) ) )+(A215+DesignSheet!C16))</f>
        <v>0.6563219461454225</v>
      </c>
    </row>
    <row r="216" spans="1:3" x14ac:dyDescent="0.3">
      <c r="A216" s="6">
        <f>2*PI()*214/(DesignSheet!C9-1)</f>
        <v>3.7350045992678651</v>
      </c>
      <c r="B216" s="6">
        <f>(DesignSheet!C11*DesignSheet!C13)*COS((A216+DesignSheet!C16)) + (DesignSheet!C7)*COS((DesignSheet!C11+1)*(A216+DesignSheet!C16)) - (DesignSheet!C6/2)*COS(ATAN( SIN(DesignSheet!C11*(A216+DesignSheet!C16)) / ( COS(DesignSheet!C11*(A216+DesignSheet!C16)) + (DesignSheet!C11*DesignSheet!C13)/(DesignSheet!C7*(DesignSheet!C11+1)) ) )+(A216+DesignSheet!C16))</f>
        <v>-0.37436123984752967</v>
      </c>
      <c r="C216" s="6">
        <f>(DesignSheet!C11*DesignSheet!C13)*SIN((A216+DesignSheet!C16)) + (DesignSheet!C7)*SIN((DesignSheet!C11+1)*(A216+DesignSheet!C16)) - (DesignSheet!C6/2)*SIN(ATAN( SIN(DesignSheet!C11*(A216+DesignSheet!C16)) / ( COS(DesignSheet!C11*(A216+DesignSheet!C16)) + (DesignSheet!C11*DesignSheet!C13)/(DesignSheet!C7*(DesignSheet!C11+1)) ) )+(A216+DesignSheet!C16))</f>
        <v>0.64988742263550558</v>
      </c>
    </row>
    <row r="217" spans="1:3" x14ac:dyDescent="0.3">
      <c r="A217" s="6">
        <f>2*PI()*215/(DesignSheet!C9-1)</f>
        <v>3.7524578917878082</v>
      </c>
      <c r="B217" s="6">
        <f>(DesignSheet!C11*DesignSheet!C13)*COS((A217+DesignSheet!C16)) + (DesignSheet!C7)*COS((DesignSheet!C11+1)*(A217+DesignSheet!C16)) - (DesignSheet!C6/2)*COS(ATAN( SIN(DesignSheet!C11*(A217+DesignSheet!C16)) / ( COS(DesignSheet!C11*(A217+DesignSheet!C16)) + (DesignSheet!C11*DesignSheet!C13)/(DesignSheet!C7*(DesignSheet!C11+1)) ) )+(A217+DesignSheet!C16))</f>
        <v>-0.38564632225575435</v>
      </c>
      <c r="C217" s="6">
        <f>(DesignSheet!C11*DesignSheet!C13)*SIN((A217+DesignSheet!C16)) + (DesignSheet!C7)*SIN((DesignSheet!C11+1)*(A217+DesignSheet!C16)) - (DesignSheet!C6/2)*SIN(ATAN( SIN(DesignSheet!C11*(A217+DesignSheet!C16)) / ( COS(DesignSheet!C11*(A217+DesignSheet!C16)) + (DesignSheet!C11*DesignSheet!C13)/(DesignSheet!C7*(DesignSheet!C11+1)) ) )+(A217+DesignSheet!C16))</f>
        <v>0.64325493712105386</v>
      </c>
    </row>
    <row r="218" spans="1:3" x14ac:dyDescent="0.3">
      <c r="A218" s="6">
        <f>2*PI()*216/(DesignSheet!C9-1)</f>
        <v>3.7699111843077517</v>
      </c>
      <c r="B218" s="6">
        <f>(DesignSheet!C11*DesignSheet!C13)*COS((A218+DesignSheet!C16)) + (DesignSheet!C7)*COS((DesignSheet!C11+1)*(A218+DesignSheet!C16)) - (DesignSheet!C6/2)*COS(ATAN( SIN(DesignSheet!C11*(A218+DesignSheet!C16)) / ( COS(DesignSheet!C11*(A218+DesignSheet!C16)) + (DesignSheet!C11*DesignSheet!C13)/(DesignSheet!C7*(DesignSheet!C11+1)) ) )+(A218+DesignSheet!C16))</f>
        <v>-0.3968139330583812</v>
      </c>
      <c r="C218" s="6">
        <f>(DesignSheet!C11*DesignSheet!C13)*SIN((A218+DesignSheet!C16)) + (DesignSheet!C7)*SIN((DesignSheet!C11+1)*(A218+DesignSheet!C16)) - (DesignSheet!C6/2)*SIN(ATAN( SIN(DesignSheet!C11*(A218+DesignSheet!C16)) / ( COS(DesignSheet!C11*(A218+DesignSheet!C16)) + (DesignSheet!C11*DesignSheet!C13)/(DesignSheet!C7*(DesignSheet!C11+1)) ) )+(A218+DesignSheet!C16))</f>
        <v>0.6364265099214037</v>
      </c>
    </row>
    <row r="219" spans="1:3" x14ac:dyDescent="0.3">
      <c r="A219" s="6">
        <f>2*PI()*217/(DesignSheet!C9-1)</f>
        <v>3.7873644768276948</v>
      </c>
      <c r="B219" s="6">
        <f>(DesignSheet!C11*DesignSheet!C13)*COS((A219+DesignSheet!C16)) + (DesignSheet!C7)*COS((DesignSheet!C11+1)*(A219+DesignSheet!C16)) - (DesignSheet!C6/2)*COS(ATAN( SIN(DesignSheet!C11*(A219+DesignSheet!C16)) / ( COS(DesignSheet!C11*(A219+DesignSheet!C16)) + (DesignSheet!C11*DesignSheet!C13)/(DesignSheet!C7*(DesignSheet!C11+1)) ) )+(A219+DesignSheet!C16))</f>
        <v>-0.40786067049297503</v>
      </c>
      <c r="C219" s="6">
        <f>(DesignSheet!C11*DesignSheet!C13)*SIN((A219+DesignSheet!C16)) + (DesignSheet!C7)*SIN((DesignSheet!C11+1)*(A219+DesignSheet!C16)) - (DesignSheet!C6/2)*SIN(ATAN( SIN(DesignSheet!C11*(A219+DesignSheet!C16)) / ( COS(DesignSheet!C11*(A219+DesignSheet!C16)) + (DesignSheet!C11*DesignSheet!C13)/(DesignSheet!C7*(DesignSheet!C11+1)) ) )+(A219+DesignSheet!C16))</f>
        <v>0.62940422104162985</v>
      </c>
    </row>
    <row r="220" spans="1:3" x14ac:dyDescent="0.3">
      <c r="A220" s="6">
        <f>2*PI()*218/(DesignSheet!C9-1)</f>
        <v>3.8048177693476379</v>
      </c>
      <c r="B220" s="6">
        <f>(DesignSheet!C11*DesignSheet!C13)*COS((A220+DesignSheet!C16)) + (DesignSheet!C7)*COS((DesignSheet!C11+1)*(A220+DesignSheet!C16)) - (DesignSheet!C6/2)*COS(ATAN( SIN(DesignSheet!C11*(A220+DesignSheet!C16)) / ( COS(DesignSheet!C11*(A220+DesignSheet!C16)) + (DesignSheet!C11*DesignSheet!C13)/(DesignSheet!C7*(DesignSheet!C11+1)) ) )+(A220+DesignSheet!C16))</f>
        <v>-0.41878316961630163</v>
      </c>
      <c r="C220" s="6">
        <f>(DesignSheet!C11*DesignSheet!C13)*SIN((A220+DesignSheet!C16)) + (DesignSheet!C7)*SIN((DesignSheet!C11+1)*(A220+DesignSheet!C16)) - (DesignSheet!C6/2)*SIN(ATAN( SIN(DesignSheet!C11*(A220+DesignSheet!C16)) / ( COS(DesignSheet!C11*(A220+DesignSheet!C16)) + (DesignSheet!C11*DesignSheet!C13)/(DesignSheet!C7*(DesignSheet!C11+1)) ) )+(A220+DesignSheet!C16))</f>
        <v>0.6221902095389511</v>
      </c>
    </row>
    <row r="221" spans="1:3" x14ac:dyDescent="0.3">
      <c r="A221" s="6">
        <f>2*PI()*219/(DesignSheet!C9-1)</f>
        <v>3.8222710618675819</v>
      </c>
      <c r="B221" s="6">
        <f>(DesignSheet!C11*DesignSheet!C13)*COS((A221+DesignSheet!C16)) + (DesignSheet!C7)*COS((DesignSheet!C11+1)*(A221+DesignSheet!C16)) - (DesignSheet!C6/2)*COS(ATAN( SIN(DesignSheet!C11*(A221+DesignSheet!C16)) / ( COS(DesignSheet!C11*(A221+DesignSheet!C16)) + (DesignSheet!C11*DesignSheet!C13)/(DesignSheet!C7*(DesignSheet!C11+1)) ) )+(A221+DesignSheet!C16))</f>
        <v>-0.42957810332932012</v>
      </c>
      <c r="C221" s="6">
        <f>(DesignSheet!C11*DesignSheet!C13)*SIN((A221+DesignSheet!C16)) + (DesignSheet!C7)*SIN((DesignSheet!C11+1)*(A221+DesignSheet!C16)) - (DesignSheet!C6/2)*SIN(ATAN( SIN(DesignSheet!C11*(A221+DesignSheet!C16)) / ( COS(DesignSheet!C11*(A221+DesignSheet!C16)) + (DesignSheet!C11*DesignSheet!C13)/(DesignSheet!C7*(DesignSheet!C11+1)) ) )+(A221+DesignSheet!C16))</f>
        <v>0.61478667287115463</v>
      </c>
    </row>
    <row r="222" spans="1:3" x14ac:dyDescent="0.3">
      <c r="A222" s="6">
        <f>2*PI()*220/(DesignSheet!C9-1)</f>
        <v>3.839724354387525</v>
      </c>
      <c r="B222" s="6">
        <f>(DesignSheet!C11*DesignSheet!C13)*COS((A222+DesignSheet!C16)) + (DesignSheet!C7)*COS((DesignSheet!C11+1)*(A222+DesignSheet!C16)) - (DesignSheet!C6/2)*COS(ATAN( SIN(DesignSheet!C11*(A222+DesignSheet!C16)) / ( COS(DesignSheet!C11*(A222+DesignSheet!C16)) + (DesignSheet!C11*DesignSheet!C13)/(DesignSheet!C7*(DesignSheet!C11+1)) ) )+(A222+DesignSheet!C16))</f>
        <v>-0.44024218339064725</v>
      </c>
      <c r="C222" s="6">
        <f>(DesignSheet!C11*DesignSheet!C13)*SIN((A222+DesignSheet!C16)) + (DesignSheet!C7)*SIN((DesignSheet!C11+1)*(A222+DesignSheet!C16)) - (DesignSheet!C6/2)*SIN(ATAN( SIN(DesignSheet!C11*(A222+DesignSheet!C16)) / ( COS(DesignSheet!C11*(A222+DesignSheet!C16)) + (DesignSheet!C11*DesignSheet!C13)/(DesignSheet!C7*(DesignSheet!C11+1)) ) )+(A222+DesignSheet!C16))</f>
        <v>0.60719586622722954</v>
      </c>
    </row>
    <row r="223" spans="1:3" x14ac:dyDescent="0.3">
      <c r="A223" s="6">
        <f>2*PI()*221/(DesignSheet!C9-1)</f>
        <v>3.8571776469074686</v>
      </c>
      <c r="B223" s="6">
        <f>(DesignSheet!C11*DesignSheet!C13)*COS((A223+DesignSheet!C16)) + (DesignSheet!C7)*COS((DesignSheet!C11+1)*(A223+DesignSheet!C16)) - (DesignSheet!C6/2)*COS(ATAN( SIN(DesignSheet!C11*(A223+DesignSheet!C16)) / ( COS(DesignSheet!C11*(A223+DesignSheet!C16)) + (DesignSheet!C11*DesignSheet!C13)/(DesignSheet!C7*(DesignSheet!C11+1)) ) )+(A223+DesignSheet!C16))</f>
        <v>-0.45077216141819187</v>
      </c>
      <c r="C223" s="6">
        <f>(DesignSheet!C11*DesignSheet!C13)*SIN((A223+DesignSheet!C16)) + (DesignSheet!C7)*SIN((DesignSheet!C11+1)*(A223+DesignSheet!C16)) - (DesignSheet!C6/2)*SIN(ATAN( SIN(DesignSheet!C11*(A223+DesignSheet!C16)) / ( COS(DesignSheet!C11*(A223+DesignSheet!C16)) + (DesignSheet!C11*DesignSheet!C13)/(DesignSheet!C7*(DesignSheet!C11+1)) ) )+(A223+DesignSheet!C16))</f>
        <v>0.59942010184041339</v>
      </c>
    </row>
    <row r="224" spans="1:3" x14ac:dyDescent="0.3">
      <c r="A224" s="6">
        <f>2*PI()*222/(DesignSheet!C9-1)</f>
        <v>3.8746309394274117</v>
      </c>
      <c r="B224" s="6">
        <f>(DesignSheet!C11*DesignSheet!C13)*COS((A224+DesignSheet!C16)) + (DesignSheet!C7)*COS((DesignSheet!C11+1)*(A224+DesignSheet!C16)) - (DesignSheet!C6/2)*COS(ATAN( SIN(DesignSheet!C11*(A224+DesignSheet!C16)) / ( COS(DesignSheet!C11*(A224+DesignSheet!C16)) + (DesignSheet!C11*DesignSheet!C13)/(DesignSheet!C7*(DesignSheet!C11+1)) ) )+(A224+DesignSheet!C16))</f>
        <v>-0.4611648298786411</v>
      </c>
      <c r="C224" s="6">
        <f>(DesignSheet!C11*DesignSheet!C13)*SIN((A224+DesignSheet!C16)) + (DesignSheet!C7)*SIN((DesignSheet!C11+1)*(A224+DesignSheet!C16)) - (DesignSheet!C6/2)*SIN(ATAN( SIN(DesignSheet!C11*(A224+DesignSheet!C16)) / ( COS(DesignSheet!C11*(A224+DesignSheet!C16)) + (DesignSheet!C11*DesignSheet!C13)/(DesignSheet!C7*(DesignSheet!C11+1)) ) )+(A224+DesignSheet!C16))</f>
        <v>0.59146174828386322</v>
      </c>
    </row>
    <row r="225" spans="1:3" x14ac:dyDescent="0.3">
      <c r="A225" s="6">
        <f>2*PI()*223/(DesignSheet!C9-1)</f>
        <v>3.8920842319473548</v>
      </c>
      <c r="B225" s="6">
        <f>(DesignSheet!C11*DesignSheet!C13)*COS((A225+DesignSheet!C16)) + (DesignSheet!C7)*COS((DesignSheet!C11+1)*(A225+DesignSheet!C16)) - (DesignSheet!C6/2)*COS(ATAN( SIN(DesignSheet!C11*(A225+DesignSheet!C16)) / ( COS(DesignSheet!C11*(A225+DesignSheet!C16)) + (DesignSheet!C11*DesignSheet!C13)/(DesignSheet!C7*(DesignSheet!C11+1)) ) )+(A225+DesignSheet!C16))</f>
        <v>-0.47141702306450423</v>
      </c>
      <c r="C225" s="6">
        <f>(DesignSheet!C11*DesignSheet!C13)*SIN((A225+DesignSheet!C16)) + (DesignSheet!C7)*SIN((DesignSheet!C11+1)*(A225+DesignSheet!C16)) - (DesignSheet!C6/2)*SIN(ATAN( SIN(DesignSheet!C11*(A225+DesignSheet!C16)) / ( COS(DesignSheet!C11*(A225+DesignSheet!C16)) + (DesignSheet!C11*DesignSheet!C13)/(DesignSheet!C7*(DesignSheet!C11+1)) ) )+(A225+DesignSheet!C16))</f>
        <v>0.58332322974916817</v>
      </c>
    </row>
    <row r="226" spans="1:3" x14ac:dyDescent="0.3">
      <c r="A226" s="6">
        <f>2*PI()*224/(DesignSheet!C9-1)</f>
        <v>3.9095375244672983</v>
      </c>
      <c r="B226" s="6">
        <f>(DesignSheet!C11*DesignSheet!C13)*COS((A226+DesignSheet!C16)) + (DesignSheet!C7)*COS((DesignSheet!C11+1)*(A226+DesignSheet!C16)) - (DesignSheet!C6/2)*COS(ATAN( SIN(DesignSheet!C11*(A226+DesignSheet!C16)) / ( COS(DesignSheet!C11*(A226+DesignSheet!C16)) + (DesignSheet!C11*DesignSheet!C13)/(DesignSheet!C7*(DesignSheet!C11+1)) ) )+(A226+DesignSheet!C16))</f>
        <v>-0.48152561805842364</v>
      </c>
      <c r="C226" s="6">
        <f>(DesignSheet!C11*DesignSheet!C13)*SIN((A226+DesignSheet!C16)) + (DesignSheet!C7)*SIN((DesignSheet!C11+1)*(A226+DesignSheet!C16)) - (DesignSheet!C6/2)*SIN(ATAN( SIN(DesignSheet!C11*(A226+DesignSheet!C16)) / ( COS(DesignSheet!C11*(A226+DesignSheet!C16)) + (DesignSheet!C11*DesignSheet!C13)/(DesignSheet!C7*(DesignSheet!C11+1)) ) )+(A226+DesignSheet!C16))</f>
        <v>0.57500702530791148</v>
      </c>
    </row>
    <row r="227" spans="1:3" x14ac:dyDescent="0.3">
      <c r="A227" s="6">
        <f>2*PI()*225/(DesignSheet!C9-1)</f>
        <v>3.9269908169872414</v>
      </c>
      <c r="B227" s="6">
        <f>(DesignSheet!C11*DesignSheet!C13)*COS((A227+DesignSheet!C16)) + (DesignSheet!C7)*COS((DesignSheet!C11+1)*(A227+DesignSheet!C16)) - (DesignSheet!C6/2)*COS(ATAN( SIN(DesignSheet!C11*(A227+DesignSheet!C16)) / ( COS(DesignSheet!C11*(A227+DesignSheet!C16)) + (DesignSheet!C11*DesignSheet!C13)/(DesignSheet!C7*(DesignSheet!C11+1)) ) )+(A227+DesignSheet!C16))</f>
        <v>-0.49148753568443859</v>
      </c>
      <c r="C227" s="6">
        <f>(DesignSheet!C11*DesignSheet!C13)*SIN((A227+DesignSheet!C16)) + (DesignSheet!C7)*SIN((DesignSheet!C11+1)*(A227+DesignSheet!C16)) - (DesignSheet!C6/2)*SIN(ATAN( SIN(DesignSheet!C11*(A227+DesignSheet!C16)) / ( COS(DesignSheet!C11*(A227+DesignSheet!C16)) + (DesignSheet!C11*DesignSheet!C13)/(DesignSheet!C7*(DesignSheet!C11+1)) ) )+(A227+DesignSheet!C16))</f>
        <v>0.56651566815652832</v>
      </c>
    </row>
    <row r="228" spans="1:3" x14ac:dyDescent="0.3">
      <c r="A228" s="6">
        <f>2*PI()*226/(DesignSheet!C9-1)</f>
        <v>3.9444441095071845</v>
      </c>
      <c r="B228" s="6">
        <f>(DesignSheet!C11*DesignSheet!C13)*COS((A228+DesignSheet!C16)) + (DesignSheet!C7)*COS((DesignSheet!C11+1)*(A228+DesignSheet!C16)) - (DesignSheet!C6/2)*COS(ATAN( SIN(DesignSheet!C11*(A228+DesignSheet!C16)) / ( COS(DesignSheet!C11*(A228+DesignSheet!C16)) + (DesignSheet!C11*DesignSheet!C13)/(DesignSheet!C7*(DesignSheet!C11+1)) ) )+(A228+DesignSheet!C16))</f>
        <v>-0.50129974144593736</v>
      </c>
      <c r="C228" s="6">
        <f>(DesignSheet!C11*DesignSheet!C13)*SIN((A228+DesignSheet!C16)) + (DesignSheet!C7)*SIN((DesignSheet!C11+1)*(A228+DesignSheet!C16)) - (DesignSheet!C6/2)*SIN(ATAN( SIN(DesignSheet!C11*(A228+DesignSheet!C16)) / ( COS(DesignSheet!C11*(A228+DesignSheet!C16)) + (DesignSheet!C11*DesignSheet!C13)/(DesignSheet!C7*(DesignSheet!C11+1)) ) )+(A228+DesignSheet!C16))</f>
        <v>0.55785174484466427</v>
      </c>
    </row>
    <row r="229" spans="1:3" x14ac:dyDescent="0.3">
      <c r="A229" s="6">
        <f>2*PI()*227/(DesignSheet!C9-1)</f>
        <v>3.9618974020271276</v>
      </c>
      <c r="B229" s="6">
        <f>(DesignSheet!C11*DesignSheet!C13)*COS((A229+DesignSheet!C16)) + (DesignSheet!C7)*COS((DesignSheet!C11+1)*(A229+DesignSheet!C16)) - (DesignSheet!C6/2)*COS(ATAN( SIN(DesignSheet!C11*(A229+DesignSheet!C16)) / ( COS(DesignSheet!C11*(A229+DesignSheet!C16)) + (DesignSheet!C11*DesignSheet!C13)/(DesignSheet!C7*(DesignSheet!C11+1)) ) )+(A229+DesignSheet!C16))</f>
        <v>-0.51095924644999202</v>
      </c>
      <c r="C229" s="6">
        <f>(DesignSheet!C11*DesignSheet!C13)*SIN((A229+DesignSheet!C16)) + (DesignSheet!C7)*SIN((DesignSheet!C11+1)*(A229+DesignSheet!C16)) - (DesignSheet!C6/2)*SIN(ATAN( SIN(DesignSheet!C11*(A229+DesignSheet!C16)) / ( COS(DesignSheet!C11*(A229+DesignSheet!C16)) + (DesignSheet!C11*DesignSheet!C13)/(DesignSheet!C7*(DesignSheet!C11+1)) ) )+(A229+DesignSheet!C16))</f>
        <v>0.54901789448728922</v>
      </c>
    </row>
    <row r="230" spans="1:3" x14ac:dyDescent="0.3">
      <c r="A230" s="6">
        <f>2*PI()*228/(DesignSheet!C9-1)</f>
        <v>3.9793506945470711</v>
      </c>
      <c r="B230" s="6">
        <f>(DesignSheet!C11*DesignSheet!C13)*COS((A230+DesignSheet!C16)) + (DesignSheet!C7)*COS((DesignSheet!C11+1)*(A230+DesignSheet!C16)) - (DesignSheet!C6/2)*COS(ATAN( SIN(DesignSheet!C11*(A230+DesignSheet!C16)) / ( COS(DesignSheet!C11*(A230+DesignSheet!C16)) + (DesignSheet!C11*DesignSheet!C13)/(DesignSheet!C7*(DesignSheet!C11+1)) ) )+(A230+DesignSheet!C16))</f>
        <v>-0.52046310831780473</v>
      </c>
      <c r="C230" s="6">
        <f>(DesignSheet!C11*DesignSheet!C13)*SIN((A230+DesignSheet!C16)) + (DesignSheet!C7)*SIN((DesignSheet!C11+1)*(A230+DesignSheet!C16)) - (DesignSheet!C6/2)*SIN(ATAN( SIN(DesignSheet!C11*(A230+DesignSheet!C16)) / ( COS(DesignSheet!C11*(A230+DesignSheet!C16)) + (DesignSheet!C11*DesignSheet!C13)/(DesignSheet!C7*(DesignSheet!C11+1)) ) )+(A230+DesignSheet!C16))</f>
        <v>0.54001680796079776</v>
      </c>
    </row>
    <row r="231" spans="1:3" x14ac:dyDescent="0.3">
      <c r="A231" s="6">
        <f>2*PI()*229/(DesignSheet!C9-1)</f>
        <v>3.9968039870670142</v>
      </c>
      <c r="B231" s="6">
        <f>(DesignSheet!C11*DesignSheet!C13)*COS((A231+DesignSheet!C16)) + (DesignSheet!C7)*COS((DesignSheet!C11+1)*(A231+DesignSheet!C16)) - (DesignSheet!C6/2)*COS(ATAN( SIN(DesignSheet!C11*(A231+DesignSheet!C16)) / ( COS(DesignSheet!C11*(A231+DesignSheet!C16)) + (DesignSheet!C11*DesignSheet!C13)/(DesignSheet!C7*(DesignSheet!C11+1)) ) )+(A231+DesignSheet!C16))</f>
        <v>-0.52980843208098494</v>
      </c>
      <c r="C231" s="6">
        <f>(DesignSheet!C11*DesignSheet!C13)*SIN((A231+DesignSheet!C16)) + (DesignSheet!C7)*SIN((DesignSheet!C11+1)*(A231+DesignSheet!C16)) - (DesignSheet!C6/2)*SIN(ATAN( SIN(DesignSheet!C11*(A231+DesignSheet!C16)) / ( COS(DesignSheet!C11*(A231+DesignSheet!C16)) + (DesignSheet!C11*DesignSheet!C13)/(DesignSheet!C7*(DesignSheet!C11+1)) ) )+(A231+DesignSheet!C16))</f>
        <v>0.53085122708334054</v>
      </c>
    </row>
    <row r="232" spans="1:3" x14ac:dyDescent="0.3">
      <c r="A232" s="6">
        <f>2*PI()*230/(DesignSheet!C9-1)</f>
        <v>4.0142572795869578</v>
      </c>
      <c r="B232" s="6">
        <f>(DesignSheet!C11*DesignSheet!C13)*COS((A232+DesignSheet!C16)) + (DesignSheet!C7)*COS((DesignSheet!C11+1)*(A232+DesignSheet!C16)) - (DesignSheet!C6/2)*COS(ATAN( SIN(DesignSheet!C11*(A232+DesignSheet!C16)) / ( COS(DesignSheet!C11*(A232+DesignSheet!C16)) + (DesignSheet!C11*DesignSheet!C13)/(DesignSheet!C7*(DesignSheet!C11+1)) ) )+(A232+DesignSheet!C16))</f>
        <v>-0.53899237106338327</v>
      </c>
      <c r="C232" s="6">
        <f>(DesignSheet!C11*DesignSheet!C13)*SIN((A232+DesignSheet!C16)) + (DesignSheet!C7)*SIN((DesignSheet!C11+1)*(A232+DesignSheet!C16)) - (DesignSheet!C6/2)*SIN(ATAN( SIN(DesignSheet!C11*(A232+DesignSheet!C16)) / ( COS(DesignSheet!C11*(A232+DesignSheet!C16)) + (DesignSheet!C11*DesignSheet!C13)/(DesignSheet!C7*(DesignSheet!C11+1)) ) )+(A232+DesignSheet!C16))</f>
        <v>0.52152394377964295</v>
      </c>
    </row>
    <row r="233" spans="1:3" x14ac:dyDescent="0.3">
      <c r="A233" s="6">
        <f>2*PI()*231/(DesignSheet!C9-1)</f>
        <v>4.0317105721069018</v>
      </c>
      <c r="B233" s="6">
        <f>(DesignSheet!C11*DesignSheet!C13)*COS((A233+DesignSheet!C16)) + (DesignSheet!C7)*COS((DesignSheet!C11+1)*(A233+DesignSheet!C16)) - (DesignSheet!C6/2)*COS(ATAN( SIN(DesignSheet!C11*(A233+DesignSheet!C16)) / ( COS(DesignSheet!C11*(A233+DesignSheet!C16)) + (DesignSheet!C11*DesignSheet!C13)/(DesignSheet!C7*(DesignSheet!C11+1)) ) )+(A233+DesignSheet!C16))</f>
        <v>-0.54801212774821983</v>
      </c>
      <c r="C233" s="6">
        <f>(DesignSheet!C11*DesignSheet!C13)*SIN((A233+DesignSheet!C16)) + (DesignSheet!C7)*SIN((DesignSheet!C11+1)*(A233+DesignSheet!C16)) - (DesignSheet!C6/2)*SIN(ATAN( SIN(DesignSheet!C11*(A233+DesignSheet!C16)) / ( COS(DesignSheet!C11*(A233+DesignSheet!C16)) + (DesignSheet!C11*DesignSheet!C13)/(DesignSheet!C7*(DesignSheet!C11+1)) ) )+(A233+DesignSheet!C16))</f>
        <v>0.51203779923055359</v>
      </c>
    </row>
    <row r="234" spans="1:3" x14ac:dyDescent="0.3">
      <c r="A234" s="6">
        <f>2*PI()*232/(DesignSheet!C9-1)</f>
        <v>4.0491638646268449</v>
      </c>
      <c r="B234" s="6">
        <f>(DesignSheet!C11*DesignSheet!C13)*COS((A234+DesignSheet!C16)) + (DesignSheet!C7)*COS((DesignSheet!C11+1)*(A234+DesignSheet!C16)) - (DesignSheet!C6/2)*COS(ATAN( SIN(DesignSheet!C11*(A234+DesignSheet!C16)) / ( COS(DesignSheet!C11*(A234+DesignSheet!C16)) + (DesignSheet!C11*DesignSheet!C13)/(DesignSheet!C7*(DesignSheet!C11+1)) ) )+(A234+DesignSheet!C16))</f>
        <v>-0.55686495463023111</v>
      </c>
      <c r="C234" s="6">
        <f>(DesignSheet!C11*DesignSheet!C13)*SIN((A234+DesignSheet!C16)) + (DesignSheet!C7)*SIN((DesignSheet!C11+1)*(A234+DesignSheet!C16)) - (DesignSheet!C6/2)*SIN(ATAN( SIN(DesignSheet!C11*(A234+DesignSheet!C16)) / ( COS(DesignSheet!C11*(A234+DesignSheet!C16)) + (DesignSheet!C11*DesignSheet!C13)/(DesignSheet!C7*(DesignSheet!C11+1)) ) )+(A234+DesignSheet!C16))</f>
        <v>0.50239568300759774</v>
      </c>
    </row>
    <row r="235" spans="1:3" x14ac:dyDescent="0.3">
      <c r="A235" s="6">
        <f>2*PI()*233/(DesignSheet!C9-1)</f>
        <v>4.066617157146788</v>
      </c>
      <c r="B235" s="6">
        <f>(DesignSheet!C11*DesignSheet!C13)*COS((A235+DesignSheet!C16)) + (DesignSheet!C7)*COS((DesignSheet!C11+1)*(A235+DesignSheet!C16)) - (DesignSheet!C6/2)*COS(ATAN( SIN(DesignSheet!C11*(A235+DesignSheet!C16)) / ( COS(DesignSheet!C11*(A235+DesignSheet!C16)) + (DesignSheet!C11*DesignSheet!C13)/(DesignSheet!C7*(DesignSheet!C11+1)) ) )+(A235+DesignSheet!C16))</f>
        <v>-0.56554815505259015</v>
      </c>
      <c r="C235" s="6">
        <f>(DesignSheet!C11*DesignSheet!C13)*SIN((A235+DesignSheet!C16)) + (DesignSheet!C7)*SIN((DesignSheet!C11+1)*(A235+DesignSheet!C16)) - (DesignSheet!C6/2)*SIN(ATAN( SIN(DesignSheet!C11*(A235+DesignSheet!C16)) / ( COS(DesignSheet!C11*(A235+DesignSheet!C16)) + (DesignSheet!C11*DesignSheet!C13)/(DesignSheet!C7*(DesignSheet!C11+1)) ) )+(A235+DesignSheet!C16))</f>
        <v>0.49260053219278138</v>
      </c>
    </row>
    <row r="236" spans="1:3" x14ac:dyDescent="0.3">
      <c r="A236" s="6">
        <f>2*PI()*234/(DesignSheet!C9-1)</f>
        <v>4.0840704496667311</v>
      </c>
      <c r="B236" s="6">
        <f>(DesignSheet!C11*DesignSheet!C13)*COS((A236+DesignSheet!C16)) + (DesignSheet!C7)*COS((DesignSheet!C11+1)*(A236+DesignSheet!C16)) - (DesignSheet!C6/2)*COS(ATAN( SIN(DesignSheet!C11*(A236+DesignSheet!C16)) / ( COS(DesignSheet!C11*(A236+DesignSheet!C16)) + (DesignSheet!C11*DesignSheet!C13)/(DesignSheet!C7*(DesignSheet!C11+1)) ) )+(A236+DesignSheet!C16))</f>
        <v>-0.57405908402833217</v>
      </c>
      <c r="C236" s="6">
        <f>(DesignSheet!C11*DesignSheet!C13)*SIN((A236+DesignSheet!C16)) + (DesignSheet!C7)*SIN((DesignSheet!C11+1)*(A236+DesignSheet!C16)) - (DesignSheet!C6/2)*SIN(ATAN( SIN(DesignSheet!C11*(A236+DesignSheet!C16)) / ( COS(DesignSheet!C11*(A236+DesignSheet!C16)) + (DesignSheet!C11*DesignSheet!C13)/(DesignSheet!C7*(DesignSheet!C11+1)) ) )+(A236+DesignSheet!C16))</f>
        <v>0.48265533048393061</v>
      </c>
    </row>
    <row r="237" spans="1:3" x14ac:dyDescent="0.3">
      <c r="A237" s="6">
        <f>2*PI()*235/(DesignSheet!C9-1)</f>
        <v>4.1015237421866741</v>
      </c>
      <c r="B237" s="6">
        <f>(DesignSheet!C11*DesignSheet!C13)*COS((A237+DesignSheet!C16)) + (DesignSheet!C7)*COS((DesignSheet!C11+1)*(A237+DesignSheet!C16)) - (DesignSheet!C6/2)*COS(ATAN( SIN(DesignSheet!C11*(A237+DesignSheet!C16)) / ( COS(DesignSheet!C11*(A237+DesignSheet!C16)) + (DesignSheet!C11*DesignSheet!C13)/(DesignSheet!C7*(DesignSheet!C11+1)) ) )+(A237+DesignSheet!C16))</f>
        <v>-0.58239514904604384</v>
      </c>
      <c r="C237" s="6">
        <f>(DesignSheet!C11*DesignSheet!C13)*SIN((A237+DesignSheet!C16)) + (DesignSheet!C7)*SIN((DesignSheet!C11+1)*(A237+DesignSheet!C16)) - (DesignSheet!C6/2)*SIN(ATAN( SIN(DesignSheet!C11*(A237+DesignSheet!C16)) / ( COS(DesignSheet!C11*(A237+DesignSheet!C16)) + (DesignSheet!C11*DesignSheet!C13)/(DesignSheet!C7*(DesignSheet!C11+1)) ) )+(A237+DesignSheet!C16))</f>
        <v>0.4725631072858274</v>
      </c>
    </row>
    <row r="238" spans="1:3" x14ac:dyDescent="0.3">
      <c r="A238" s="6">
        <f>2*PI()*236/(DesignSheet!C9-1)</f>
        <v>4.1189770347066172</v>
      </c>
      <c r="B238" s="6">
        <f>(DesignSheet!C11*DesignSheet!C13)*COS((A238+DesignSheet!C16)) + (DesignSheet!C7)*COS((DesignSheet!C11+1)*(A238+DesignSheet!C16)) - (DesignSheet!C6/2)*COS(ATAN( SIN(DesignSheet!C11*(A238+DesignSheet!C16)) / ( COS(DesignSheet!C11*(A238+DesignSheet!C16)) + (DesignSheet!C11*DesignSheet!C13)/(DesignSheet!C7*(DesignSheet!C11+1)) ) )+(A238+DesignSheet!C16))</f>
        <v>-0.5905538108595676</v>
      </c>
      <c r="C238" s="6">
        <f>(DesignSheet!C11*DesignSheet!C13)*SIN((A238+DesignSheet!C16)) + (DesignSheet!C7)*SIN((DesignSheet!C11+1)*(A238+DesignSheet!C16)) - (DesignSheet!C6/2)*SIN(ATAN( SIN(DesignSheet!C11*(A238+DesignSheet!C16)) / ( COS(DesignSheet!C11*(A238+DesignSheet!C16)) + (DesignSheet!C11*DesignSheet!C13)/(DesignSheet!C7*(DesignSheet!C11+1)) ) )+(A238+DesignSheet!C16))</f>
        <v>0.46232693678742315</v>
      </c>
    </row>
    <row r="239" spans="1:3" x14ac:dyDescent="0.3">
      <c r="A239" s="6">
        <f>2*PI()*237/(DesignSheet!C9-1)</f>
        <v>4.1364303272265612</v>
      </c>
      <c r="B239" s="6">
        <f>(DesignSheet!C11*DesignSheet!C13)*COS((A239+DesignSheet!C16)) + (DesignSheet!C7)*COS((DesignSheet!C11+1)*(A239+DesignSheet!C16)) - (DesignSheet!C6/2)*COS(ATAN( SIN(DesignSheet!C11*(A239+DesignSheet!C16)) / ( COS(DesignSheet!C11*(A239+DesignSheet!C16)) + (DesignSheet!C11*DesignSheet!C13)/(DesignSheet!C7*(DesignSheet!C11+1)) ) )+(A239+DesignSheet!C16))</f>
        <v>-0.59853258426148082</v>
      </c>
      <c r="C239" s="6">
        <f>(DesignSheet!C11*DesignSheet!C13)*SIN((A239+DesignSheet!C16)) + (DesignSheet!C7)*SIN((DesignSheet!C11+1)*(A239+DesignSheet!C16)) - (DesignSheet!C6/2)*SIN(ATAN( SIN(DesignSheet!C11*(A239+DesignSheet!C16)) / ( COS(DesignSheet!C11*(A239+DesignSheet!C16)) + (DesignSheet!C11*DesignSheet!C13)/(DesignSheet!C7*(DesignSheet!C11+1)) ) )+(A239+DesignSheet!C16))</f>
        <v>0.45194993702541142</v>
      </c>
    </row>
    <row r="240" spans="1:3" x14ac:dyDescent="0.3">
      <c r="A240" s="6">
        <f>2*PI()*238/(DesignSheet!C9-1)</f>
        <v>4.1538836197465043</v>
      </c>
      <c r="B240" s="6">
        <f>(DesignSheet!C11*DesignSheet!C13)*COS((A240+DesignSheet!C16)) + (DesignSheet!C7)*COS((DesignSheet!C11+1)*(A240+DesignSheet!C16)) - (DesignSheet!C6/2)*COS(ATAN( SIN(DesignSheet!C11*(A240+DesignSheet!C16)) / ( COS(DesignSheet!C11*(A240+DesignSheet!C16)) + (DesignSheet!C11*DesignSheet!C13)/(DesignSheet!C7*(DesignSheet!C11+1)) ) )+(A240+DesignSheet!C16))</f>
        <v>-0.60632903884011224</v>
      </c>
      <c r="C240" s="6">
        <f>(DesignSheet!C11*DesignSheet!C13)*SIN((A240+DesignSheet!C16)) + (DesignSheet!C7)*SIN((DesignSheet!C11+1)*(A240+DesignSheet!C16)) - (DesignSheet!C6/2)*SIN(ATAN( SIN(DesignSheet!C11*(A240+DesignSheet!C16)) / ( COS(DesignSheet!C11*(A240+DesignSheet!C16)) + (DesignSheet!C11*DesignSheet!C13)/(DesignSheet!C7*(DesignSheet!C11+1)) ) )+(A240+DesignSheet!C16))</f>
        <v>0.44143526893444485</v>
      </c>
    </row>
    <row r="241" spans="1:3" x14ac:dyDescent="0.3">
      <c r="A241" s="6">
        <f>2*PI()*239/(DesignSheet!C9-1)</f>
        <v>4.1713369122664474</v>
      </c>
      <c r="B241" s="6">
        <f>(DesignSheet!C11*DesignSheet!C13)*COS((A241+DesignSheet!C16)) + (DesignSheet!C7)*COS((DesignSheet!C11+1)*(A241+DesignSheet!C16)) - (DesignSheet!C6/2)*COS(ATAN( SIN(DesignSheet!C11*(A241+DesignSheet!C16)) / ( COS(DesignSheet!C11*(A241+DesignSheet!C16)) + (DesignSheet!C11*DesignSheet!C13)/(DesignSheet!C7*(DesignSheet!C11+1)) ) )+(A241+DesignSheet!C16))</f>
        <v>-0.6139407997198717</v>
      </c>
      <c r="C241" s="6">
        <f>(DesignSheet!C11*DesignSheet!C13)*SIN((A241+DesignSheet!C16)) + (DesignSheet!C7)*SIN((DesignSheet!C11+1)*(A241+DesignSheet!C16)) - (DesignSheet!C6/2)*SIN(ATAN( SIN(DesignSheet!C11*(A241+DesignSheet!C16)) / ( COS(DesignSheet!C11*(A241+DesignSheet!C16)) + (DesignSheet!C11*DesignSheet!C13)/(DesignSheet!C7*(DesignSheet!C11+1)) ) )+(A241+DesignSheet!C16))</f>
        <v>0.43078613538428145</v>
      </c>
    </row>
    <row r="242" spans="1:3" x14ac:dyDescent="0.3">
      <c r="A242" s="6">
        <f>2*PI()*240/(DesignSheet!C9-1)</f>
        <v>4.1887902047863905</v>
      </c>
      <c r="B242" s="6">
        <f>(DesignSheet!C11*DesignSheet!C13)*COS((A242+DesignSheet!C16)) + (DesignSheet!C7)*COS((DesignSheet!C11+1)*(A242+DesignSheet!C16)) - (DesignSheet!C6/2)*COS(ATAN( SIN(DesignSheet!C11*(A242+DesignSheet!C16)) / ( COS(DesignSheet!C11*(A242+DesignSheet!C16)) + (DesignSheet!C11*DesignSheet!C13)/(DesignSheet!C7*(DesignSheet!C11+1)) ) )+(A242+DesignSheet!C16))</f>
        <v>-0.62136554828465829</v>
      </c>
      <c r="C242" s="6">
        <f>(DesignSheet!C11*DesignSheet!C13)*SIN((A242+DesignSheet!C16)) + (DesignSheet!C7)*SIN((DesignSheet!C11+1)*(A242+DesignSheet!C16)) - (DesignSheet!C6/2)*SIN(ATAN( SIN(DesignSheet!C11*(A242+DesignSheet!C16)) / ( COS(DesignSheet!C11*(A242+DesignSheet!C16)) + (DesignSheet!C11*DesignSheet!C13)/(DesignSheet!C7*(DesignSheet!C11+1)) ) )+(A242+DesignSheet!C16))</f>
        <v>0.42000578020416091</v>
      </c>
    </row>
    <row r="243" spans="1:3" x14ac:dyDescent="0.3">
      <c r="A243" s="6">
        <f>2*PI()*241/(DesignSheet!C9-1)</f>
        <v>4.2062434973063345</v>
      </c>
      <c r="B243" s="6">
        <f>(DesignSheet!C11*DesignSheet!C13)*COS((A243+DesignSheet!C16)) + (DesignSheet!C7)*COS((DesignSheet!C11+1)*(A243+DesignSheet!C16)) - (DesignSheet!C6/2)*COS(ATAN( SIN(DesignSheet!C11*(A243+DesignSheet!C16)) / ( COS(DesignSheet!C11*(A243+DesignSheet!C16)) + (DesignSheet!C11*DesignSheet!C13)/(DesignSheet!C7*(DesignSheet!C11+1)) ) )+(A243+DesignSheet!C16))</f>
        <v>-0.62860102288413455</v>
      </c>
      <c r="C243" s="6">
        <f>(DesignSheet!C11*DesignSheet!C13)*SIN((A243+DesignSheet!C16)) + (DesignSheet!C7)*SIN((DesignSheet!C11+1)*(A243+DesignSheet!C16)) - (DesignSheet!C6/2)*SIN(ATAN( SIN(DesignSheet!C11*(A243+DesignSheet!C16)) / ( COS(DesignSheet!C11*(A243+DesignSheet!C16)) + (DesignSheet!C11*DesignSheet!C13)/(DesignSheet!C7*(DesignSheet!C11+1)) ) )+(A243+DesignSheet!C16))</f>
        <v>0.4090974871947024</v>
      </c>
    </row>
    <row r="244" spans="1:3" x14ac:dyDescent="0.3">
      <c r="A244" s="6">
        <f>2*PI()*242/(DesignSheet!C9-1)</f>
        <v>4.2236967898262776</v>
      </c>
      <c r="B244" s="6">
        <f>(DesignSheet!C11*DesignSheet!C13)*COS((A244+DesignSheet!C16)) + (DesignSheet!C7)*COS((DesignSheet!C11+1)*(A244+DesignSheet!C16)) - (DesignSheet!C6/2)*COS(ATAN( SIN(DesignSheet!C11*(A244+DesignSheet!C16)) / ( COS(DesignSheet!C11*(A244+DesignSheet!C16)) + (DesignSheet!C11*DesignSheet!C13)/(DesignSheet!C7*(DesignSheet!C11+1)) ) )+(A244+DesignSheet!C16))</f>
        <v>-0.63564501952264518</v>
      </c>
      <c r="C244" s="6">
        <f>(DesignSheet!C11*DesignSheet!C13)*SIN((A244+DesignSheet!C16)) + (DesignSheet!C7)*SIN((DesignSheet!C11+1)*(A244+DesignSheet!C16)) - (DesignSheet!C6/2)*SIN(ATAN( SIN(DesignSheet!C11*(A244+DesignSheet!C16)) / ( COS(DesignSheet!C11*(A244+DesignSheet!C16)) + (DesignSheet!C11*DesignSheet!C13)/(DesignSheet!C7*(DesignSheet!C11+1)) ) )+(A244+DesignSheet!C16))</f>
        <v>0.39806457912762849</v>
      </c>
    </row>
    <row r="245" spans="1:3" x14ac:dyDescent="0.3">
      <c r="A245" s="6">
        <f>2*PI()*243/(DesignSheet!C9-1)</f>
        <v>4.2411500823462207</v>
      </c>
      <c r="B245" s="6">
        <f>(DesignSheet!C11*DesignSheet!C13)*COS((A245+DesignSheet!C16)) + (DesignSheet!C7)*COS((DesignSheet!C11+1)*(A245+DesignSheet!C16)) - (DesignSheet!C6/2)*COS(ATAN( SIN(DesignSheet!C11*(A245+DesignSheet!C16)) / ( COS(DesignSheet!C11*(A245+DesignSheet!C16)) + (DesignSheet!C11*DesignSheet!C13)/(DesignSheet!C7*(DesignSheet!C11+1)) ) )+(A245+DesignSheet!C16))</f>
        <v>-0.64249539253057764</v>
      </c>
      <c r="C245" s="6">
        <f>(DesignSheet!C11*DesignSheet!C13)*SIN((A245+DesignSheet!C16)) + (DesignSheet!C7)*SIN((DesignSheet!C11+1)*(A245+DesignSheet!C16)) - (DesignSheet!C6/2)*SIN(ATAN( SIN(DesignSheet!C11*(A245+DesignSheet!C16)) / ( COS(DesignSheet!C11*(A245+DesignSheet!C16)) + (DesignSheet!C11*DesignSheet!C13)/(DesignSheet!C7*(DesignSheet!C11+1)) ) )+(A245+DesignSheet!C16))</f>
        <v>0.3869104167336142</v>
      </c>
    </row>
    <row r="246" spans="1:3" x14ac:dyDescent="0.3">
      <c r="A246" s="6">
        <f>2*PI()*244/(DesignSheet!C9-1)</f>
        <v>4.2586033748661638</v>
      </c>
      <c r="B246" s="6">
        <f>(DesignSheet!C11*DesignSheet!C13)*COS((A246+DesignSheet!C16)) + (DesignSheet!C7)*COS((DesignSheet!C11+1)*(A246+DesignSheet!C16)) - (DesignSheet!C6/2)*COS(ATAN( SIN(DesignSheet!C11*(A246+DesignSheet!C16)) / ( COS(DesignSheet!C11*(A246+DesignSheet!C16)) + (DesignSheet!C11*DesignSheet!C13)/(DesignSheet!C7*(DesignSheet!C11+1)) ) )+(A246+DesignSheet!C16))</f>
        <v>-0.64915005521795255</v>
      </c>
      <c r="C246" s="6">
        <f>(DesignSheet!C11*DesignSheet!C13)*SIN((A246+DesignSheet!C16)) + (DesignSheet!C7)*SIN((DesignSheet!C11+1)*(A246+DesignSheet!C16)) - (DesignSheet!C6/2)*SIN(ATAN( SIN(DesignSheet!C11*(A246+DesignSheet!C16)) / ( COS(DesignSheet!C11*(A246+DesignSheet!C16)) + (DesignSheet!C11*DesignSheet!C13)/(DesignSheet!C7*(DesignSheet!C11+1)) ) )+(A246+DesignSheet!C16))</f>
        <v>0.37563839767857748</v>
      </c>
    </row>
    <row r="247" spans="1:3" x14ac:dyDescent="0.3">
      <c r="A247" s="6">
        <f>2*PI()*245/(DesignSheet!C9-1)</f>
        <v>4.2760566673861069</v>
      </c>
      <c r="B247" s="6">
        <f>(DesignSheet!C11*DesignSheet!C13)*COS((A247+DesignSheet!C16)) + (DesignSheet!C7)*COS((DesignSheet!C11+1)*(A247+DesignSheet!C16)) - (DesignSheet!C6/2)*COS(ATAN( SIN(DesignSheet!C11*(A247+DesignSheet!C16)) / ( COS(DesignSheet!C11*(A247+DesignSheet!C16)) + (DesignSheet!C11*DesignSheet!C13)/(DesignSheet!C7*(DesignSheet!C11+1)) ) )+(A247+DesignSheet!C16))</f>
        <v>-0.6556069805100504</v>
      </c>
      <c r="C247" s="6">
        <f>(DesignSheet!C11*DesignSheet!C13)*SIN((A247+DesignSheet!C16)) + (DesignSheet!C7)*SIN((DesignSheet!C11+1)*(A247+DesignSheet!C16)) - (DesignSheet!C6/2)*SIN(ATAN( SIN(DesignSheet!C11*(A247+DesignSheet!C16)) / ( COS(DesignSheet!C11*(A247+DesignSheet!C16)) + (DesignSheet!C11*DesignSheet!C13)/(DesignSheet!C7*(DesignSheet!C11+1)) ) )+(A247+DesignSheet!C16))</f>
        <v>0.36425195552871698</v>
      </c>
    </row>
    <row r="248" spans="1:3" x14ac:dyDescent="0.3">
      <c r="A248" s="6">
        <f>2*PI()*246/(DesignSheet!C9-1)</f>
        <v>4.2935099599060509</v>
      </c>
      <c r="B248" s="6">
        <f>(DesignSheet!C11*DesignSheet!C13)*COS((A248+DesignSheet!C16)) + (DesignSheet!C7)*COS((DesignSheet!C11+1)*(A248+DesignSheet!C16)) - (DesignSheet!C6/2)*COS(ATAN( SIN(DesignSheet!C11*(A248+DesignSheet!C16)) / ( COS(DesignSheet!C11*(A248+DesignSheet!C16)) + (DesignSheet!C11*DesignSheet!C13)/(DesignSheet!C7*(DesignSheet!C11+1)) ) )+(A248+DesignSheet!C16))</f>
        <v>-0.66186420156487769</v>
      </c>
      <c r="C248" s="6">
        <f>(DesignSheet!C11*DesignSheet!C13)*SIN((A248+DesignSheet!C16)) + (DesignSheet!C7)*SIN((DesignSheet!C11+1)*(A248+DesignSheet!C16)) - (DesignSheet!C6/2)*SIN(ATAN( SIN(DesignSheet!C11*(A248+DesignSheet!C16)) / ( COS(DesignSheet!C11*(A248+DesignSheet!C16)) + (DesignSheet!C11*DesignSheet!C13)/(DesignSheet!C7*(DesignSheet!C11+1)) ) )+(A248+DesignSheet!C16))</f>
        <v>0.35275455870461392</v>
      </c>
    </row>
    <row r="249" spans="1:3" x14ac:dyDescent="0.3">
      <c r="A249" s="6">
        <f>2*PI()*247/(DesignSheet!C9-1)</f>
        <v>4.310963252425994</v>
      </c>
      <c r="B249" s="6">
        <f>(DesignSheet!C11*DesignSheet!C13)*COS((A249+DesignSheet!C16)) + (DesignSheet!C7)*COS((DesignSheet!C11+1)*(A249+DesignSheet!C16)) - (DesignSheet!C6/2)*COS(ATAN( SIN(DesignSheet!C11*(A249+DesignSheet!C16)) / ( COS(DesignSheet!C11*(A249+DesignSheet!C16)) + (DesignSheet!C11*DesignSheet!C13)/(DesignSheet!C7*(DesignSheet!C11+1)) ) )+(A249+DesignSheet!C16))</f>
        <v>-0.66791981237228559</v>
      </c>
      <c r="C249" s="6">
        <f>(DesignSheet!C11*DesignSheet!C13)*SIN((A249+DesignSheet!C16)) + (DesignSheet!C7)*SIN((DesignSheet!C11+1)*(A249+DesignSheet!C16)) - (DesignSheet!C6/2)*SIN(ATAN( SIN(DesignSheet!C11*(A249+DesignSheet!C16)) / ( COS(DesignSheet!C11*(A249+DesignSheet!C16)) + (DesignSheet!C11*DesignSheet!C13)/(DesignSheet!C7*(DesignSheet!C11+1)) ) )+(A249+DesignSheet!C16))</f>
        <v>0.34114970942471989</v>
      </c>
    </row>
    <row r="250" spans="1:3" x14ac:dyDescent="0.3">
      <c r="A250" s="6">
        <f>2*PI()*248/(DesignSheet!C9-1)</f>
        <v>4.3284165449459371</v>
      </c>
      <c r="B250" s="6">
        <f>(DesignSheet!C11*DesignSheet!C13)*COS((A250+DesignSheet!C16)) + (DesignSheet!C7)*COS((DesignSheet!C11+1)*(A250+DesignSheet!C16)) - (DesignSheet!C6/2)*COS(ATAN( SIN(DesignSheet!C11*(A250+DesignSheet!C16)) / ( COS(DesignSheet!C11*(A250+DesignSheet!C16)) + (DesignSheet!C11*DesignSheet!C13)/(DesignSheet!C7*(DesignSheet!C11+1)) ) )+(A250+DesignSheet!C16))</f>
        <v>-0.67377196833456043</v>
      </c>
      <c r="C250" s="6">
        <f>(DesignSheet!C11*DesignSheet!C13)*SIN((A250+DesignSheet!C16)) + (DesignSheet!C7)*SIN((DesignSheet!C11+1)*(A250+DesignSheet!C16)) - (DesignSheet!C6/2)*SIN(ATAN( SIN(DesignSheet!C11*(A250+DesignSheet!C16)) / ( COS(DesignSheet!C11*(A250+DesignSheet!C16)) + (DesignSheet!C11*DesignSheet!C13)/(DesignSheet!C7*(DesignSheet!C11+1)) ) )+(A250+DesignSheet!C16))</f>
        <v>0.32944094263854362</v>
      </c>
    </row>
    <row r="251" spans="1:3" x14ac:dyDescent="0.3">
      <c r="A251" s="6">
        <f>2*PI()*249/(DesignSheet!C9-1)</f>
        <v>4.3458698374658802</v>
      </c>
      <c r="B251" s="6">
        <f>(DesignSheet!C11*DesignSheet!C13)*COS((A251+DesignSheet!C16)) + (DesignSheet!C7)*COS((DesignSheet!C11+1)*(A251+DesignSheet!C16)) - (DesignSheet!C6/2)*COS(ATAN( SIN(DesignSheet!C11*(A251+DesignSheet!C16)) / ( COS(DesignSheet!C11*(A251+DesignSheet!C16)) + (DesignSheet!C11*DesignSheet!C13)/(DesignSheet!C7*(DesignSheet!C11+1)) ) )+(A251+DesignSheet!C16))</f>
        <v>-0.67941888682830476</v>
      </c>
      <c r="C251" s="6">
        <f>(DesignSheet!C11*DesignSheet!C13)*SIN((A251+DesignSheet!C16)) + (DesignSheet!C7)*SIN((DesignSheet!C11+1)*(A251+DesignSheet!C16)) - (DesignSheet!C6/2)*SIN(ATAN( SIN(DesignSheet!C11*(A251+DesignSheet!C16)) / ( COS(DesignSheet!C11*(A251+DesignSheet!C16)) + (DesignSheet!C11*DesignSheet!C13)/(DesignSheet!C7*(DesignSheet!C11+1)) ) )+(A251+DesignSheet!C16))</f>
        <v>0.31763182494987363</v>
      </c>
    </row>
    <row r="252" spans="1:3" x14ac:dyDescent="0.3">
      <c r="A252" s="6">
        <f>2*PI()*250/(DesignSheet!C9-1)</f>
        <v>4.3633231299858233</v>
      </c>
      <c r="B252" s="6">
        <f>(DesignSheet!C11*DesignSheet!C13)*COS((A252+DesignSheet!C16)) + (DesignSheet!C7)*COS((DesignSheet!C11+1)*(A252+DesignSheet!C16)) - (DesignSheet!C6/2)*COS(ATAN( SIN(DesignSheet!C11*(A252+DesignSheet!C16)) / ( COS(DesignSheet!C11*(A252+DesignSheet!C16)) + (DesignSheet!C11*DesignSheet!C13)/(DesignSheet!C7*(DesignSheet!C11+1)) ) )+(A252+DesignSheet!C16))</f>
        <v>-0.68485884774744277</v>
      </c>
      <c r="C252" s="6">
        <f>(DesignSheet!C11*DesignSheet!C13)*SIN((A252+DesignSheet!C16)) + (DesignSheet!C7)*SIN((DesignSheet!C11+1)*(A252+DesignSheet!C16)) - (DesignSheet!C6/2)*SIN(ATAN( SIN(DesignSheet!C11*(A252+DesignSheet!C16)) / ( COS(DesignSheet!C11*(A252+DesignSheet!C16)) + (DesignSheet!C11*DesignSheet!C13)/(DesignSheet!C7*(DesignSheet!C11+1)) ) )+(A252+DesignSheet!C16))</f>
        <v>0.30572595353035531</v>
      </c>
    </row>
    <row r="253" spans="1:3" x14ac:dyDescent="0.3">
      <c r="A253" s="6">
        <f>2*PI()*251/(DesignSheet!C9-1)</f>
        <v>4.3807764225057673</v>
      </c>
      <c r="B253" s="6">
        <f>(DesignSheet!C11*DesignSheet!C13)*COS((A253+DesignSheet!C16)) + (DesignSheet!C7)*COS((DesignSheet!C11+1)*(A253+DesignSheet!C16)) - (DesignSheet!C6/2)*COS(ATAN( SIN(DesignSheet!C11*(A253+DesignSheet!C16)) / ( COS(DesignSheet!C11*(A253+DesignSheet!C16)) + (DesignSheet!C11*DesignSheet!C13)/(DesignSheet!C7*(DesignSheet!C11+1)) ) )+(A253+DesignSheet!C16))</f>
        <v>-0.69009019402718053</v>
      </c>
      <c r="C253" s="6">
        <f>(DesignSheet!C11*DesignSheet!C13)*SIN((A253+DesignSheet!C16)) + (DesignSheet!C7)*SIN((DesignSheet!C11+1)*(A253+DesignSheet!C16)) - (DesignSheet!C6/2)*SIN(ATAN( SIN(DesignSheet!C11*(A253+DesignSheet!C16)) / ( COS(DesignSheet!C11*(A253+DesignSheet!C16)) + (DesignSheet!C11*DesignSheet!C13)/(DesignSheet!C7*(DesignSheet!C11+1)) ) )+(A253+DesignSheet!C16))</f>
        <v>0.29372695502375723</v>
      </c>
    </row>
    <row r="254" spans="1:3" x14ac:dyDescent="0.3">
      <c r="A254" s="6">
        <f>2*PI()*252/(DesignSheet!C9-1)</f>
        <v>4.3982297150257104</v>
      </c>
      <c r="B254" s="6">
        <f>(DesignSheet!C11*DesignSheet!C13)*COS((A254+DesignSheet!C16)) + (DesignSheet!C7)*COS((DesignSheet!C11+1)*(A254+DesignSheet!C16)) - (DesignSheet!C6/2)*COS(ATAN( SIN(DesignSheet!C11*(A254+DesignSheet!C16)) / ( COS(DesignSheet!C11*(A254+DesignSheet!C16)) + (DesignSheet!C11*DesignSheet!C13)/(DesignSheet!C7*(DesignSheet!C11+1)) ) )+(A254+DesignSheet!C16))</f>
        <v>-0.69511133214876364</v>
      </c>
      <c r="C254" s="6">
        <f>(DesignSheet!C11*DesignSheet!C13)*SIN((A254+DesignSheet!C16)) + (DesignSheet!C7)*SIN((DesignSheet!C11+1)*(A254+DesignSheet!C16)) - (DesignSheet!C6/2)*SIN(ATAN( SIN(DesignSheet!C11*(A254+DesignSheet!C16)) / ( COS(DesignSheet!C11*(A254+DesignSheet!C16)) + (DesignSheet!C11*DesignSheet!C13)/(DesignSheet!C7*(DesignSheet!C11+1)) ) )+(A254+DesignSheet!C16))</f>
        <v>0.2816384844412626</v>
      </c>
    </row>
    <row r="255" spans="1:3" x14ac:dyDescent="0.3">
      <c r="A255" s="6">
        <f>2*PI()*253/(DesignSheet!C9-1)</f>
        <v>4.4156830075456535</v>
      </c>
      <c r="B255" s="6">
        <f>(DesignSheet!C11*DesignSheet!C13)*COS((A255+DesignSheet!C16)) + (DesignSheet!C7)*COS((DesignSheet!C11+1)*(A255+DesignSheet!C16)) - (DesignSheet!C6/2)*COS(ATAN( SIN(DesignSheet!C11*(A255+DesignSheet!C16)) / ( COS(DesignSheet!C11*(A255+DesignSheet!C16)) + (DesignSheet!C11*DesignSheet!C13)/(DesignSheet!C7*(DesignSheet!C11+1)) ) )+(A255+DesignSheet!C16))</f>
        <v>-0.69992073262487942</v>
      </c>
      <c r="C255" s="6">
        <f>(DesignSheet!C11*DesignSheet!C13)*SIN((A255+DesignSheet!C16)) + (DesignSheet!C7)*SIN((DesignSheet!C11+1)*(A255+DesignSheet!C16)) - (DesignSheet!C6/2)*SIN(ATAN( SIN(DesignSheet!C11*(A255+DesignSheet!C16)) / ( COS(DesignSheet!C11*(A255+DesignSheet!C16)) + (DesignSheet!C11*DesignSheet!C13)/(DesignSheet!C7*(DesignSheet!C11+1)) ) )+(A255+DesignSheet!C16))</f>
        <v>0.26946422404811388</v>
      </c>
    </row>
    <row r="256" spans="1:3" x14ac:dyDescent="0.3">
      <c r="A256" s="6">
        <f>2*PI()*254/(DesignSheet!C9-1)</f>
        <v>4.4331363000655974</v>
      </c>
      <c r="B256" s="6">
        <f>(DesignSheet!C11*DesignSheet!C13)*COS((A256+DesignSheet!C16)) + (DesignSheet!C7)*COS((DesignSheet!C11+1)*(A256+DesignSheet!C16)) - (DesignSheet!C6/2)*COS(ATAN( SIN(DesignSheet!C11*(A256+DesignSheet!C16)) / ( COS(DesignSheet!C11*(A256+DesignSheet!C16)) + (DesignSheet!C11*DesignSheet!C13)/(DesignSheet!C7*(DesignSheet!C11+1)) ) )+(A256+DesignSheet!C16))</f>
        <v>-0.70451693046555353</v>
      </c>
      <c r="C256" s="6">
        <f>(DesignSheet!C11*DesignSheet!C13)*SIN((A256+DesignSheet!C16)) + (DesignSheet!C7)*SIN((DesignSheet!C11+1)*(A256+DesignSheet!C16)) - (DesignSheet!C6/2)*SIN(ATAN( SIN(DesignSheet!C11*(A256+DesignSheet!C16)) / ( COS(DesignSheet!C11*(A256+DesignSheet!C16)) + (DesignSheet!C11*DesignSheet!C13)/(DesignSheet!C7*(DesignSheet!C11+1)) ) )+(A256+DesignSheet!C16))</f>
        <v>0.25720788224196095</v>
      </c>
    </row>
    <row r="257" spans="1:3" x14ac:dyDescent="0.3">
      <c r="A257" s="6">
        <f>2*PI()*255/(DesignSheet!C9-1)</f>
        <v>4.4505895925855405</v>
      </c>
      <c r="B257" s="6">
        <f>(DesignSheet!C11*DesignSheet!C13)*COS((A257+DesignSheet!C16)) + (DesignSheet!C7)*COS((DesignSheet!C11+1)*(A257+DesignSheet!C16)) - (DesignSheet!C6/2)*COS(ATAN( SIN(DesignSheet!C11*(A257+DesignSheet!C16)) / ( COS(DesignSheet!C11*(A257+DesignSheet!C16)) + (DesignSheet!C11*DesignSheet!C13)/(DesignSheet!C7*(DesignSheet!C11+1)) ) )+(A257+DesignSheet!C16))</f>
        <v>-0.70889852562439881</v>
      </c>
      <c r="C257" s="6">
        <f>(DesignSheet!C11*DesignSheet!C13)*SIN((A257+DesignSheet!C16)) + (DesignSheet!C7)*SIN((DesignSheet!C11+1)*(A257+DesignSheet!C16)) - (DesignSheet!C6/2)*SIN(ATAN( SIN(DesignSheet!C11*(A257+DesignSheet!C16)) / ( COS(DesignSheet!C11*(A257+DesignSheet!C16)) + (DesignSheet!C11*DesignSheet!C13)/(DesignSheet!C7*(DesignSheet!C11+1)) ) )+(A257+DesignSheet!C16))</f>
        <v>0.24487319242324901</v>
      </c>
    </row>
    <row r="258" spans="1:3" x14ac:dyDescent="0.3">
      <c r="A258" s="6">
        <f>2*PI()*256/(DesignSheet!C9-1)</f>
        <v>4.4680428851054836</v>
      </c>
      <c r="B258" s="6">
        <f>(DesignSheet!C11*DesignSheet!C13)*COS((A258+DesignSheet!C16)) + (DesignSheet!C7)*COS((DesignSheet!C11+1)*(A258+DesignSheet!C16)) - (DesignSheet!C6/2)*COS(ATAN( SIN(DesignSheet!C11*(A258+DesignSheet!C16)) / ( COS(DesignSheet!C11*(A258+DesignSheet!C16)) + (DesignSheet!C11*DesignSheet!C13)/(DesignSheet!C7*(DesignSheet!C11+1)) ) )+(A258+DesignSheet!C16))</f>
        <v>-0.71306418342508471</v>
      </c>
      <c r="C258" s="6">
        <f>(DesignSheet!C11*DesignSheet!C13)*SIN((A258+DesignSheet!C16)) + (DesignSheet!C7)*SIN((DesignSheet!C11+1)*(A258+DesignSheet!C16)) - (DesignSheet!C6/2)*SIN(ATAN( SIN(DesignSheet!C11*(A258+DesignSheet!C16)) / ( COS(DesignSheet!C11*(A258+DesignSheet!C16)) + (DesignSheet!C11*DesignSheet!C13)/(DesignSheet!C7*(DesignSheet!C11+1)) ) )+(A258+DesignSheet!C16))</f>
        <v>0.23246391185798509</v>
      </c>
    </row>
    <row r="259" spans="1:3" x14ac:dyDescent="0.3">
      <c r="A259" s="6">
        <f>2*PI()*257/(DesignSheet!C9-1)</f>
        <v>4.4854961776254267</v>
      </c>
      <c r="B259" s="6">
        <f>(DesignSheet!C11*DesignSheet!C13)*COS((A259+DesignSheet!C16)) + (DesignSheet!C7)*COS((DesignSheet!C11+1)*(A259+DesignSheet!C16)) - (DesignSheet!C6/2)*COS(ATAN( SIN(DesignSheet!C11*(A259+DesignSheet!C16)) / ( COS(DesignSheet!C11*(A259+DesignSheet!C16)) + (DesignSheet!C11*DesignSheet!C13)/(DesignSheet!C7*(DesignSheet!C11+1)) ) )+(A259+DesignSheet!C16))</f>
        <v>-0.71701263496789158</v>
      </c>
      <c r="C259" s="6">
        <f>(DesignSheet!C11*DesignSheet!C13)*SIN((A259+DesignSheet!C16)) + (DesignSheet!C7)*SIN((DesignSheet!C11+1)*(A259+DesignSheet!C16)) - (DesignSheet!C6/2)*SIN(ATAN( SIN(DesignSheet!C11*(A259+DesignSheet!C16)) / ( COS(DesignSheet!C11*(A259+DesignSheet!C16)) + (DesignSheet!C11*DesignSheet!C13)/(DesignSheet!C7*(DesignSheet!C11+1)) ) )+(A259+DesignSheet!C16))</f>
        <v>0.21998382053324081</v>
      </c>
    </row>
    <row r="260" spans="1:3" x14ac:dyDescent="0.3">
      <c r="A260" s="6">
        <f>2*PI()*258/(DesignSheet!C9-1)</f>
        <v>4.5029494701453698</v>
      </c>
      <c r="B260" s="6">
        <f>(DesignSheet!C11*DesignSheet!C13)*COS((A260+DesignSheet!C16)) + (DesignSheet!C7)*COS((DesignSheet!C11+1)*(A260+DesignSheet!C16)) - (DesignSheet!C6/2)*COS(ATAN( SIN(DesignSheet!C11*(A260+DesignSheet!C16)) / ( COS(DesignSheet!C11*(A260+DesignSheet!C16)) + (DesignSheet!C11*DesignSheet!C13)/(DesignSheet!C7*(DesignSheet!C11+1)) ) )+(A260+DesignSheet!C16))</f>
        <v>-0.72074267751622978</v>
      </c>
      <c r="C260" s="6">
        <f>(DesignSheet!C11*DesignSheet!C13)*SIN((A260+DesignSheet!C16)) + (DesignSheet!C7)*SIN((DesignSheet!C11+1)*(A260+DesignSheet!C16)) - (DesignSheet!C6/2)*SIN(ATAN( SIN(DesignSheet!C11*(A260+DesignSheet!C16)) / ( COS(DesignSheet!C11*(A260+DesignSheet!C16)) + (DesignSheet!C11*DesignSheet!C13)/(DesignSheet!C7*(DesignSheet!C11+1)) ) )+(A260+DesignSheet!C16))</f>
        <v>0.20743672000573093</v>
      </c>
    </row>
    <row r="261" spans="1:3" x14ac:dyDescent="0.3">
      <c r="A261" s="6">
        <f>2*PI()*259/(DesignSheet!C9-1)</f>
        <v>4.5204027626653129</v>
      </c>
      <c r="B261" s="6">
        <f>(DesignSheet!C11*DesignSheet!C13)*COS((A261+DesignSheet!C16)) + (DesignSheet!C7)*COS((DesignSheet!C11+1)*(A261+DesignSheet!C16)) - (DesignSheet!C6/2)*COS(ATAN( SIN(DesignSheet!C11*(A261+DesignSheet!C16)) / ( COS(DesignSheet!C11*(A261+DesignSheet!C16)) + (DesignSheet!C11*DesignSheet!C13)/(DesignSheet!C7*(DesignSheet!C11+1)) ) )+(A261+DesignSheet!C16))</f>
        <v>-0.72425317486300544</v>
      </c>
      <c r="C261" s="6">
        <f>(DesignSheet!C11*DesignSheet!C13)*SIN((A261+DesignSheet!C16)) + (DesignSheet!C7)*SIN((DesignSheet!C11+1)*(A261+DesignSheet!C16)) - (DesignSheet!C6/2)*SIN(ATAN( SIN(DesignSheet!C11*(A261+DesignSheet!C16)) / ( COS(DesignSheet!C11*(A261+DesignSheet!C16)) + (DesignSheet!C11*DesignSheet!C13)/(DesignSheet!C7*(DesignSheet!C11+1)) ) )+(A261+DesignSheet!C16))</f>
        <v>0.19482643224382268</v>
      </c>
    </row>
    <row r="262" spans="1:3" x14ac:dyDescent="0.3">
      <c r="A262" s="6">
        <f>2*PI()*260/(DesignSheet!C9-1)</f>
        <v>4.5378560551852569</v>
      </c>
      <c r="B262" s="6">
        <f>(DesignSheet!C11*DesignSheet!C13)*COS((A262+DesignSheet!C16)) + (DesignSheet!C7)*COS((DesignSheet!C11+1)*(A262+DesignSheet!C16)) - (DesignSheet!C6/2)*COS(ATAN( SIN(DesignSheet!C11*(A262+DesignSheet!C16)) / ( COS(DesignSheet!C11*(A262+DesignSheet!C16)) + (DesignSheet!C11*DesignSheet!C13)/(DesignSheet!C7*(DesignSheet!C11+1)) ) )+(A262+DesignSheet!C16))</f>
        <v>-0.72754305767672001</v>
      </c>
      <c r="C262" s="6">
        <f>(DesignSheet!C11*DesignSheet!C13)*SIN((A262+DesignSheet!C16)) + (DesignSheet!C7)*SIN((DesignSheet!C11+1)*(A262+DesignSheet!C16)) - (DesignSheet!C6/2)*SIN(ATAN( SIN(DesignSheet!C11*(A262+DesignSheet!C16)) / ( COS(DesignSheet!C11*(A262+DesignSheet!C16)) + (DesignSheet!C11*DesignSheet!C13)/(DesignSheet!C7*(DesignSheet!C11+1)) ) )+(A262+DesignSheet!C16))</f>
        <v>0.18215679846332627</v>
      </c>
    </row>
    <row r="263" spans="1:3" x14ac:dyDescent="0.3">
      <c r="A263" s="6">
        <f>2*PI()*261/(DesignSheet!C9-1)</f>
        <v>4.5553093477052</v>
      </c>
      <c r="B263" s="6">
        <f>(DesignSheet!C11*DesignSheet!C13)*COS((A263+DesignSheet!C16)) + (DesignSheet!C7)*COS((DesignSheet!C11+1)*(A263+DesignSheet!C16)) - (DesignSheet!C6/2)*COS(ATAN( SIN(DesignSheet!C11*(A263+DesignSheet!C16)) / ( COS(DesignSheet!C11*(A263+DesignSheet!C16)) + (DesignSheet!C11*DesignSheet!C13)/(DesignSheet!C7*(DesignSheet!C11+1)) ) )+(A263+DesignSheet!C16))</f>
        <v>-0.73061132382719818</v>
      </c>
      <c r="C263" s="6">
        <f>(DesignSheet!C11*DesignSheet!C13)*SIN((A263+DesignSheet!C16)) + (DesignSheet!C7)*SIN((DesignSheet!C11+1)*(A263+DesignSheet!C16)) - (DesignSheet!C6/2)*SIN(ATAN( SIN(DesignSheet!C11*(A263+DesignSheet!C16)) / ( COS(DesignSheet!C11*(A263+DesignSheet!C16)) + (DesignSheet!C11*DesignSheet!C13)/(DesignSheet!C7*(DesignSheet!C11+1)) ) )+(A263+DesignSheet!C16))</f>
        <v>0.16943167795742609</v>
      </c>
    </row>
    <row r="264" spans="1:3" x14ac:dyDescent="0.3">
      <c r="A264" s="6">
        <f>2*PI()*262/(DesignSheet!C9-1)</f>
        <v>4.572762640225144</v>
      </c>
      <c r="B264" s="6">
        <f>(DesignSheet!C11*DesignSheet!C13)*COS((A264+DesignSheet!C16)) + (DesignSheet!C7)*COS((DesignSheet!C11+1)*(A264+DesignSheet!C16)) - (DesignSheet!C6/2)*COS(ATAN( SIN(DesignSheet!C11*(A264+DesignSheet!C16)) / ( COS(DesignSheet!C11*(A264+DesignSheet!C16)) + (DesignSheet!C11*DesignSheet!C13)/(DesignSheet!C7*(DesignSheet!C11+1)) ) )+(A264+DesignSheet!C16))</f>
        <v>-0.73345703869084788</v>
      </c>
      <c r="C264" s="6">
        <f>(DesignSheet!C11*DesignSheet!C13)*SIN((A264+DesignSheet!C16)) + (DesignSheet!C7)*SIN((DesignSheet!C11+1)*(A264+DesignSheet!C16)) - (DesignSheet!C6/2)*SIN(ATAN( SIN(DesignSheet!C11*(A264+DesignSheet!C16)) / ( COS(DesignSheet!C11*(A264+DesignSheet!C16)) + (DesignSheet!C11*DesignSheet!C13)/(DesignSheet!C7*(DesignSheet!C11+1)) ) )+(A264+DesignSheet!C16))</f>
        <v>0.15665494692109788</v>
      </c>
    </row>
    <row r="265" spans="1:3" x14ac:dyDescent="0.3">
      <c r="A265" s="6">
        <f>2*PI()*263/(DesignSheet!C9-1)</f>
        <v>4.5902159327450871</v>
      </c>
      <c r="B265" s="6">
        <f>(DesignSheet!C11*DesignSheet!C13)*COS((A265+DesignSheet!C16)) + (DesignSheet!C7)*COS((DesignSheet!C11+1)*(A265+DesignSheet!C16)) - (DesignSheet!C6/2)*COS(ATAN( SIN(DesignSheet!C11*(A265+DesignSheet!C16)) / ( COS(DesignSheet!C11*(A265+DesignSheet!C16)) + (DesignSheet!C11*DesignSheet!C13)/(DesignSheet!C7*(DesignSheet!C11+1)) ) )+(A265+DesignSheet!C16))</f>
        <v>-0.73607933543535442</v>
      </c>
      <c r="C265" s="6">
        <f>(DesignSheet!C11*DesignSheet!C13)*SIN((A265+DesignSheet!C16)) + (DesignSheet!C7)*SIN((DesignSheet!C11+1)*(A265+DesignSheet!C16)) - (DesignSheet!C6/2)*SIN(ATAN( SIN(DesignSheet!C11*(A265+DesignSheet!C16)) / ( COS(DesignSheet!C11*(A265+DesignSheet!C16)) + (DesignSheet!C11*DesignSheet!C13)/(DesignSheet!C7*(DesignSheet!C11+1)) ) )+(A265+DesignSheet!C16))</f>
        <v>0.1438304972703876</v>
      </c>
    </row>
    <row r="266" spans="1:3" x14ac:dyDescent="0.3">
      <c r="A266" s="6">
        <f>2*PI()*264/(DesignSheet!C9-1)</f>
        <v>4.6076692252650302</v>
      </c>
      <c r="B266" s="6">
        <f>(DesignSheet!C11*DesignSheet!C13)*COS((A266+DesignSheet!C16)) + (DesignSheet!C7)*COS((DesignSheet!C11+1)*(A266+DesignSheet!C16)) - (DesignSheet!C6/2)*COS(ATAN( SIN(DesignSheet!C11*(A266+DesignSheet!C16)) / ( COS(DesignSheet!C11*(A266+DesignSheet!C16)) + (DesignSheet!C11*DesignSheet!C13)/(DesignSheet!C7*(DesignSheet!C11+1)) ) )+(A266+DesignSheet!C16))</f>
        <v>-0.73847741528372668</v>
      </c>
      <c r="C266" s="6">
        <f>(DesignSheet!C11*DesignSheet!C13)*SIN((A266+DesignSheet!C16)) + (DesignSheet!C7)*SIN((DesignSheet!C11+1)*(A266+DesignSheet!C16)) - (DesignSheet!C6/2)*SIN(ATAN( SIN(DesignSheet!C11*(A266+DesignSheet!C16)) / ( COS(DesignSheet!C11*(A266+DesignSheet!C16)) + (DesignSheet!C11*DesignSheet!C13)/(DesignSheet!C7*(DesignSheet!C11+1)) ) )+(A266+DesignSheet!C16))</f>
        <v>0.13096223545689148</v>
      </c>
    </row>
    <row r="267" spans="1:3" x14ac:dyDescent="0.3">
      <c r="A267" s="6">
        <f>2*PI()*265/(DesignSheet!C9-1)</f>
        <v>4.6251225177849733</v>
      </c>
      <c r="B267" s="6">
        <f>(DesignSheet!C11*DesignSheet!C13)*COS((A267+DesignSheet!C16)) + (DesignSheet!C7)*COS((DesignSheet!C11+1)*(A267+DesignSheet!C16)) - (DesignSheet!C6/2)*COS(ATAN( SIN(DesignSheet!C11*(A267+DesignSheet!C16)) / ( COS(DesignSheet!C11*(A267+DesignSheet!C16)) + (DesignSheet!C11*DesignSheet!C13)/(DesignSheet!C7*(DesignSheet!C11+1)) ) )+(A267+DesignSheet!C16))</f>
        <v>-0.74065054775761219</v>
      </c>
      <c r="C267" s="6">
        <f>(DesignSheet!C11*DesignSheet!C13)*SIN((A267+DesignSheet!C16)) + (DesignSheet!C7)*SIN((DesignSheet!C11+1)*(A267+DesignSheet!C16)) - (DesignSheet!C6/2)*SIN(ATAN( SIN(DesignSheet!C11*(A267+DesignSheet!C16)) / ( COS(DesignSheet!C11*(A267+DesignSheet!C16)) + (DesignSheet!C11*DesignSheet!C13)/(DesignSheet!C7*(DesignSheet!C11+1)) ) )+(A267+DesignSheet!C16))</f>
        <v>0.1180540812778155</v>
      </c>
    </row>
    <row r="268" spans="1:3" x14ac:dyDescent="0.3">
      <c r="A268" s="6">
        <f>2*PI()*266/(DesignSheet!C9-1)</f>
        <v>4.6425758103049164</v>
      </c>
      <c r="B268" s="6">
        <f>(DesignSheet!C11*DesignSheet!C13)*COS((A268+DesignSheet!C16)) + (DesignSheet!C7)*COS((DesignSheet!C11+1)*(A268+DesignSheet!C16)) - (DesignSheet!C6/2)*COS(ATAN( SIN(DesignSheet!C11*(A268+DesignSheet!C16)) / ( COS(DesignSheet!C11*(A268+DesignSheet!C16)) + (DesignSheet!C11*DesignSheet!C13)/(DesignSheet!C7*(DesignSheet!C11+1)) ) )+(A268+DesignSheet!C16))</f>
        <v>-0.74259807089980767</v>
      </c>
      <c r="C268" s="6">
        <f>(DesignSheet!C11*DesignSheet!C13)*SIN((A268+DesignSheet!C16)) + (DesignSheet!C7)*SIN((DesignSheet!C11+1)*(A268+DesignSheet!C16)) - (DesignSheet!C6/2)*SIN(ATAN( SIN(DesignSheet!C11*(A268+DesignSheet!C16)) / ( COS(DesignSheet!C11*(A268+DesignSheet!C16)) + (DesignSheet!C11*DesignSheet!C13)/(DesignSheet!C7*(DesignSheet!C11+1)) ) )+(A268+DesignSheet!C16))</f>
        <v>0.10510996668196676</v>
      </c>
    </row>
    <row r="269" spans="1:3" x14ac:dyDescent="0.3">
      <c r="A269" s="6">
        <f>2*PI()*267/(DesignSheet!C9-1)</f>
        <v>4.6600291028248595</v>
      </c>
      <c r="B269" s="6">
        <f>(DesignSheet!C11*DesignSheet!C13)*COS((A269+DesignSheet!C16)) + (DesignSheet!C7)*COS((DesignSheet!C11+1)*(A269+DesignSheet!C16)) - (DesignSheet!C6/2)*COS(ATAN( SIN(DesignSheet!C11*(A269+DesignSheet!C16)) / ( COS(DesignSheet!C11*(A269+DesignSheet!C16)) + (DesignSheet!C11*DesignSheet!C13)/(DesignSheet!C7*(DesignSheet!C11+1)) ) )+(A269+DesignSheet!C16))</f>
        <v>-0.7443193914758981</v>
      </c>
      <c r="C269" s="6">
        <f>(DesignSheet!C11*DesignSheet!C13)*SIN((A269+DesignSheet!C16)) + (DesignSheet!C7)*SIN((DesignSheet!C11+1)*(A269+DesignSheet!C16)) - (DesignSheet!C6/2)*SIN(ATAN( SIN(DesignSheet!C11*(A269+DesignSheet!C16)) / ( COS(DesignSheet!C11*(A269+DesignSheet!C16)) + (DesignSheet!C11*DesignSheet!C13)/(DesignSheet!C7*(DesignSheet!C11+1)) ) )+(A269+DesignSheet!C16))</f>
        <v>9.2133834572043549E-2</v>
      </c>
    </row>
    <row r="270" spans="1:3" x14ac:dyDescent="0.3">
      <c r="A270" s="6">
        <f>2*PI()*268/(DesignSheet!C9-1)</f>
        <v>4.6774823953448026</v>
      </c>
      <c r="B270" s="6">
        <f>(DesignSheet!C11*DesignSheet!C13)*COS((A270+DesignSheet!C16)) + (DesignSheet!C7)*COS((DesignSheet!C11+1)*(A270+DesignSheet!C16)) - (DesignSheet!C6/2)*COS(ATAN( SIN(DesignSheet!C11*(A270+DesignSheet!C16)) / ( COS(DesignSheet!C11*(A270+DesignSheet!C16)) + (DesignSheet!C11*DesignSheet!C13)/(DesignSheet!C7*(DesignSheet!C11+1)) ) )+(A270+DesignSheet!C16))</f>
        <v>-0.74581398515496111</v>
      </c>
      <c r="C270" s="6">
        <f>(DesignSheet!C11*DesignSheet!C13)*SIN((A270+DesignSheet!C16)) + (DesignSheet!C7)*SIN((DesignSheet!C11+1)*(A270+DesignSheet!C16)) - (DesignSheet!C6/2)*SIN(ATAN( SIN(DesignSheet!C11*(A270+DesignSheet!C16)) / ( COS(DesignSheet!C11*(A270+DesignSheet!C16)) + (DesignSheet!C11*DesignSheet!C13)/(DesignSheet!C7*(DesignSheet!C11+1)) ) )+(A270+DesignSheet!C16))</f>
        <v>7.9129637603589209E-2</v>
      </c>
    </row>
    <row r="271" spans="1:3" x14ac:dyDescent="0.3">
      <c r="A271" s="6">
        <f>2*PI()*269/(DesignSheet!C9-1)</f>
        <v>4.6949356878647466</v>
      </c>
      <c r="B271" s="6">
        <f>(DesignSheet!C11*DesignSheet!C13)*COS((A271+DesignSheet!C16)) + (DesignSheet!C7)*COS((DesignSheet!C11+1)*(A271+DesignSheet!C16)) - (DesignSheet!C6/2)*COS(ATAN( SIN(DesignSheet!C11*(A271+DesignSheet!C16)) / ( COS(DesignSheet!C11*(A271+DesignSheet!C16)) + (DesignSheet!C11*DesignSheet!C13)/(DesignSheet!C7*(DesignSheet!C11+1)) ) )+(A271+DesignSheet!C16))</f>
        <v>-0.74708139666928375</v>
      </c>
      <c r="C271" s="6">
        <f>(DesignSheet!C11*DesignSheet!C13)*SIN((A271+DesignSheet!C16)) + (DesignSheet!C7)*SIN((DesignSheet!C11+1)*(A271+DesignSheet!C16)) - (DesignSheet!C6/2)*SIN(ATAN( SIN(DesignSheet!C11*(A271+DesignSheet!C16)) / ( COS(DesignSheet!C11*(A271+DesignSheet!C16)) + (DesignSheet!C11*DesignSheet!C13)/(DesignSheet!C7*(DesignSheet!C11+1)) ) )+(A271+DesignSheet!C16))</f>
        <v>6.610133698097416E-2</v>
      </c>
    </row>
    <row r="272" spans="1:3" x14ac:dyDescent="0.3">
      <c r="A272" s="6">
        <f>2*PI()*270/(DesignSheet!C9-1)</f>
        <v>4.7123889803846897</v>
      </c>
      <c r="B272" s="6">
        <f>(DesignSheet!C11*DesignSheet!C13)*COS((A272+DesignSheet!C16)) + (DesignSheet!C7)*COS((DesignSheet!C11+1)*(A272+DesignSheet!C16)) - (DesignSheet!C6/2)*COS(ATAN( SIN(DesignSheet!C11*(A272+DesignSheet!C16)) / ( COS(DesignSheet!C11*(A272+DesignSheet!C16)) + (DesignSheet!C11*DesignSheet!C13)/(DesignSheet!C7*(DesignSheet!C11+1)) ) )+(A272+DesignSheet!C16))</f>
        <v>-0.74812123995304081</v>
      </c>
      <c r="C272" s="6">
        <f>(DesignSheet!C11*DesignSheet!C13)*SIN((A272+DesignSheet!C16)) + (DesignSheet!C7)*SIN((DesignSheet!C11+1)*(A272+DesignSheet!C16)) - (DesignSheet!C6/2)*SIN(ATAN( SIN(DesignSheet!C11*(A272+DesignSheet!C16)) / ( COS(DesignSheet!C11*(A272+DesignSheet!C16)) + (DesignSheet!C11*DesignSheet!C13)/(DesignSheet!C7*(DesignSheet!C11+1)) ) )+(A272+DesignSheet!C16))</f>
        <v>5.3052901250777315E-2</v>
      </c>
    </row>
    <row r="273" spans="1:3" x14ac:dyDescent="0.3">
      <c r="A273" s="6">
        <f>2*PI()*271/(DesignSheet!C9-1)</f>
        <v>4.7298422729046328</v>
      </c>
      <c r="B273" s="6">
        <f>(DesignSheet!C11*DesignSheet!C13)*COS((A273+DesignSheet!C16)) + (DesignSheet!C7)*COS((DesignSheet!C11+1)*(A273+DesignSheet!C16)) - (DesignSheet!C6/2)*COS(ATAN( SIN(DesignSheet!C11*(A273+DesignSheet!C16)) / ( COS(DesignSheet!C11*(A273+DesignSheet!C16)) + (DesignSheet!C11*DesignSheet!C13)/(DesignSheet!C7*(DesignSheet!C11+1)) ) )+(A273+DesignSheet!C16))</f>
        <v>-0.74893319825989502</v>
      </c>
      <c r="C273" s="6">
        <f>(DesignSheet!C11*DesignSheet!C13)*SIN((A273+DesignSheet!C16)) + (DesignSheet!C7)*SIN((DesignSheet!C11+1)*(A273+DesignSheet!C16)) - (DesignSheet!C6/2)*SIN(ATAN( SIN(DesignSheet!C11*(A273+DesignSheet!C16)) / ( COS(DesignSheet!C11*(A273+DesignSheet!C16)) + (DesignSheet!C11*DesignSheet!C13)/(DesignSheet!C7*(DesignSheet!C11+1)) ) )+(A273+DesignSheet!C16))</f>
        <v>3.9988305092924503E-2</v>
      </c>
    </row>
    <row r="274" spans="1:3" x14ac:dyDescent="0.3">
      <c r="A274" s="6">
        <f>2*PI()*272/(DesignSheet!C9-1)</f>
        <v>4.7472955654245768</v>
      </c>
      <c r="B274" s="6">
        <f>(DesignSheet!C11*DesignSheet!C13)*COS((A274+DesignSheet!C16)) + (DesignSheet!C7)*COS((DesignSheet!C11+1)*(A274+DesignSheet!C16)) - (DesignSheet!C6/2)*COS(ATAN( SIN(DesignSheet!C11*(A274+DesignSheet!C16)) / ( COS(DesignSheet!C11*(A274+DesignSheet!C16)) + (DesignSheet!C11*DesignSheet!C13)/(DesignSheet!C7*(DesignSheet!C11+1)) ) )+(A274+DesignSheet!C16))</f>
        <v>-0.74951702425948041</v>
      </c>
      <c r="C274" s="6">
        <f>(DesignSheet!C11*DesignSheet!C13)*SIN((A274+DesignSheet!C16)) + (DesignSheet!C7)*SIN((DesignSheet!C11+1)*(A274+DesignSheet!C16)) - (DesignSheet!C6/2)*SIN(ATAN( SIN(DesignSheet!C11*(A274+DesignSheet!C16)) / ( COS(DesignSheet!C11*(A274+DesignSheet!C16)) + (DesignSheet!C11*DesignSheet!C13)/(DesignSheet!C7*(DesignSheet!C11+1)) ) )+(A274+DesignSheet!C16))</f>
        <v>2.6911528109964306E-2</v>
      </c>
    </row>
    <row r="275" spans="1:3" x14ac:dyDescent="0.3">
      <c r="A275" s="6">
        <f>2*PI()*273/(DesignSheet!C9-1)</f>
        <v>4.7647488579445199</v>
      </c>
      <c r="B275" s="6">
        <f>(DesignSheet!C11*DesignSheet!C13)*COS((A275+DesignSheet!C16)) + (DesignSheet!C7)*COS((DesignSheet!C11+1)*(A275+DesignSheet!C16)) - (DesignSheet!C6/2)*COS(ATAN( SIN(DesignSheet!C11*(A275+DesignSheet!C16)) / ( COS(DesignSheet!C11*(A275+DesignSheet!C16)) + (DesignSheet!C11*DesignSheet!C13)/(DesignSheet!C7*(DesignSheet!C11+1)) ) )+(A275+DesignSheet!C16))</f>
        <v>-0.74987254011274196</v>
      </c>
      <c r="C275" s="6">
        <f>(DesignSheet!C11*DesignSheet!C13)*SIN((A275+DesignSheet!C16)) + (DesignSheet!C7)*SIN((DesignSheet!C11+1)*(A275+DesignSheet!C16)) - (DesignSheet!C6/2)*SIN(ATAN( SIN(DesignSheet!C11*(A275+DesignSheet!C16)) / ( COS(DesignSheet!C11*(A275+DesignSheet!C16)) + (DesignSheet!C11*DesignSheet!C13)/(DesignSheet!C7*(DesignSheet!C11+1)) ) )+(A275+DesignSheet!C16))</f>
        <v>1.382655361484466E-2</v>
      </c>
    </row>
    <row r="276" spans="1:3" x14ac:dyDescent="0.3">
      <c r="A276" s="6">
        <f>2*PI()*274/(DesignSheet!C9-1)</f>
        <v>4.782202150464463</v>
      </c>
      <c r="B276" s="6">
        <f>(DesignSheet!C11*DesignSheet!C13)*COS((A276+DesignSheet!C16)) + (DesignSheet!C7)*COS((DesignSheet!C11+1)*(A276+DesignSheet!C16)) - (DesignSheet!C6/2)*COS(ATAN( SIN(DesignSheet!C11*(A276+DesignSheet!C16)) / ( COS(DesignSheet!C11*(A276+DesignSheet!C16)) + (DesignSheet!C11*DesignSheet!C13)/(DesignSheet!C7*(DesignSheet!C11+1)) ) )+(A276+DesignSheet!C16))</f>
        <v>-0.74999963752610677</v>
      </c>
      <c r="C276" s="6">
        <f>(DesignSheet!C11*DesignSheet!C13)*SIN((A276+DesignSheet!C16)) + (DesignSheet!C7)*SIN((DesignSheet!C11+1)*(A276+DesignSheet!C16)) - (DesignSheet!C6/2)*SIN(ATAN( SIN(DesignSheet!C11*(A276+DesignSheet!C16)) / ( COS(DesignSheet!C11*(A276+DesignSheet!C16)) + (DesignSheet!C11*DesignSheet!C13)/(DesignSheet!C7*(DesignSheet!C11+1)) ) )+(A276+DesignSheet!C16))</f>
        <v>7.3736741755309177E-4</v>
      </c>
    </row>
    <row r="277" spans="1:3" x14ac:dyDescent="0.3">
      <c r="A277" s="6">
        <f>2*PI()*275/(DesignSheet!C9-1)</f>
        <v>4.7996554429844061</v>
      </c>
      <c r="B277" s="6">
        <f>(DesignSheet!C11*DesignSheet!C13)*COS((A277+DesignSheet!C16)) + (DesignSheet!C7)*COS((DesignSheet!C11+1)*(A277+DesignSheet!C16)) - (DesignSheet!C6/2)*COS(ATAN( SIN(DesignSheet!C11*(A277+DesignSheet!C16)) / ( COS(DesignSheet!C11*(A277+DesignSheet!C16)) + (DesignSheet!C11*DesignSheet!C13)/(DesignSheet!C7*(DesignSheet!C11+1)) ) )+(A277+DesignSheet!C16))</f>
        <v>-0.74989827778447149</v>
      </c>
      <c r="C277" s="6">
        <f>(DesignSheet!C11*DesignSheet!C13)*SIN((A277+DesignSheet!C16)) + (DesignSheet!C7)*SIN((DesignSheet!C11+1)*(A277+DesignSheet!C16)) - (DesignSheet!C6/2)*SIN(ATAN( SIN(DesignSheet!C11*(A277+DesignSheet!C16)) / ( COS(DesignSheet!C11*(A277+DesignSheet!C16)) + (DesignSheet!C11*DesignSheet!C13)/(DesignSheet!C7*(DesignSheet!C11+1)) ) )+(A277+DesignSheet!C16))</f>
        <v>-1.2352043388996901E-2</v>
      </c>
    </row>
    <row r="278" spans="1:3" x14ac:dyDescent="0.3">
      <c r="A278" s="6">
        <f>2*PI()*276/(DesignSheet!C9-1)</f>
        <v>4.8171087355043491</v>
      </c>
      <c r="B278" s="6">
        <f>(DesignSheet!C11*DesignSheet!C13)*COS((A278+DesignSheet!C16)) + (DesignSheet!C7)*COS((DesignSheet!C11+1)*(A278+DesignSheet!C16)) - (DesignSheet!C6/2)*COS(ATAN( SIN(DesignSheet!C11*(A278+DesignSheet!C16)) / ( COS(DesignSheet!C11*(A278+DesignSheet!C16)) + (DesignSheet!C11*DesignSheet!C13)/(DesignSheet!C7*(DesignSheet!C11+1)) ) )+(A278+DesignSheet!C16))</f>
        <v>-0.74956849176299534</v>
      </c>
      <c r="C278" s="6">
        <f>(DesignSheet!C11*DesignSheet!C13)*SIN((A278+DesignSheet!C16)) + (DesignSheet!C7)*SIN((DesignSheet!C11+1)*(A278+DesignSheet!C16)) - (DesignSheet!C6/2)*SIN(ATAN( SIN(DesignSheet!C11*(A278+DesignSheet!C16)) / ( COS(DesignSheet!C11*(A278+DesignSheet!C16)) + (DesignSheet!C11*DesignSheet!C13)/(DesignSheet!C7*(DesignSheet!C11+1)) ) )+(A278+DesignSheet!C16))</f>
        <v>-2.5437691643473672E-2</v>
      </c>
    </row>
    <row r="279" spans="1:3" x14ac:dyDescent="0.3">
      <c r="A279" s="6">
        <f>2*PI()*277/(DesignSheet!C9-1)</f>
        <v>4.8345620280242931</v>
      </c>
      <c r="B279" s="6">
        <f>(DesignSheet!C11*DesignSheet!C13)*COS((A279+DesignSheet!C16)) + (DesignSheet!C7)*COS((DesignSheet!C11+1)*(A279+DesignSheet!C16)) - (DesignSheet!C6/2)*COS(ATAN( SIN(DesignSheet!C11*(A279+DesignSheet!C16)) / ( COS(DesignSheet!C11*(A279+DesignSheet!C16)) + (DesignSheet!C11*DesignSheet!C13)/(DesignSheet!C7*(DesignSheet!C11+1)) ) )+(A279+DesignSheet!C16))</f>
        <v>-0.74901037991769503</v>
      </c>
      <c r="C279" s="6">
        <f>(DesignSheet!C11*DesignSheet!C13)*SIN((A279+DesignSheet!C16)) + (DesignSheet!C7)*SIN((DesignSheet!C11+1)*(A279+DesignSheet!C16)) - (DesignSheet!C6/2)*SIN(ATAN( SIN(DesignSheet!C11*(A279+DesignSheet!C16)) / ( COS(DesignSheet!C11*(A279+DesignSheet!C16)) + (DesignSheet!C11*DesignSheet!C13)/(DesignSheet!C7*(DesignSheet!C11+1)) ) )+(A279+DesignSheet!C16))</f>
        <v>-3.8515591330656053E-2</v>
      </c>
    </row>
    <row r="280" spans="1:3" x14ac:dyDescent="0.3">
      <c r="A280" s="6">
        <f>2*PI()*278/(DesignSheet!C9-1)</f>
        <v>4.8520153205442362</v>
      </c>
      <c r="B280" s="6">
        <f>(DesignSheet!C11*DesignSheet!C13)*COS((A280+DesignSheet!C16)) + (DesignSheet!C7)*COS((DesignSheet!C11+1)*(A280+DesignSheet!C16)) - (DesignSheet!C6/2)*COS(ATAN( SIN(DesignSheet!C11*(A280+DesignSheet!C16)) / ( COS(DesignSheet!C11*(A280+DesignSheet!C16)) + (DesignSheet!C11*DesignSheet!C13)/(DesignSheet!C7*(DesignSheet!C11+1)) ) )+(A280+DesignSheet!C16))</f>
        <v>-0.74822411225484542</v>
      </c>
      <c r="C280" s="6">
        <f>(DesignSheet!C11*DesignSheet!C13)*SIN((A280+DesignSheet!C16)) + (DesignSheet!C7)*SIN((DesignSheet!C11+1)*(A280+DesignSheet!C16)) - (DesignSheet!C6/2)*SIN(ATAN( SIN(DesignSheet!C11*(A280+DesignSheet!C16)) / ( COS(DesignSheet!C11*(A280+DesignSheet!C16)) + (DesignSheet!C11*DesignSheet!C13)/(DesignSheet!C7*(DesignSheet!C11+1)) ) )+(A280+DesignSheet!C16))</f>
        <v>-5.1581758795609542E-2</v>
      </c>
    </row>
    <row r="281" spans="1:3" x14ac:dyDescent="0.3">
      <c r="A281" s="6">
        <f>2*PI()*279/(DesignSheet!C9-1)</f>
        <v>4.8694686130641793</v>
      </c>
      <c r="B281" s="6">
        <f>(DesignSheet!C11*DesignSheet!C13)*COS((A281+DesignSheet!C16)) + (DesignSheet!C7)*COS((DesignSheet!C11+1)*(A281+DesignSheet!C16)) - (DesignSheet!C6/2)*COS(ATAN( SIN(DesignSheet!C11*(A281+DesignSheet!C16)) / ( COS(DesignSheet!C11*(A281+DesignSheet!C16)) + (DesignSheet!C11*DesignSheet!C13)/(DesignSheet!C7*(DesignSheet!C11+1)) ) )+(A281+DesignSheet!C16))</f>
        <v>-0.7472099282791933</v>
      </c>
      <c r="C281" s="6">
        <f>(DesignSheet!C11*DesignSheet!C13)*SIN((A281+DesignSheet!C16)) + (DesignSheet!C7)*SIN((DesignSheet!C11+1)*(A281+DesignSheet!C16)) - (DesignSheet!C6/2)*SIN(ATAN( SIN(DesignSheet!C11*(A281+DesignSheet!C16)) / ( COS(DesignSheet!C11*(A281+DesignSheet!C16)) + (DesignSheet!C11*DesignSheet!C13)/(DesignSheet!C7*(DesignSheet!C11+1)) ) )+(A281+DesignSheet!C16))</f>
        <v>-6.4632213957150159E-2</v>
      </c>
    </row>
    <row r="282" spans="1:3" x14ac:dyDescent="0.3">
      <c r="A282" s="6">
        <f>2*PI()*280/(DesignSheet!C9-1)</f>
        <v>4.8869219055841224</v>
      </c>
      <c r="B282" s="6">
        <f>(DesignSheet!C11*DesignSheet!C13)*COS((A282+DesignSheet!C16)) + (DesignSheet!C7)*COS((DesignSheet!C11+1)*(A282+DesignSheet!C16)) - (DesignSheet!C6/2)*COS(ATAN( SIN(DesignSheet!C11*(A282+DesignSheet!C16)) / ( COS(DesignSheet!C11*(A282+DesignSheet!C16)) + (DesignSheet!C11*DesignSheet!C13)/(DesignSheet!C7*(DesignSheet!C11+1)) ) )+(A282+DesignSheet!C16))</f>
        <v>-0.74596813692100217</v>
      </c>
      <c r="C282" s="6">
        <f>(DesignSheet!C11*DesignSheet!C13)*SIN((A282+DesignSheet!C16)) + (DesignSheet!C7)*SIN((DesignSheet!C11+1)*(A282+DesignSheet!C16)) - (DesignSheet!C6/2)*SIN(ATAN( SIN(DesignSheet!C11*(A282+DesignSheet!C16)) / ( COS(DesignSheet!C11*(A282+DesignSheet!C16)) + (DesignSheet!C11*DesignSheet!C13)/(DesignSheet!C7*(DesignSheet!C11+1)) ) )+(A282+DesignSheet!C16))</f>
        <v>-7.7662981520213129E-2</v>
      </c>
    </row>
    <row r="283" spans="1:3" x14ac:dyDescent="0.3">
      <c r="A283" s="6">
        <f>2*PI()*281/(DesignSheet!C9-1)</f>
        <v>4.9043751981040655</v>
      </c>
      <c r="B283" s="6">
        <f>(DesignSheet!C11*DesignSheet!C13)*COS((A283+DesignSheet!C16)) + (DesignSheet!C7)*COS((DesignSheet!C11+1)*(A283+DesignSheet!C16)) - (DesignSheet!C6/2)*COS(ATAN( SIN(DesignSheet!C11*(A283+DesignSheet!C16)) / ( COS(DesignSheet!C11*(A283+DesignSheet!C16)) + (DesignSheet!C11*DesignSheet!C13)/(DesignSheet!C7*(DesignSheet!C11+1)) ) )+(A283+DesignSheet!C16))</f>
        <v>-0.74449911644194933</v>
      </c>
      <c r="C283" s="6">
        <f>(DesignSheet!C11*DesignSheet!C13)*SIN((A283+DesignSheet!C16)) + (DesignSheet!C7)*SIN((DesignSheet!C11+1)*(A283+DesignSheet!C16)) - (DesignSheet!C6/2)*SIN(ATAN( SIN(DesignSheet!C11*(A283+DesignSheet!C16)) / ( COS(DesignSheet!C11*(A283+DesignSheet!C16)) + (DesignSheet!C11*DesignSheet!C13)/(DesignSheet!C7*(DesignSheet!C11+1)) ) )+(A283+DesignSheet!C16))</f>
        <v>-9.0670092186766846E-2</v>
      </c>
    </row>
    <row r="284" spans="1:3" x14ac:dyDescent="0.3">
      <c r="A284" s="6">
        <f>2*PI()*282/(DesignSheet!C9-1)</f>
        <v>4.9218284906240086</v>
      </c>
      <c r="B284" s="6">
        <f>(DesignSheet!C11*DesignSheet!C13)*COS((A284+DesignSheet!C16)) + (DesignSheet!C7)*COS((DesignSheet!C11+1)*(A284+DesignSheet!C16)) - (DesignSheet!C6/2)*COS(ATAN( SIN(DesignSheet!C11*(A284+DesignSheet!C16)) / ( COS(DesignSheet!C11*(A284+DesignSheet!C16)) + (DesignSheet!C11*DesignSheet!C13)/(DesignSheet!C7*(DesignSheet!C11+1)) ) )+(A284+DesignSheet!C16))</f>
        <v>-0.74280331431990343</v>
      </c>
      <c r="C284" s="6">
        <f>(DesignSheet!C11*DesignSheet!C13)*SIN((A284+DesignSheet!C16)) + (DesignSheet!C7)*SIN((DesignSheet!C11+1)*(A284+DesignSheet!C16)) - (DesignSheet!C6/2)*SIN(ATAN( SIN(DesignSheet!C11*(A284+DesignSheet!C16)) / ( COS(DesignSheet!C11*(A284+DesignSheet!C16)) + (DesignSheet!C11*DesignSheet!C13)/(DesignSheet!C7*(DesignSheet!C11+1)) ) )+(A284+DesignSheet!C16))</f>
        <v>-0.10364958386489957</v>
      </c>
    </row>
    <row r="285" spans="1:3" x14ac:dyDescent="0.3">
      <c r="A285" s="6">
        <f>2*PI()*283/(DesignSheet!C9-1)</f>
        <v>4.9392817831439526</v>
      </c>
      <c r="B285" s="6">
        <f>(DesignSheet!C11*DesignSheet!C13)*COS((A285+DesignSheet!C16)) + (DesignSheet!C7)*COS((DesignSheet!C11+1)*(A285+DesignSheet!C16)) - (DesignSheet!C6/2)*COS(ATAN( SIN(DesignSheet!C11*(A285+DesignSheet!C16)) / ( COS(DesignSheet!C11*(A285+DesignSheet!C16)) + (DesignSheet!C11*DesignSheet!C13)/(DesignSheet!C7*(DesignSheet!C11+1)) ) )+(A285+DesignSheet!C16))</f>
        <v>-0.74088124711261827</v>
      </c>
      <c r="C285" s="6">
        <f>(DesignSheet!C11*DesignSheet!C13)*SIN((A285+DesignSheet!C16)) + (DesignSheet!C7)*SIN((DesignSheet!C11+1)*(A285+DesignSheet!C16)) - (DesignSheet!C6/2)*SIN(ATAN( SIN(DesignSheet!C11*(A285+DesignSheet!C16)) / ( COS(DesignSheet!C11*(A285+DesignSheet!C16)) + (DesignSheet!C11*DesignSheet!C13)/(DesignSheet!C7*(DesignSheet!C11+1)) ) )+(A285+DesignSheet!C16))</f>
        <v>-0.11659750287571163</v>
      </c>
    </row>
    <row r="286" spans="1:3" x14ac:dyDescent="0.3">
      <c r="A286" s="6">
        <f>2*PI()*284/(DesignSheet!C9-1)</f>
        <v>4.9567350756638957</v>
      </c>
      <c r="B286" s="6">
        <f>(DesignSheet!C11*DesignSheet!C13)*COS((A286+DesignSheet!C16)) + (DesignSheet!C7)*COS((DesignSheet!C11+1)*(A286+DesignSheet!C16)) - (DesignSheet!C6/2)*COS(ATAN( SIN(DesignSheet!C11*(A286+DesignSheet!C16)) / ( COS(DesignSheet!C11*(A286+DesignSheet!C16)) + (DesignSheet!C11*DesignSheet!C13)/(DesignSheet!C7*(DesignSheet!C11+1)) ) )+(A286+DesignSheet!C16))</f>
        <v>-0.73873350030038476</v>
      </c>
      <c r="C286" s="6">
        <f>(DesignSheet!C11*DesignSheet!C13)*SIN((A286+DesignSheet!C16)) + (DesignSheet!C7)*SIN((DesignSheet!C11+1)*(A286+DesignSheet!C16)) - (DesignSheet!C6/2)*SIN(ATAN( SIN(DesignSheet!C11*(A286+DesignSheet!C16)) / ( COS(DesignSheet!C11*(A286+DesignSheet!C16)) + (DesignSheet!C11*DesignSheet!C13)/(DesignSheet!C7*(DesignSheet!C11+1)) ) )+(A286+DesignSheet!C16))</f>
        <v>-0.12950990515764171</v>
      </c>
    </row>
    <row r="287" spans="1:3" x14ac:dyDescent="0.3">
      <c r="A287" s="6">
        <f>2*PI()*285/(DesignSheet!C9-1)</f>
        <v>4.9741883681838397</v>
      </c>
      <c r="B287" s="6">
        <f>(DesignSheet!C11*DesignSheet!C13)*COS((A287+DesignSheet!C16)) + (DesignSheet!C7)*COS((DesignSheet!C11+1)*(A287+DesignSheet!C16)) - (DesignSheet!C6/2)*COS(ATAN( SIN(DesignSheet!C11*(A287+DesignSheet!C16)) / ( COS(DesignSheet!C11*(A287+DesignSheet!C16)) + (DesignSheet!C11*DesignSheet!C13)/(DesignSheet!C7*(DesignSheet!C11+1)) ) )+(A287+DesignSheet!C16))</f>
        <v>-0.73636072810768771</v>
      </c>
      <c r="C287" s="6">
        <f>(DesignSheet!C11*DesignSheet!C13)*SIN((A287+DesignSheet!C16)) + (DesignSheet!C7)*SIN((DesignSheet!C11+1)*(A287+DesignSheet!C16)) - (DesignSheet!C6/2)*SIN(ATAN( SIN(DesignSheet!C11*(A287+DesignSheet!C16)) / ( COS(DesignSheet!C11*(A287+DesignSheet!C16)) + (DesignSheet!C11*DesignSheet!C13)/(DesignSheet!C7*(DesignSheet!C11+1)) ) )+(A287+DesignSheet!C16))</f>
        <v>-0.14238285746787083</v>
      </c>
    </row>
    <row r="288" spans="1:3" x14ac:dyDescent="0.3">
      <c r="A288" s="6">
        <f>2*PI()*286/(DesignSheet!C9-1)</f>
        <v>4.9916416607037828</v>
      </c>
      <c r="B288" s="6">
        <f>(DesignSheet!C11*DesignSheet!C13)*COS((A288+DesignSheet!C16)) + (DesignSheet!C7)*COS((DesignSheet!C11+1)*(A288+DesignSheet!C16)) - (DesignSheet!C6/2)*COS(ATAN( SIN(DesignSheet!C11*(A288+DesignSheet!C16)) / ( COS(DesignSheet!C11*(A288+DesignSheet!C16)) + (DesignSheet!C11*DesignSheet!C13)/(DesignSheet!C7*(DesignSheet!C11+1)) ) )+(A288+DesignSheet!C16))</f>
        <v>-0.73376365330392257</v>
      </c>
      <c r="C288" s="6">
        <f>(DesignSheet!C11*DesignSheet!C13)*SIN((A288+DesignSheet!C16)) + (DesignSheet!C7)*SIN((DesignSheet!C11+1)*(A288+DesignSheet!C16)) - (DesignSheet!C6/2)*SIN(ATAN( SIN(DesignSheet!C11*(A288+DesignSheet!C16)) / ( COS(DesignSheet!C11*(A288+DesignSheet!C16)) + (DesignSheet!C11*DesignSheet!C13)/(DesignSheet!C7*(DesignSheet!C11+1)) ) )+(A288+DesignSheet!C16))</f>
        <v>-0.15521243858042083</v>
      </c>
    </row>
    <row r="289" spans="1:3" x14ac:dyDescent="0.3">
      <c r="A289" s="6">
        <f>2*PI()*287/(DesignSheet!C9-1)</f>
        <v>5.0090949532237259</v>
      </c>
      <c r="B289" s="6">
        <f>(DesignSheet!C11*DesignSheet!C13)*COS((A289+DesignSheet!C16)) + (DesignSheet!C7)*COS((DesignSheet!C11+1)*(A289+DesignSheet!C16)) - (DesignSheet!C6/2)*COS(ATAN( SIN(DesignSheet!C11*(A289+DesignSheet!C16)) / ( COS(DesignSheet!C11*(A289+DesignSheet!C16)) + (DesignSheet!C11*DesignSheet!C13)/(DesignSheet!C7*(DesignSheet!C11+1)) ) )+(A289+DesignSheet!C16))</f>
        <v>-0.73094306698323286</v>
      </c>
      <c r="C289" s="6">
        <f>(DesignSheet!C11*DesignSheet!C13)*SIN((A289+DesignSheet!C16)) + (DesignSheet!C7)*SIN((DesignSheet!C11+1)*(A289+DesignSheet!C16)) - (DesignSheet!C6/2)*SIN(ATAN( SIN(DesignSheet!C11*(A289+DesignSheet!C16)) / ( COS(DesignSheet!C11*(A289+DesignSheet!C16)) + (DesignSheet!C11*DesignSheet!C13)/(DesignSheet!C7*(DesignSheet!C11+1)) ) )+(A289+DesignSheet!C16))</f>
        <v>-0.16799474048060262</v>
      </c>
    </row>
    <row r="290" spans="1:3" x14ac:dyDescent="0.3">
      <c r="A290" s="6">
        <f>2*PI()*288/(DesignSheet!C9-1)</f>
        <v>5.026548245743669</v>
      </c>
      <c r="B290" s="6">
        <f>(DesignSheet!C11*DesignSheet!C13)*COS((A290+DesignSheet!C16)) + (DesignSheet!C7)*COS((DesignSheet!C11+1)*(A290+DesignSheet!C16)) - (DesignSheet!C6/2)*COS(ATAN( SIN(DesignSheet!C11*(A290+DesignSheet!C16)) / ( COS(DesignSheet!C11*(A290+DesignSheet!C16)) + (DesignSheet!C11*DesignSheet!C13)/(DesignSheet!C7*(DesignSheet!C11+1)) ) )+(A290+DesignSheet!C16))</f>
        <v>-0.72789982832353572</v>
      </c>
      <c r="C290" s="6">
        <f>(DesignSheet!C11*DesignSheet!C13)*SIN((A290+DesignSheet!C16)) + (DesignSheet!C7)*SIN((DesignSheet!C11+1)*(A290+DesignSheet!C16)) - (DesignSheet!C6/2)*SIN(ATAN( SIN(DesignSheet!C11*(A290+DesignSheet!C16)) / ( COS(DesignSheet!C11*(A290+DesignSheet!C16)) + (DesignSheet!C11*DesignSheet!C13)/(DesignSheet!C7*(DesignSheet!C11+1)) ) )+(A290+DesignSheet!C16))</f>
        <v>-0.18072586955543243</v>
      </c>
    </row>
    <row r="291" spans="1:3" x14ac:dyDescent="0.3">
      <c r="A291" s="6">
        <f>2*PI()*289/(DesignSheet!C9-1)</f>
        <v>5.0440015382636121</v>
      </c>
      <c r="B291" s="6">
        <f>(DesignSheet!C11*DesignSheet!C13)*COS((A291+DesignSheet!C16)) + (DesignSheet!C7)*COS((DesignSheet!C11+1)*(A291+DesignSheet!C16)) - (DesignSheet!C6/2)*COS(ATAN( SIN(DesignSheet!C11*(A291+DesignSheet!C16)) / ( COS(DesignSheet!C11*(A291+DesignSheet!C16)) + (DesignSheet!C11*DesignSheet!C13)/(DesignSheet!C7*(DesignSheet!C11+1)) ) )+(A291+DesignSheet!C16))</f>
        <v>-0.72463486432480728</v>
      </c>
      <c r="C291" s="6">
        <f>(DesignSheet!C11*DesignSheet!C13)*SIN((A291+DesignSheet!C16)) + (DesignSheet!C7)*SIN((DesignSheet!C11+1)*(A291+DesignSheet!C16)) - (DesignSheet!C6/2)*SIN(ATAN( SIN(DesignSheet!C11*(A291+DesignSheet!C16)) / ( COS(DesignSheet!C11*(A291+DesignSheet!C16)) + (DesignSheet!C11*DesignSheet!C13)/(DesignSheet!C7*(DesignSheet!C11+1)) ) )+(A291+DesignSheet!C16))</f>
        <v>-0.19340194777966482</v>
      </c>
    </row>
    <row r="292" spans="1:3" x14ac:dyDescent="0.3">
      <c r="A292" s="6">
        <f>2*PI()*290/(DesignSheet!C9-1)</f>
        <v>5.0614548307835552</v>
      </c>
      <c r="B292" s="6">
        <f>(DesignSheet!C11*DesignSheet!C13)*COS((A292+DesignSheet!C16)) + (DesignSheet!C7)*COS((DesignSheet!C11+1)*(A292+DesignSheet!C16)) - (DesignSheet!C6/2)*COS(ATAN( SIN(DesignSheet!C11*(A292+DesignSheet!C16)) / ( COS(DesignSheet!C11*(A292+DesignSheet!C16)) + (DesignSheet!C11*DesignSheet!C13)/(DesignSheet!C7*(DesignSheet!C11+1)) ) )+(A292+DesignSheet!C16))</f>
        <v>-0.72114916952670982</v>
      </c>
      <c r="C292" s="6">
        <f>(DesignSheet!C11*DesignSheet!C13)*SIN((A292+DesignSheet!C16)) + (DesignSheet!C7)*SIN((DesignSheet!C11+1)*(A292+DesignSheet!C16)) - (DesignSheet!C6/2)*SIN(ATAN( SIN(DesignSheet!C11*(A292+DesignSheet!C16)) / ( COS(DesignSheet!C11*(A292+DesignSheet!C16)) + (DesignSheet!C11*DesignSheet!C13)/(DesignSheet!C7*(DesignSheet!C11+1)) ) )+(A292+DesignSheet!C16))</f>
        <v>-0.20601911389707681</v>
      </c>
    </row>
    <row r="293" spans="1:3" x14ac:dyDescent="0.3">
      <c r="A293" s="6">
        <f>2*PI()*291/(DesignSheet!C9-1)</f>
        <v>5.0789081233034983</v>
      </c>
      <c r="B293" s="6">
        <f>(DesignSheet!C11*DesignSheet!C13)*COS((A293+DesignSheet!C16)) + (DesignSheet!C7)*COS((DesignSheet!C11+1)*(A293+DesignSheet!C16)) - (DesignSheet!C6/2)*COS(ATAN( SIN(DesignSheet!C11*(A293+DesignSheet!C16)) / ( COS(DesignSheet!C11*(A293+DesignSheet!C16)) + (DesignSheet!C11*DesignSheet!C13)/(DesignSheet!C7*(DesignSheet!C11+1)) ) )+(A293+DesignSheet!C16))</f>
        <v>-0.7174438057056457</v>
      </c>
      <c r="C293" s="6">
        <f>(DesignSheet!C11*DesignSheet!C13)*SIN((A293+DesignSheet!C16)) + (DesignSheet!C7)*SIN((DesignSheet!C11+1)*(A293+DesignSheet!C16)) - (DesignSheet!C6/2)*SIN(ATAN( SIN(DesignSheet!C11*(A293+DesignSheet!C16)) / ( COS(DesignSheet!C11*(A293+DesignSheet!C16)) + (DesignSheet!C11*DesignSheet!C13)/(DesignSheet!C7*(DesignSheet!C11+1)) ) )+(A293+DesignSheet!C16))</f>
        <v>-0.21857352459664375</v>
      </c>
    </row>
    <row r="294" spans="1:3" x14ac:dyDescent="0.3">
      <c r="A294" s="6">
        <f>2*PI()*292/(DesignSheet!C9-1)</f>
        <v>5.0963614158234423</v>
      </c>
      <c r="B294" s="6">
        <f>(DesignSheet!C11*DesignSheet!C13)*COS((A294+DesignSheet!C16)) + (DesignSheet!C7)*COS((DesignSheet!C11+1)*(A294+DesignSheet!C16)) - (DesignSheet!C6/2)*COS(ATAN( SIN(DesignSheet!C11*(A294+DesignSheet!C16)) / ( COS(DesignSheet!C11*(A294+DesignSheet!C16)) + (DesignSheet!C11*DesignSheet!C13)/(DesignSheet!C7*(DesignSheet!C11+1)) ) )+(A294+DesignSheet!C16))</f>
        <v>-0.71351990155132927</v>
      </c>
      <c r="C294" s="6">
        <f>(DesignSheet!C11*DesignSheet!C13)*SIN((A294+DesignSheet!C16)) + (DesignSheet!C7)*SIN((DesignSheet!C11+1)*(A294+DesignSheet!C16)) - (DesignSheet!C6/2)*SIN(ATAN( SIN(DesignSheet!C11*(A294+DesignSheet!C16)) / ( COS(DesignSheet!C11*(A294+DesignSheet!C16)) + (DesignSheet!C11*DesignSheet!C13)/(DesignSheet!C7*(DesignSheet!C11+1)) ) )+(A294+DesignSheet!C16))</f>
        <v>-0.23106135568324992</v>
      </c>
    </row>
    <row r="295" spans="1:3" x14ac:dyDescent="0.3">
      <c r="A295" s="6">
        <f>2*PI()*293/(DesignSheet!C9-1)</f>
        <v>5.1138147083433854</v>
      </c>
      <c r="B295" s="6">
        <f>(DesignSheet!C11*DesignSheet!C13)*COS((A295+DesignSheet!C16)) + (DesignSheet!C7)*COS((DesignSheet!C11+1)*(A295+DesignSheet!C16)) - (DesignSheet!C6/2)*COS(ATAN( SIN(DesignSheet!C11*(A295+DesignSheet!C16)) / ( COS(DesignSheet!C11*(A295+DesignSheet!C16)) + (DesignSheet!C11*DesignSheet!C13)/(DesignSheet!C7*(DesignSheet!C11+1)) ) )+(A295+DesignSheet!C16))</f>
        <v>-0.70937865232297803</v>
      </c>
      <c r="C295" s="6">
        <f>(DesignSheet!C11*DesignSheet!C13)*SIN((A295+DesignSheet!C16)) + (DesignSheet!C7)*SIN((DesignSheet!C11+1)*(A295+DesignSheet!C16)) - (DesignSheet!C6/2)*SIN(ATAN( SIN(DesignSheet!C11*(A295+DesignSheet!C16)) / ( COS(DesignSheet!C11*(A295+DesignSheet!C16)) + (DesignSheet!C11*DesignSheet!C13)/(DesignSheet!C7*(DesignSheet!C11+1)) ) )+(A295+DesignSheet!C16))</f>
        <v>-0.24347880324257276</v>
      </c>
    </row>
    <row r="296" spans="1:3" x14ac:dyDescent="0.3">
      <c r="A296" s="6">
        <f>2*PI()*294/(DesignSheet!C9-1)</f>
        <v>5.1312680008633293</v>
      </c>
      <c r="B296" s="6">
        <f>(DesignSheet!C11*DesignSheet!C13)*COS((A296+DesignSheet!C16)) + (DesignSheet!C7)*COS((DesignSheet!C11+1)*(A296+DesignSheet!C16)) - (DesignSheet!C6/2)*COS(ATAN( SIN(DesignSheet!C11*(A296+DesignSheet!C16)) / ( COS(DesignSheet!C11*(A296+DesignSheet!C16)) + (DesignSheet!C11*DesignSheet!C13)/(DesignSheet!C7*(DesignSheet!C11+1)) ) )+(A296+DesignSheet!C16))</f>
        <v>-0.70502131948522373</v>
      </c>
      <c r="C296" s="6">
        <f>(DesignSheet!C11*DesignSheet!C13)*SIN((A296+DesignSheet!C16)) + (DesignSheet!C7)*SIN((DesignSheet!C11+1)*(A296+DesignSheet!C16)) - (DesignSheet!C6/2)*SIN(ATAN( SIN(DesignSheet!C11*(A296+DesignSheet!C16)) / ( COS(DesignSheet!C11*(A296+DesignSheet!C16)) + (DesignSheet!C11*DesignSheet!C13)/(DesignSheet!C7*(DesignSheet!C11+1)) ) )+(A296+DesignSheet!C16))</f>
        <v>-0.25582208479979635</v>
      </c>
    </row>
    <row r="297" spans="1:3" x14ac:dyDescent="0.3">
      <c r="A297" s="6">
        <f>2*PI()*295/(DesignSheet!C9-1)</f>
        <v>5.1487212933832724</v>
      </c>
      <c r="B297" s="6">
        <f>(DesignSheet!C11*DesignSheet!C13)*COS((A297+DesignSheet!C16)) + (DesignSheet!C7)*COS((DesignSheet!C11+1)*(A297+DesignSheet!C16)) - (DesignSheet!C6/2)*COS(ATAN( SIN(DesignSheet!C11*(A297+DesignSheet!C16)) / ( COS(DesignSheet!C11*(A297+DesignSheet!C16)) + (DesignSheet!C11*DesignSheet!C13)/(DesignSheet!C7*(DesignSheet!C11+1)) ) )+(A297+DesignSheet!C16))</f>
        <v>-0.70044923032385942</v>
      </c>
      <c r="C297" s="6">
        <f>(DesignSheet!C11*DesignSheet!C13)*SIN((A297+DesignSheet!C16)) + (DesignSheet!C7)*SIN((DesignSheet!C11+1)*(A297+DesignSheet!C16)) - (DesignSheet!C6/2)*SIN(ATAN( SIN(DesignSheet!C11*(A297+DesignSheet!C16)) / ( COS(DesignSheet!C11*(A297+DesignSheet!C16)) + (DesignSheet!C11*DesignSheet!C13)/(DesignSheet!C7*(DesignSheet!C11+1)) ) )+(A297+DesignSheet!C16))</f>
        <v>-0.26808744047178518</v>
      </c>
    </row>
    <row r="298" spans="1:3" x14ac:dyDescent="0.3">
      <c r="A298" s="6">
        <f>2*PI()*296/(DesignSheet!C9-1)</f>
        <v>5.1661745859032155</v>
      </c>
      <c r="B298" s="6">
        <f>(DesignSheet!C11*DesignSheet!C13)*COS((A298+DesignSheet!C16)) + (DesignSheet!C7)*COS((DesignSheet!C11+1)*(A298+DesignSheet!C16)) - (DesignSheet!C6/2)*COS(ATAN( SIN(DesignSheet!C11*(A298+DesignSheet!C16)) / ( COS(DesignSheet!C11*(A298+DesignSheet!C16)) + (DesignSheet!C11*DesignSheet!C13)/(DesignSheet!C7*(DesignSheet!C11+1)) ) )+(A298+DesignSheet!C16))</f>
        <v>-0.69566377754153441</v>
      </c>
      <c r="C298" s="6">
        <f>(DesignSheet!C11*DesignSheet!C13)*SIN((A298+DesignSheet!C16)) + (DesignSheet!C7)*SIN((DesignSheet!C11+1)*(A298+DesignSheet!C16)) - (DesignSheet!C6/2)*SIN(ATAN( SIN(DesignSheet!C11*(A298+DesignSheet!C16)) / ( COS(DesignSheet!C11*(A298+DesignSheet!C16)) + (DesignSheet!C11*DesignSheet!C13)/(DesignSheet!C7*(DesignSheet!C11+1)) ) )+(A298+DesignSheet!C16))</f>
        <v>-0.28027113411238491</v>
      </c>
    </row>
    <row r="299" spans="1:3" x14ac:dyDescent="0.3">
      <c r="A299" s="6">
        <f>2*PI()*297/(DesignSheet!C9-1)</f>
        <v>5.1836278784231586</v>
      </c>
      <c r="B299" s="6">
        <f>(DesignSheet!C11*DesignSheet!C13)*COS((A299+DesignSheet!C16)) + (DesignSheet!C7)*COS((DesignSheet!C11+1)*(A299+DesignSheet!C16)) - (DesignSheet!C6/2)*COS(ATAN( SIN(DesignSheet!C11*(A299+DesignSheet!C16)) / ( COS(DesignSheet!C11*(A299+DesignSheet!C16)) + (DesignSheet!C11*DesignSheet!C13)/(DesignSheet!C7*(DesignSheet!C11+1)) ) )+(A299+DesignSheet!C16))</f>
        <v>-0.69066641883352409</v>
      </c>
      <c r="C299" s="6">
        <f>(DesignSheet!C11*DesignSheet!C13)*SIN((A299+DesignSheet!C16)) + (DesignSheet!C7)*SIN((DesignSheet!C11+1)*(A299+DesignSheet!C16)) - (DesignSheet!C6/2)*SIN(ATAN( SIN(DesignSheet!C11*(A299+DesignSheet!C16)) / ( COS(DesignSheet!C11*(A299+DesignSheet!C16)) + (DesignSheet!C11*DesignSheet!C13)/(DesignSheet!C7*(DesignSheet!C11+1)) ) )+(A299+DesignSheet!C16))</f>
        <v>-0.29236945445048657</v>
      </c>
    </row>
    <row r="300" spans="1:3" x14ac:dyDescent="0.3">
      <c r="A300" s="6">
        <f>2*PI()*298/(DesignSheet!C9-1)</f>
        <v>5.2010811709431017</v>
      </c>
      <c r="B300" s="6">
        <f>(DesignSheet!C11*DesignSheet!C13)*COS((A300+DesignSheet!C16)) + (DesignSheet!C7)*COS((DesignSheet!C11+1)*(A300+DesignSheet!C16)) - (DesignSheet!C6/2)*COS(ATAN( SIN(DesignSheet!C11*(A300+DesignSheet!C16)) / ( COS(DesignSheet!C11*(A300+DesignSheet!C16)) + (DesignSheet!C11*DesignSheet!C13)/(DesignSheet!C7*(DesignSheet!C11+1)) ) )+(A300+DesignSheet!C16))</f>
        <v>-0.68545867644370118</v>
      </c>
      <c r="C300" s="6">
        <f>(DesignSheet!C11*DesignSheet!C13)*SIN((A300+DesignSheet!C16)) + (DesignSheet!C7)*SIN((DesignSheet!C11+1)*(A300+DesignSheet!C16)) - (DesignSheet!C6/2)*SIN(ATAN( SIN(DesignSheet!C11*(A300+DesignSheet!C16)) / ( COS(DesignSheet!C11*(A300+DesignSheet!C16)) + (DesignSheet!C11*DesignSheet!C13)/(DesignSheet!C7*(DesignSheet!C11+1)) ) )+(A300+DesignSheet!C16))</f>
        <v>-0.30437871622051615</v>
      </c>
    </row>
    <row r="301" spans="1:3" x14ac:dyDescent="0.3">
      <c r="A301" s="6">
        <f>2*PI()*299/(DesignSheet!C9-1)</f>
        <v>5.2185344634630448</v>
      </c>
      <c r="B301" s="6">
        <f>(DesignSheet!C11*DesignSheet!C13)*COS((A301+DesignSheet!C16)) + (DesignSheet!C7)*COS((DesignSheet!C11+1)*(A301+DesignSheet!C16)) - (DesignSheet!C6/2)*COS(ATAN( SIN(DesignSheet!C11*(A301+DesignSheet!C16)) / ( COS(DesignSheet!C11*(A301+DesignSheet!C16)) + (DesignSheet!C11*DesignSheet!C13)/(DesignSheet!C7*(DesignSheet!C11+1)) ) )+(A301+DesignSheet!C16))</f>
        <v>-0.68004213670084612</v>
      </c>
      <c r="C301" s="6">
        <f>(DesignSheet!C11*DesignSheet!C13)*SIN((A301+DesignSheet!C16)) + (DesignSheet!C7)*SIN((DesignSheet!C11+1)*(A301+DesignSheet!C16)) - (DesignSheet!C6/2)*SIN(ATAN( SIN(DesignSheet!C11*(A301+DesignSheet!C16)) / ( COS(DesignSheet!C11*(A301+DesignSheet!C16)) + (DesignSheet!C11*DesignSheet!C13)/(DesignSheet!C7*(DesignSheet!C11+1)) ) )+(A301+DesignSheet!C16))</f>
        <v>-0.31629526128500207</v>
      </c>
    </row>
    <row r="302" spans="1:3" x14ac:dyDescent="0.3">
      <c r="A302" s="6">
        <f>2*PI()*300/(DesignSheet!C9-1)</f>
        <v>5.2359877559829888</v>
      </c>
      <c r="B302" s="6">
        <f>(DesignSheet!C11*DesignSheet!C13)*COS((A302+DesignSheet!C16)) + (DesignSheet!C7)*COS((DesignSheet!C11+1)*(A302+DesignSheet!C16)) - (DesignSheet!C6/2)*COS(ATAN( SIN(DesignSheet!C11*(A302+DesignSheet!C16)) / ( COS(DesignSheet!C11*(A302+DesignSheet!C16)) + (DesignSheet!C11*DesignSheet!C13)/(DesignSheet!C7*(DesignSheet!C11+1)) ) )+(A302+DesignSheet!C16))</f>
        <v>-0.67441844953543562</v>
      </c>
      <c r="C302" s="6">
        <f>(DesignSheet!C11*DesignSheet!C13)*SIN((A302+DesignSheet!C16)) + (DesignSheet!C7)*SIN((DesignSheet!C11+1)*(A302+DesignSheet!C16)) - (DesignSheet!C6/2)*SIN(ATAN( SIN(DesignSheet!C11*(A302+DesignSheet!C16)) / ( COS(DesignSheet!C11*(A302+DesignSheet!C16)) + (DesignSheet!C11*DesignSheet!C13)/(DesignSheet!C7*(DesignSheet!C11+1)) ) )+(A302+DesignSheet!C16))</f>
        <v>-0.32811545974888023</v>
      </c>
    </row>
    <row r="303" spans="1:3" x14ac:dyDescent="0.3">
      <c r="A303" s="6">
        <f>2*PI()*301/(DesignSheet!C9-1)</f>
        <v>5.2534410485029319</v>
      </c>
      <c r="B303" s="6">
        <f>(DesignSheet!C11*DesignSheet!C13)*COS((A303+DesignSheet!C16)) + (DesignSheet!C7)*COS((DesignSheet!C11+1)*(A303+DesignSheet!C16)) - (DesignSheet!C6/2)*COS(ATAN( SIN(DesignSheet!C11*(A303+DesignSheet!C16)) / ( COS(DesignSheet!C11*(A303+DesignSheet!C16)) + (DesignSheet!C11*DesignSheet!C13)/(DesignSheet!C7*(DesignSheet!C11+1)) ) )+(A303+DesignSheet!C16))</f>
        <v>-0.66858932797705872</v>
      </c>
      <c r="C303" s="6">
        <f>(DesignSheet!C11*DesignSheet!C13)*SIN((A303+DesignSheet!C16)) + (DesignSheet!C7)*SIN((DesignSheet!C11+1)*(A303+DesignSheet!C16)) - (DesignSheet!C6/2)*SIN(ATAN( SIN(DesignSheet!C11*(A303+DesignSheet!C16)) / ( COS(DesignSheet!C11*(A303+DesignSheet!C16)) + (DesignSheet!C11*DesignSheet!C13)/(DesignSheet!C7*(DesignSheet!C11+1)) ) )+(A303+DesignSheet!C16))</f>
        <v>-0.33983571106519239</v>
      </c>
    </row>
    <row r="304" spans="1:3" x14ac:dyDescent="0.3">
      <c r="A304" s="6">
        <f>2*PI()*302/(DesignSheet!C9-1)</f>
        <v>5.270894341022875</v>
      </c>
      <c r="B304" s="6">
        <f>(DesignSheet!C11*DesignSheet!C13)*COS((A304+DesignSheet!C16)) + (DesignSheet!C7)*COS((DesignSheet!C11+1)*(A304+DesignSheet!C16)) - (DesignSheet!C6/2)*COS(ATAN( SIN(DesignSheet!C11*(A304+DesignSheet!C16)) / ( COS(DesignSheet!C11*(A304+DesignSheet!C16)) + (DesignSheet!C11*DesignSheet!C13)/(DesignSheet!C7*(DesignSheet!C11+1)) ) )+(A304+DesignSheet!C16))</f>
        <v>-0.66255654763260985</v>
      </c>
      <c r="C304" s="6">
        <f>(DesignSheet!C11*DesignSheet!C13)*SIN((A304+DesignSheet!C16)) + (DesignSheet!C7)*SIN((DesignSheet!C11+1)*(A304+DesignSheet!C16)) - (DesignSheet!C6/2)*SIN(ATAN( SIN(DesignSheet!C11*(A304+DesignSheet!C16)) / ( COS(DesignSheet!C11*(A304+DesignSheet!C16)) + (DesignSheet!C11*DesignSheet!C13)/(DesignSheet!C7*(DesignSheet!C11+1)) ) )+(A304+DesignSheet!C16))</f>
        <v>-0.3514524451318517</v>
      </c>
    </row>
    <row r="305" spans="1:3" x14ac:dyDescent="0.3">
      <c r="A305" s="6">
        <f>2*PI()*303/(DesignSheet!C9-1)</f>
        <v>5.2883476335428181</v>
      </c>
      <c r="B305" s="6">
        <f>(DesignSheet!C11*DesignSheet!C13)*COS((A305+DesignSheet!C16)) + (DesignSheet!C7)*COS((DesignSheet!C11+1)*(A305+DesignSheet!C16)) - (DesignSheet!C6/2)*COS(ATAN( SIN(DesignSheet!C11*(A305+DesignSheet!C16)) / ( COS(DesignSheet!C11*(A305+DesignSheet!C16)) + (DesignSheet!C11*DesignSheet!C13)/(DesignSheet!C7*(DesignSheet!C11+1)) ) )+(A305+DesignSheet!C16))</f>
        <v>-0.65632194614542261</v>
      </c>
      <c r="C305" s="6">
        <f>(DesignSheet!C11*DesignSheet!C13)*SIN((A305+DesignSheet!C16)) + (DesignSheet!C7)*SIN((DesignSheet!C11+1)*(A305+DesignSheet!C16)) - (DesignSheet!C6/2)*SIN(ATAN( SIN(DesignSheet!C11*(A305+DesignSheet!C16)) / ( COS(DesignSheet!C11*(A305+DesignSheet!C16)) + (DesignSheet!C11*DesignSheet!C13)/(DesignSheet!C7*(DesignSheet!C11+1)) ) )+(A305+DesignSheet!C16))</f>
        <v>-0.36296212337912753</v>
      </c>
    </row>
    <row r="306" spans="1:3" x14ac:dyDescent="0.3">
      <c r="A306" s="6">
        <f>2*PI()*304/(DesignSheet!C9-1)</f>
        <v>5.3058009260627612</v>
      </c>
      <c r="B306" s="6">
        <f>(DesignSheet!C11*DesignSheet!C13)*COS((A306+DesignSheet!C16)) + (DesignSheet!C7)*COS((DesignSheet!C11+1)*(A306+DesignSheet!C16)) - (DesignSheet!C6/2)*COS(ATAN( SIN(DesignSheet!C11*(A306+DesignSheet!C16)) / ( COS(DesignSheet!C11*(A306+DesignSheet!C16)) + (DesignSheet!C11*DesignSheet!C13)/(DesignSheet!C7*(DesignSheet!C11+1)) ) )+(A306+DesignSheet!C16))</f>
        <v>-0.64988742263550603</v>
      </c>
      <c r="C306" s="6">
        <f>(DesignSheet!C11*DesignSheet!C13)*SIN((A306+DesignSheet!C16)) + (DesignSheet!C7)*SIN((DesignSheet!C11+1)*(A306+DesignSheet!C16)) - (DesignSheet!C6/2)*SIN(ATAN( SIN(DesignSheet!C11*(A306+DesignSheet!C16)) / ( COS(DesignSheet!C11*(A306+DesignSheet!C16)) + (DesignSheet!C11*DesignSheet!C13)/(DesignSheet!C7*(DesignSheet!C11+1)) ) )+(A306+DesignSheet!C16))</f>
        <v>-0.37436123984752906</v>
      </c>
    </row>
    <row r="307" spans="1:3" x14ac:dyDescent="0.3">
      <c r="A307" s="6">
        <f>2*PI()*305/(DesignSheet!C9-1)</f>
        <v>5.3232542185827052</v>
      </c>
      <c r="B307" s="6">
        <f>(DesignSheet!C11*DesignSheet!C13)*COS((A307+DesignSheet!C16)) + (DesignSheet!C7)*COS((DesignSheet!C11+1)*(A307+DesignSheet!C16)) - (DesignSheet!C6/2)*COS(ATAN( SIN(DesignSheet!C11*(A307+DesignSheet!C16)) / ( COS(DesignSheet!C11*(A307+DesignSheet!C16)) + (DesignSheet!C11*DesignSheet!C13)/(DesignSheet!C7*(DesignSheet!C11+1)) ) )+(A307+DesignSheet!C16))</f>
        <v>-0.64325493712105353</v>
      </c>
      <c r="C307" s="6">
        <f>(DesignSheet!C11*DesignSheet!C13)*SIN((A307+DesignSheet!C16)) + (DesignSheet!C7)*SIN((DesignSheet!C11+1)*(A307+DesignSheet!C16)) - (DesignSheet!C6/2)*SIN(ATAN( SIN(DesignSheet!C11*(A307+DesignSheet!C16)) / ( COS(DesignSheet!C11*(A307+DesignSheet!C16)) + (DesignSheet!C11*DesignSheet!C13)/(DesignSheet!C7*(DesignSheet!C11+1)) ) )+(A307+DesignSheet!C16))</f>
        <v>-0.38564632225575485</v>
      </c>
    </row>
    <row r="308" spans="1:3" x14ac:dyDescent="0.3">
      <c r="A308" s="6">
        <f>2*PI()*306/(DesignSheet!C9-1)</f>
        <v>5.3407075111026483</v>
      </c>
      <c r="B308" s="6">
        <f>(DesignSheet!C11*DesignSheet!C13)*COS((A308+DesignSheet!C16)) + (DesignSheet!C7)*COS((DesignSheet!C11+1)*(A308+DesignSheet!C16)) - (DesignSheet!C6/2)*COS(ATAN( SIN(DesignSheet!C11*(A308+DesignSheet!C16)) / ( COS(DesignSheet!C11*(A308+DesignSheet!C16)) + (DesignSheet!C11*DesignSheet!C13)/(DesignSheet!C7*(DesignSheet!C11+1)) ) )+(A308+DesignSheet!C16))</f>
        <v>-0.6364265099214037</v>
      </c>
      <c r="C308" s="6">
        <f>(DesignSheet!C11*DesignSheet!C13)*SIN((A308+DesignSheet!C16)) + (DesignSheet!C7)*SIN((DesignSheet!C11+1)*(A308+DesignSheet!C16)) - (DesignSheet!C6/2)*SIN(ATAN( SIN(DesignSheet!C11*(A308+DesignSheet!C16)) / ( COS(DesignSheet!C11*(A308+DesignSheet!C16)) + (DesignSheet!C11*DesignSheet!C13)/(DesignSheet!C7*(DesignSheet!C11+1)) ) )+(A308+DesignSheet!C16))</f>
        <v>-0.39681393305838114</v>
      </c>
    </row>
    <row r="309" spans="1:3" x14ac:dyDescent="0.3">
      <c r="A309" s="6">
        <f>2*PI()*307/(DesignSheet!C9-1)</f>
        <v>5.3581608036225914</v>
      </c>
      <c r="B309" s="6">
        <f>(DesignSheet!C11*DesignSheet!C13)*COS((A309+DesignSheet!C16)) + (DesignSheet!C7)*COS((DesignSheet!C11+1)*(A309+DesignSheet!C16)) - (DesignSheet!C6/2)*COS(ATAN( SIN(DesignSheet!C11*(A309+DesignSheet!C16)) / ( COS(DesignSheet!C11*(A309+DesignSheet!C16)) + (DesignSheet!C11*DesignSheet!C13)/(DesignSheet!C7*(DesignSheet!C11+1)) ) )+(A309+DesignSheet!C16))</f>
        <v>-0.62940422104162985</v>
      </c>
      <c r="C309" s="6">
        <f>(DesignSheet!C11*DesignSheet!C13)*SIN((A309+DesignSheet!C16)) + (DesignSheet!C7)*SIN((DesignSheet!C11+1)*(A309+DesignSheet!C16)) - (DesignSheet!C6/2)*SIN(ATAN( SIN(DesignSheet!C11*(A309+DesignSheet!C16)) / ( COS(DesignSheet!C11*(A309+DesignSheet!C16)) + (DesignSheet!C11*DesignSheet!C13)/(DesignSheet!C7*(DesignSheet!C11+1)) ) )+(A309+DesignSheet!C16))</f>
        <v>-0.40786067049297503</v>
      </c>
    </row>
    <row r="310" spans="1:3" x14ac:dyDescent="0.3">
      <c r="A310" s="6">
        <f>2*PI()*308/(DesignSheet!C9-1)</f>
        <v>5.3756140961425354</v>
      </c>
      <c r="B310" s="6">
        <f>(DesignSheet!C11*DesignSheet!C13)*COS((A310+DesignSheet!C16)) + (DesignSheet!C7)*COS((DesignSheet!C11+1)*(A310+DesignSheet!C16)) - (DesignSheet!C6/2)*COS(ATAN( SIN(DesignSheet!C11*(A310+DesignSheet!C16)) / ( COS(DesignSheet!C11*(A310+DesignSheet!C16)) + (DesignSheet!C11*DesignSheet!C13)/(DesignSheet!C7*(DesignSheet!C11+1)) ) )+(A310+DesignSheet!C16))</f>
        <v>-0.62219020953895077</v>
      </c>
      <c r="C310" s="6">
        <f>(DesignSheet!C11*DesignSheet!C13)*SIN((A310+DesignSheet!C16)) + (DesignSheet!C7)*SIN((DesignSheet!C11+1)*(A310+DesignSheet!C16)) - (DesignSheet!C6/2)*SIN(ATAN( SIN(DesignSheet!C11*(A310+DesignSheet!C16)) / ( COS(DesignSheet!C11*(A310+DesignSheet!C16)) + (DesignSheet!C11*DesignSheet!C13)/(DesignSheet!C7*(DesignSheet!C11+1)) ) )+(A310+DesignSheet!C16))</f>
        <v>-0.41878316961630213</v>
      </c>
    </row>
    <row r="311" spans="1:3" x14ac:dyDescent="0.3">
      <c r="A311" s="6">
        <f>2*PI()*309/(DesignSheet!C9-1)</f>
        <v>5.3930673886624785</v>
      </c>
      <c r="B311" s="6">
        <f>(DesignSheet!C11*DesignSheet!C13)*COS((A311+DesignSheet!C16)) + (DesignSheet!C7)*COS((DesignSheet!C11+1)*(A311+DesignSheet!C16)) - (DesignSheet!C6/2)*COS(ATAN( SIN(DesignSheet!C11*(A311+DesignSheet!C16)) / ( COS(DesignSheet!C11*(A311+DesignSheet!C16)) + (DesignSheet!C11*DesignSheet!C13)/(DesignSheet!C7*(DesignSheet!C11+1)) ) )+(A311+DesignSheet!C16))</f>
        <v>-0.61478667287115463</v>
      </c>
      <c r="C311" s="6">
        <f>(DesignSheet!C11*DesignSheet!C13)*SIN((A311+DesignSheet!C16)) + (DesignSheet!C7)*SIN((DesignSheet!C11+1)*(A311+DesignSheet!C16)) - (DesignSheet!C6/2)*SIN(ATAN( SIN(DesignSheet!C11*(A311+DesignSheet!C16)) / ( COS(DesignSheet!C11*(A311+DesignSheet!C16)) + (DesignSheet!C11*DesignSheet!C13)/(DesignSheet!C7*(DesignSheet!C11+1)) ) )+(A311+DesignSheet!C16))</f>
        <v>-0.42957810332932</v>
      </c>
    </row>
    <row r="312" spans="1:3" x14ac:dyDescent="0.3">
      <c r="A312" s="6">
        <f>2*PI()*310/(DesignSheet!C9-1)</f>
        <v>5.4105206811824216</v>
      </c>
      <c r="B312" s="6">
        <f>(DesignSheet!C11*DesignSheet!C13)*COS((A312+DesignSheet!C16)) + (DesignSheet!C7)*COS((DesignSheet!C11+1)*(A312+DesignSheet!C16)) - (DesignSheet!C6/2)*COS(ATAN( SIN(DesignSheet!C11*(A312+DesignSheet!C16)) / ( COS(DesignSheet!C11*(A312+DesignSheet!C16)) + (DesignSheet!C11*DesignSheet!C13)/(DesignSheet!C7*(DesignSheet!C11+1)) ) )+(A312+DesignSheet!C16))</f>
        <v>-0.60719586622722965</v>
      </c>
      <c r="C312" s="6">
        <f>(DesignSheet!C11*DesignSheet!C13)*SIN((A312+DesignSheet!C16)) + (DesignSheet!C7)*SIN((DesignSheet!C11+1)*(A312+DesignSheet!C16)) - (DesignSheet!C6/2)*SIN(ATAN( SIN(DesignSheet!C11*(A312+DesignSheet!C16)) / ( COS(DesignSheet!C11*(A312+DesignSheet!C16)) + (DesignSheet!C11*DesignSheet!C13)/(DesignSheet!C7*(DesignSheet!C11+1)) ) )+(A312+DesignSheet!C16))</f>
        <v>-0.44024218339064719</v>
      </c>
    </row>
    <row r="313" spans="1:3" x14ac:dyDescent="0.3">
      <c r="A313" s="6">
        <f>2*PI()*311/(DesignSheet!C9-1)</f>
        <v>5.4279739737023647</v>
      </c>
      <c r="B313" s="6">
        <f>(DesignSheet!C11*DesignSheet!C13)*COS((A313+DesignSheet!C16)) + (DesignSheet!C7)*COS((DesignSheet!C11+1)*(A313+DesignSheet!C16)) - (DesignSheet!C6/2)*COS(ATAN( SIN(DesignSheet!C11*(A313+DesignSheet!C16)) / ( COS(DesignSheet!C11*(A313+DesignSheet!C16)) + (DesignSheet!C11*DesignSheet!C13)/(DesignSheet!C7*(DesignSheet!C11+1)) ) )+(A313+DesignSheet!C16))</f>
        <v>-0.59942010184041339</v>
      </c>
      <c r="C313" s="6">
        <f>(DesignSheet!C11*DesignSheet!C13)*SIN((A313+DesignSheet!C16)) + (DesignSheet!C7)*SIN((DesignSheet!C11+1)*(A313+DesignSheet!C16)) - (DesignSheet!C6/2)*SIN(ATAN( SIN(DesignSheet!C11*(A313+DesignSheet!C16)) / ( COS(DesignSheet!C11*(A313+DesignSheet!C16)) + (DesignSheet!C11*DesignSheet!C13)/(DesignSheet!C7*(DesignSheet!C11+1)) ) )+(A313+DesignSheet!C16))</f>
        <v>-0.45077216141819187</v>
      </c>
    </row>
    <row r="314" spans="1:3" x14ac:dyDescent="0.3">
      <c r="A314" s="6">
        <f>2*PI()*312/(DesignSheet!C9-1)</f>
        <v>5.4454272662223078</v>
      </c>
      <c r="B314" s="6">
        <f>(DesignSheet!C11*DesignSheet!C13)*COS((A314+DesignSheet!C16)) + (DesignSheet!C7)*COS((DesignSheet!C11+1)*(A314+DesignSheet!C16)) - (DesignSheet!C6/2)*COS(ATAN( SIN(DesignSheet!C11*(A314+DesignSheet!C16)) / ( COS(DesignSheet!C11*(A314+DesignSheet!C16)) + (DesignSheet!C11*DesignSheet!C13)/(DesignSheet!C7*(DesignSheet!C11+1)) ) )+(A314+DesignSheet!C16))</f>
        <v>-0.59146174828386378</v>
      </c>
      <c r="C314" s="6">
        <f>(DesignSheet!C11*DesignSheet!C13)*SIN((A314+DesignSheet!C16)) + (DesignSheet!C7)*SIN((DesignSheet!C11+1)*(A314+DesignSheet!C16)) - (DesignSheet!C6/2)*SIN(ATAN( SIN(DesignSheet!C11*(A314+DesignSheet!C16)) / ( COS(DesignSheet!C11*(A314+DesignSheet!C16)) + (DesignSheet!C11*DesignSheet!C13)/(DesignSheet!C7*(DesignSheet!C11+1)) ) )+(A314+DesignSheet!C16))</f>
        <v>-0.46116482987864049</v>
      </c>
    </row>
    <row r="315" spans="1:3" x14ac:dyDescent="0.3">
      <c r="A315" s="6">
        <f>2*PI()*313/(DesignSheet!C9-1)</f>
        <v>5.4628805587422509</v>
      </c>
      <c r="B315" s="6">
        <f>(DesignSheet!C11*DesignSheet!C13)*COS((A315+DesignSheet!C16)) + (DesignSheet!C7)*COS((DesignSheet!C11+1)*(A315+DesignSheet!C16)) - (DesignSheet!C6/2)*COS(ATAN( SIN(DesignSheet!C11*(A315+DesignSheet!C16)) / ( COS(DesignSheet!C11*(A315+DesignSheet!C16)) + (DesignSheet!C11*DesignSheet!C13)/(DesignSheet!C7*(DesignSheet!C11+1)) ) )+(A315+DesignSheet!C16))</f>
        <v>-0.58332322974916817</v>
      </c>
      <c r="C315" s="6">
        <f>(DesignSheet!C11*DesignSheet!C13)*SIN((A315+DesignSheet!C16)) + (DesignSheet!C7)*SIN((DesignSheet!C11+1)*(A315+DesignSheet!C16)) - (DesignSheet!C6/2)*SIN(ATAN( SIN(DesignSheet!C11*(A315+DesignSheet!C16)) / ( COS(DesignSheet!C11*(A315+DesignSheet!C16)) + (DesignSheet!C11*DesignSheet!C13)/(DesignSheet!C7*(DesignSheet!C11+1)) ) )+(A315+DesignSheet!C16))</f>
        <v>-0.47141702306450417</v>
      </c>
    </row>
    <row r="316" spans="1:3" x14ac:dyDescent="0.3">
      <c r="A316" s="6">
        <f>2*PI()*314/(DesignSheet!C9-1)</f>
        <v>5.480333851262194</v>
      </c>
      <c r="B316" s="6">
        <f>(DesignSheet!C11*DesignSheet!C13)*COS((A316+DesignSheet!C16)) + (DesignSheet!C7)*COS((DesignSheet!C11+1)*(A316+DesignSheet!C16)) - (DesignSheet!C6/2)*COS(ATAN( SIN(DesignSheet!C11*(A316+DesignSheet!C16)) / ( COS(DesignSheet!C11*(A316+DesignSheet!C16)) + (DesignSheet!C11*DesignSheet!C13)/(DesignSheet!C7*(DesignSheet!C11+1)) ) )+(A316+DesignSheet!C16))</f>
        <v>-0.57500702530791192</v>
      </c>
      <c r="C316" s="6">
        <f>(DesignSheet!C11*DesignSheet!C13)*SIN((A316+DesignSheet!C16)) + (DesignSheet!C7)*SIN((DesignSheet!C11+1)*(A316+DesignSheet!C16)) - (DesignSheet!C6/2)*SIN(ATAN( SIN(DesignSheet!C11*(A316+DesignSheet!C16)) / ( COS(DesignSheet!C11*(A316+DesignSheet!C16)) + (DesignSheet!C11*DesignSheet!C13)/(DesignSheet!C7*(DesignSheet!C11+1)) ) )+(A316+DesignSheet!C16))</f>
        <v>-0.48152561805842309</v>
      </c>
    </row>
    <row r="317" spans="1:3" x14ac:dyDescent="0.3">
      <c r="A317" s="6">
        <f>2*PI()*315/(DesignSheet!C9-1)</f>
        <v>5.497787143782138</v>
      </c>
      <c r="B317" s="6">
        <f>(DesignSheet!C11*DesignSheet!C13)*COS((A317+DesignSheet!C16)) + (DesignSheet!C7)*COS((DesignSheet!C11+1)*(A317+DesignSheet!C16)) - (DesignSheet!C6/2)*COS(ATAN( SIN(DesignSheet!C11*(A317+DesignSheet!C16)) / ( COS(DesignSheet!C11*(A317+DesignSheet!C16)) + (DesignSheet!C11*DesignSheet!C13)/(DesignSheet!C7*(DesignSheet!C11+1)) ) )+(A317+DesignSheet!C16))</f>
        <v>-0.56651566815652832</v>
      </c>
      <c r="C317" s="6">
        <f>(DesignSheet!C11*DesignSheet!C13)*SIN((A317+DesignSheet!C16)) + (DesignSheet!C7)*SIN((DesignSheet!C11+1)*(A317+DesignSheet!C16)) - (DesignSheet!C6/2)*SIN(ATAN( SIN(DesignSheet!C11*(A317+DesignSheet!C16)) / ( COS(DesignSheet!C11*(A317+DesignSheet!C16)) + (DesignSheet!C11*DesignSheet!C13)/(DesignSheet!C7*(DesignSheet!C11+1)) ) )+(A317+DesignSheet!C16))</f>
        <v>-0.49148753568443848</v>
      </c>
    </row>
    <row r="318" spans="1:3" x14ac:dyDescent="0.3">
      <c r="A318" s="6">
        <f>2*PI()*316/(DesignSheet!C9-1)</f>
        <v>5.5152404363020811</v>
      </c>
      <c r="B318" s="6">
        <f>(DesignSheet!C11*DesignSheet!C13)*COS((A318+DesignSheet!C16)) + (DesignSheet!C7)*COS((DesignSheet!C11+1)*(A318+DesignSheet!C16)) - (DesignSheet!C6/2)*COS(ATAN( SIN(DesignSheet!C11*(A318+DesignSheet!C16)) / ( COS(DesignSheet!C11*(A318+DesignSheet!C16)) + (DesignSheet!C11*DesignSheet!C13)/(DesignSheet!C7*(DesignSheet!C11+1)) ) )+(A318+DesignSheet!C16))</f>
        <v>-0.55785174484466427</v>
      </c>
      <c r="C318" s="6">
        <f>(DesignSheet!C11*DesignSheet!C13)*SIN((A318+DesignSheet!C16)) + (DesignSheet!C7)*SIN((DesignSheet!C11+1)*(A318+DesignSheet!C16)) - (DesignSheet!C6/2)*SIN(ATAN( SIN(DesignSheet!C11*(A318+DesignSheet!C16)) / ( COS(DesignSheet!C11*(A318+DesignSheet!C16)) + (DesignSheet!C11*DesignSheet!C13)/(DesignSheet!C7*(DesignSheet!C11+1)) ) )+(A318+DesignSheet!C16))</f>
        <v>-0.50129974144593736</v>
      </c>
    </row>
    <row r="319" spans="1:3" x14ac:dyDescent="0.3">
      <c r="A319" s="6">
        <f>2*PI()*317/(DesignSheet!C9-1)</f>
        <v>5.532693728822025</v>
      </c>
      <c r="B319" s="6">
        <f>(DesignSheet!C11*DesignSheet!C13)*COS((A319+DesignSheet!C16)) + (DesignSheet!C7)*COS((DesignSheet!C11+1)*(A319+DesignSheet!C16)) - (DesignSheet!C6/2)*COS(ATAN( SIN(DesignSheet!C11*(A319+DesignSheet!C16)) / ( COS(DesignSheet!C11*(A319+DesignSheet!C16)) + (DesignSheet!C11*DesignSheet!C13)/(DesignSheet!C7*(DesignSheet!C11+1)) ) )+(A319+DesignSheet!C16))</f>
        <v>-0.54901789448728888</v>
      </c>
      <c r="C319" s="6">
        <f>(DesignSheet!C11*DesignSheet!C13)*SIN((A319+DesignSheet!C16)) + (DesignSheet!C7)*SIN((DesignSheet!C11+1)*(A319+DesignSheet!C16)) - (DesignSheet!C6/2)*SIN(ATAN( SIN(DesignSheet!C11*(A319+DesignSheet!C16)) / ( COS(DesignSheet!C11*(A319+DesignSheet!C16)) + (DesignSheet!C11*DesignSheet!C13)/(DesignSheet!C7*(DesignSheet!C11+1)) ) )+(A319+DesignSheet!C16))</f>
        <v>-0.51095924644999258</v>
      </c>
    </row>
    <row r="320" spans="1:3" x14ac:dyDescent="0.3">
      <c r="A320" s="6">
        <f>2*PI()*318/(DesignSheet!C9-1)</f>
        <v>5.5501470213419681</v>
      </c>
      <c r="B320" s="6">
        <f>(DesignSheet!C11*DesignSheet!C13)*COS((A320+DesignSheet!C16)) + (DesignSheet!C7)*COS((DesignSheet!C11+1)*(A320+DesignSheet!C16)) - (DesignSheet!C6/2)*COS(ATAN( SIN(DesignSheet!C11*(A320+DesignSheet!C16)) / ( COS(DesignSheet!C11*(A320+DesignSheet!C16)) + (DesignSheet!C11*DesignSheet!C13)/(DesignSheet!C7*(DesignSheet!C11+1)) ) )+(A320+DesignSheet!C16))</f>
        <v>-0.54001680796079721</v>
      </c>
      <c r="C320" s="6">
        <f>(DesignSheet!C11*DesignSheet!C13)*SIN((A320+DesignSheet!C16)) + (DesignSheet!C7)*SIN((DesignSheet!C11+1)*(A320+DesignSheet!C16)) - (DesignSheet!C6/2)*SIN(ATAN( SIN(DesignSheet!C11*(A320+DesignSheet!C16)) / ( COS(DesignSheet!C11*(A320+DesignSheet!C16)) + (DesignSheet!C11*DesignSheet!C13)/(DesignSheet!C7*(DesignSheet!C11+1)) ) )+(A320+DesignSheet!C16))</f>
        <v>-0.52046310831780518</v>
      </c>
    </row>
    <row r="321" spans="1:3" x14ac:dyDescent="0.3">
      <c r="A321" s="6">
        <f>2*PI()*319/(DesignSheet!C9-1)</f>
        <v>5.5676003138619112</v>
      </c>
      <c r="B321" s="6">
        <f>(DesignSheet!C11*DesignSheet!C13)*COS((A321+DesignSheet!C16)) + (DesignSheet!C7)*COS((DesignSheet!C11+1)*(A321+DesignSheet!C16)) - (DesignSheet!C6/2)*COS(ATAN( SIN(DesignSheet!C11*(A321+DesignSheet!C16)) / ( COS(DesignSheet!C11*(A321+DesignSheet!C16)) + (DesignSheet!C11*DesignSheet!C13)/(DesignSheet!C7*(DesignSheet!C11+1)) ) )+(A321+DesignSheet!C16))</f>
        <v>-0.53085122708334054</v>
      </c>
      <c r="C321" s="6">
        <f>(DesignSheet!C11*DesignSheet!C13)*SIN((A321+DesignSheet!C16)) + (DesignSheet!C7)*SIN((DesignSheet!C11+1)*(A321+DesignSheet!C16)) - (DesignSheet!C6/2)*SIN(ATAN( SIN(DesignSheet!C11*(A321+DesignSheet!C16)) / ( COS(DesignSheet!C11*(A321+DesignSheet!C16)) + (DesignSheet!C11*DesignSheet!C13)/(DesignSheet!C7*(DesignSheet!C11+1)) ) )+(A321+DesignSheet!C16))</f>
        <v>-0.52980843208098483</v>
      </c>
    </row>
    <row r="322" spans="1:3" x14ac:dyDescent="0.3">
      <c r="A322" s="6">
        <f>2*PI()*320/(DesignSheet!C9-1)</f>
        <v>5.5850536063818543</v>
      </c>
      <c r="B322" s="6">
        <f>(DesignSheet!C11*DesignSheet!C13)*COS((A322+DesignSheet!C16)) + (DesignSheet!C7)*COS((DesignSheet!C11+1)*(A322+DesignSheet!C16)) - (DesignSheet!C6/2)*COS(ATAN( SIN(DesignSheet!C11*(A322+DesignSheet!C16)) / ( COS(DesignSheet!C11*(A322+DesignSheet!C16)) + (DesignSheet!C11*DesignSheet!C13)/(DesignSheet!C7*(DesignSheet!C11+1)) ) )+(A322+DesignSheet!C16))</f>
        <v>-0.52152394377964295</v>
      </c>
      <c r="C322" s="6">
        <f>(DesignSheet!C11*DesignSheet!C13)*SIN((A322+DesignSheet!C16)) + (DesignSheet!C7)*SIN((DesignSheet!C11+1)*(A322+DesignSheet!C16)) - (DesignSheet!C6/2)*SIN(ATAN( SIN(DesignSheet!C11*(A322+DesignSheet!C16)) / ( COS(DesignSheet!C11*(A322+DesignSheet!C16)) + (DesignSheet!C11*DesignSheet!C13)/(DesignSheet!C7*(DesignSheet!C11+1)) ) )+(A322+DesignSheet!C16))</f>
        <v>-0.53899237106338327</v>
      </c>
    </row>
    <row r="323" spans="1:3" x14ac:dyDescent="0.3">
      <c r="A323" s="6">
        <f>2*PI()*321/(DesignSheet!C9-1)</f>
        <v>5.6025068989017974</v>
      </c>
      <c r="B323" s="6">
        <f>(DesignSheet!C11*DesignSheet!C13)*COS((A323+DesignSheet!C16)) + (DesignSheet!C7)*COS((DesignSheet!C11+1)*(A323+DesignSheet!C16)) - (DesignSheet!C6/2)*COS(ATAN( SIN(DesignSheet!C11*(A323+DesignSheet!C16)) / ( COS(DesignSheet!C11*(A323+DesignSheet!C16)) + (DesignSheet!C11*DesignSheet!C13)/(DesignSheet!C7*(DesignSheet!C11+1)) ) )+(A323+DesignSheet!C16))</f>
        <v>-0.51203779923055415</v>
      </c>
      <c r="C323" s="6">
        <f>(DesignSheet!C11*DesignSheet!C13)*SIN((A323+DesignSheet!C16)) + (DesignSheet!C7)*SIN((DesignSheet!C11+1)*(A323+DesignSheet!C16)) - (DesignSheet!C6/2)*SIN(ATAN( SIN(DesignSheet!C11*(A323+DesignSheet!C16)) / ( COS(DesignSheet!C11*(A323+DesignSheet!C16)) + (DesignSheet!C11*DesignSheet!C13)/(DesignSheet!C7*(DesignSheet!C11+1)) ) )+(A323+DesignSheet!C16))</f>
        <v>-0.54801212774821939</v>
      </c>
    </row>
    <row r="324" spans="1:3" x14ac:dyDescent="0.3">
      <c r="A324" s="6">
        <f>2*PI()*322/(DesignSheet!C9-1)</f>
        <v>5.6199601914217405</v>
      </c>
      <c r="B324" s="6">
        <f>(DesignSheet!C11*DesignSheet!C13)*COS((A324+DesignSheet!C16)) + (DesignSheet!C7)*COS((DesignSheet!C11+1)*(A324+DesignSheet!C16)) - (DesignSheet!C6/2)*COS(ATAN( SIN(DesignSheet!C11*(A324+DesignSheet!C16)) / ( COS(DesignSheet!C11*(A324+DesignSheet!C16)) + (DesignSheet!C11*DesignSheet!C13)/(DesignSheet!C7*(DesignSheet!C11+1)) ) )+(A324+DesignSheet!C16))</f>
        <v>-0.50239568300759818</v>
      </c>
      <c r="C324" s="6">
        <f>(DesignSheet!C11*DesignSheet!C13)*SIN((A324+DesignSheet!C16)) + (DesignSheet!C7)*SIN((DesignSheet!C11+1)*(A324+DesignSheet!C16)) - (DesignSheet!C6/2)*SIN(ATAN( SIN(DesignSheet!C11*(A324+DesignSheet!C16)) / ( COS(DesignSheet!C11*(A324+DesignSheet!C16)) + (DesignSheet!C11*DesignSheet!C13)/(DesignSheet!C7*(DesignSheet!C11+1)) ) )+(A324+DesignSheet!C16))</f>
        <v>-0.55686495463023067</v>
      </c>
    </row>
    <row r="325" spans="1:3" x14ac:dyDescent="0.3">
      <c r="A325" s="6">
        <f>2*PI()*323/(DesignSheet!C9-1)</f>
        <v>5.6374134839416845</v>
      </c>
      <c r="B325" s="6">
        <f>(DesignSheet!C11*DesignSheet!C13)*COS((A325+DesignSheet!C16)) + (DesignSheet!C7)*COS((DesignSheet!C11+1)*(A325+DesignSheet!C16)) - (DesignSheet!C6/2)*COS(ATAN( SIN(DesignSheet!C11*(A325+DesignSheet!C16)) / ( COS(DesignSheet!C11*(A325+DesignSheet!C16)) + (DesignSheet!C11*DesignSheet!C13)/(DesignSheet!C7*(DesignSheet!C11+1)) ) )+(A325+DesignSheet!C16))</f>
        <v>-0.49260053219278144</v>
      </c>
      <c r="C325" s="6">
        <f>(DesignSheet!C11*DesignSheet!C13)*SIN((A325+DesignSheet!C16)) + (DesignSheet!C7)*SIN((DesignSheet!C11+1)*(A325+DesignSheet!C16)) - (DesignSheet!C6/2)*SIN(ATAN( SIN(DesignSheet!C11*(A325+DesignSheet!C16)) / ( COS(DesignSheet!C11*(A325+DesignSheet!C16)) + (DesignSheet!C11*DesignSheet!C13)/(DesignSheet!C7*(DesignSheet!C11+1)) ) )+(A325+DesignSheet!C16))</f>
        <v>-0.56554815505259004</v>
      </c>
    </row>
    <row r="326" spans="1:3" x14ac:dyDescent="0.3">
      <c r="A326" s="6">
        <f>2*PI()*324/(DesignSheet!C9-1)</f>
        <v>5.6548667764616276</v>
      </c>
      <c r="B326" s="6">
        <f>(DesignSheet!C11*DesignSheet!C13)*COS((A326+DesignSheet!C16)) + (DesignSheet!C7)*COS((DesignSheet!C11+1)*(A326+DesignSheet!C16)) - (DesignSheet!C6/2)*COS(ATAN( SIN(DesignSheet!C11*(A326+DesignSheet!C16)) / ( COS(DesignSheet!C11*(A326+DesignSheet!C16)) + (DesignSheet!C11*DesignSheet!C13)/(DesignSheet!C7*(DesignSheet!C11+1)) ) )+(A326+DesignSheet!C16))</f>
        <v>-0.48265533048393072</v>
      </c>
      <c r="C326" s="6">
        <f>(DesignSheet!C11*DesignSheet!C13)*SIN((A326+DesignSheet!C16)) + (DesignSheet!C7)*SIN((DesignSheet!C11+1)*(A326+DesignSheet!C16)) - (DesignSheet!C6/2)*SIN(ATAN( SIN(DesignSheet!C11*(A326+DesignSheet!C16)) / ( COS(DesignSheet!C11*(A326+DesignSheet!C16)) + (DesignSheet!C11*DesignSheet!C13)/(DesignSheet!C7*(DesignSheet!C11+1)) ) )+(A326+DesignSheet!C16))</f>
        <v>-0.57405908402833217</v>
      </c>
    </row>
    <row r="327" spans="1:3" x14ac:dyDescent="0.3">
      <c r="A327" s="6">
        <f>2*PI()*325/(DesignSheet!C9-1)</f>
        <v>5.6723200689815707</v>
      </c>
      <c r="B327" s="6">
        <f>(DesignSheet!C11*DesignSheet!C13)*COS((A327+DesignSheet!C16)) + (DesignSheet!C7)*COS((DesignSheet!C11+1)*(A327+DesignSheet!C16)) - (DesignSheet!C6/2)*COS(ATAN( SIN(DesignSheet!C11*(A327+DesignSheet!C16)) / ( COS(DesignSheet!C11*(A327+DesignSheet!C16)) + (DesignSheet!C11*DesignSheet!C13)/(DesignSheet!C7*(DesignSheet!C11+1)) ) )+(A327+DesignSheet!C16))</f>
        <v>-0.4725631072858274</v>
      </c>
      <c r="C327" s="6">
        <f>(DesignSheet!C11*DesignSheet!C13)*SIN((A327+DesignSheet!C16)) + (DesignSheet!C7)*SIN((DesignSheet!C11+1)*(A327+DesignSheet!C16)) - (DesignSheet!C6/2)*SIN(ATAN( SIN(DesignSheet!C11*(A327+DesignSheet!C16)) / ( COS(DesignSheet!C11*(A327+DesignSheet!C16)) + (DesignSheet!C11*DesignSheet!C13)/(DesignSheet!C7*(DesignSheet!C11+1)) ) )+(A327+DesignSheet!C16))</f>
        <v>-0.58239514904604373</v>
      </c>
    </row>
    <row r="328" spans="1:3" x14ac:dyDescent="0.3">
      <c r="A328" s="6">
        <f>2*PI()*326/(DesignSheet!C9-1)</f>
        <v>5.6897733615015138</v>
      </c>
      <c r="B328" s="6">
        <f>(DesignSheet!C11*DesignSheet!C13)*COS((A328+DesignSheet!C16)) + (DesignSheet!C7)*COS((DesignSheet!C11+1)*(A328+DesignSheet!C16)) - (DesignSheet!C6/2)*COS(ATAN( SIN(DesignSheet!C11*(A328+DesignSheet!C16)) / ( COS(DesignSheet!C11*(A328+DesignSheet!C16)) + (DesignSheet!C11*DesignSheet!C13)/(DesignSheet!C7*(DesignSheet!C11+1)) ) )+(A328+DesignSheet!C16))</f>
        <v>-0.4623269367874232</v>
      </c>
      <c r="C328" s="6">
        <f>(DesignSheet!C11*DesignSheet!C13)*SIN((A328+DesignSheet!C16)) + (DesignSheet!C7)*SIN((DesignSheet!C11+1)*(A328+DesignSheet!C16)) - (DesignSheet!C6/2)*SIN(ATAN( SIN(DesignSheet!C11*(A328+DesignSheet!C16)) / ( COS(DesignSheet!C11*(A328+DesignSheet!C16)) + (DesignSheet!C11*DesignSheet!C13)/(DesignSheet!C7*(DesignSheet!C11+1)) ) )+(A328+DesignSheet!C16))</f>
        <v>-0.5905538108595676</v>
      </c>
    </row>
    <row r="329" spans="1:3" x14ac:dyDescent="0.3">
      <c r="A329" s="6">
        <f>2*PI()*327/(DesignSheet!C9-1)</f>
        <v>5.7072266540214578</v>
      </c>
      <c r="B329" s="6">
        <f>(DesignSheet!C11*DesignSheet!C13)*COS((A329+DesignSheet!C16)) + (DesignSheet!C7)*COS((DesignSheet!C11+1)*(A329+DesignSheet!C16)) - (DesignSheet!C6/2)*COS(ATAN( SIN(DesignSheet!C11*(A329+DesignSheet!C16)) / ( COS(DesignSheet!C11*(A329+DesignSheet!C16)) + (DesignSheet!C11*DesignSheet!C13)/(DesignSheet!C7*(DesignSheet!C11+1)) ) )+(A329+DesignSheet!C16))</f>
        <v>-0.45194993702541142</v>
      </c>
      <c r="C329" s="6">
        <f>(DesignSheet!C11*DesignSheet!C13)*SIN((A329+DesignSheet!C16)) + (DesignSheet!C7)*SIN((DesignSheet!C11+1)*(A329+DesignSheet!C16)) - (DesignSheet!C6/2)*SIN(ATAN( SIN(DesignSheet!C11*(A329+DesignSheet!C16)) / ( COS(DesignSheet!C11*(A329+DesignSheet!C16)) + (DesignSheet!C11*DesignSheet!C13)/(DesignSheet!C7*(DesignSheet!C11+1)) ) )+(A329+DesignSheet!C16))</f>
        <v>-0.59853258426148082</v>
      </c>
    </row>
    <row r="330" spans="1:3" x14ac:dyDescent="0.3">
      <c r="A330" s="6">
        <f>2*PI()*328/(DesignSheet!C9-1)</f>
        <v>5.7246799465414</v>
      </c>
      <c r="B330" s="6">
        <f>(DesignSheet!C11*DesignSheet!C13)*COS((A330+DesignSheet!C16)) + (DesignSheet!C7)*COS((DesignSheet!C11+1)*(A330+DesignSheet!C16)) - (DesignSheet!C6/2)*COS(ATAN( SIN(DesignSheet!C11*(A330+DesignSheet!C16)) / ( COS(DesignSheet!C11*(A330+DesignSheet!C16)) + (DesignSheet!C11*DesignSheet!C13)/(DesignSheet!C7*(DesignSheet!C11+1)) ) )+(A330+DesignSheet!C16))</f>
        <v>-0.44143526893444546</v>
      </c>
      <c r="C330" s="6">
        <f>(DesignSheet!C11*DesignSheet!C13)*SIN((A330+DesignSheet!C16)) + (DesignSheet!C7)*SIN((DesignSheet!C11+1)*(A330+DesignSheet!C16)) - (DesignSheet!C6/2)*SIN(ATAN( SIN(DesignSheet!C11*(A330+DesignSheet!C16)) / ( COS(DesignSheet!C11*(A330+DesignSheet!C16)) + (DesignSheet!C11*DesignSheet!C13)/(DesignSheet!C7*(DesignSheet!C11+1)) ) )+(A330+DesignSheet!C16))</f>
        <v>-0.60632903884011191</v>
      </c>
    </row>
    <row r="331" spans="1:3" x14ac:dyDescent="0.3">
      <c r="A331" s="6">
        <f>2*PI()*329/(DesignSheet!C9-1)</f>
        <v>5.742133239061344</v>
      </c>
      <c r="B331" s="6">
        <f>(DesignSheet!C11*DesignSheet!C13)*COS((A331+DesignSheet!C16)) + (DesignSheet!C7)*COS((DesignSheet!C11+1)*(A331+DesignSheet!C16)) - (DesignSheet!C6/2)*COS(ATAN( SIN(DesignSheet!C11*(A331+DesignSheet!C16)) / ( COS(DesignSheet!C11*(A331+DesignSheet!C16)) + (DesignSheet!C11*DesignSheet!C13)/(DesignSheet!C7*(DesignSheet!C11+1)) ) )+(A331+DesignSheet!C16))</f>
        <v>-0.43078613538428151</v>
      </c>
      <c r="C331" s="6">
        <f>(DesignSheet!C11*DesignSheet!C13)*SIN((A331+DesignSheet!C16)) + (DesignSheet!C7)*SIN((DesignSheet!C11+1)*(A331+DesignSheet!C16)) - (DesignSheet!C6/2)*SIN(ATAN( SIN(DesignSheet!C11*(A331+DesignSheet!C16)) / ( COS(DesignSheet!C11*(A331+DesignSheet!C16)) + (DesignSheet!C11*DesignSheet!C13)/(DesignSheet!C7*(DesignSheet!C11+1)) ) )+(A331+DesignSheet!C16))</f>
        <v>-0.61394079971987159</v>
      </c>
    </row>
    <row r="332" spans="1:3" x14ac:dyDescent="0.3">
      <c r="A332" s="6">
        <f>2*PI()*330/(DesignSheet!C9-1)</f>
        <v>5.7595865315812871</v>
      </c>
      <c r="B332" s="6">
        <f>(DesignSheet!C11*DesignSheet!C13)*COS((A332+DesignSheet!C16)) + (DesignSheet!C7)*COS((DesignSheet!C11+1)*(A332+DesignSheet!C16)) - (DesignSheet!C6/2)*COS(ATAN( SIN(DesignSheet!C11*(A332+DesignSheet!C16)) / ( COS(DesignSheet!C11*(A332+DesignSheet!C16)) + (DesignSheet!C11*DesignSheet!C13)/(DesignSheet!C7*(DesignSheet!C11+1)) ) )+(A332+DesignSheet!C16))</f>
        <v>-0.42000578020416102</v>
      </c>
      <c r="C332" s="6">
        <f>(DesignSheet!C11*DesignSheet!C13)*SIN((A332+DesignSheet!C16)) + (DesignSheet!C7)*SIN((DesignSheet!C11+1)*(A332+DesignSheet!C16)) - (DesignSheet!C6/2)*SIN(ATAN( SIN(DesignSheet!C11*(A332+DesignSheet!C16)) / ( COS(DesignSheet!C11*(A332+DesignSheet!C16)) + (DesignSheet!C11*DesignSheet!C13)/(DesignSheet!C7*(DesignSheet!C11+1)) ) )+(A332+DesignSheet!C16))</f>
        <v>-0.62136554828465829</v>
      </c>
    </row>
    <row r="333" spans="1:3" x14ac:dyDescent="0.3">
      <c r="A333" s="6">
        <f>2*PI()*331/(DesignSheet!C9-1)</f>
        <v>5.7770398241012311</v>
      </c>
      <c r="B333" s="6">
        <f>(DesignSheet!C11*DesignSheet!C13)*COS((A333+DesignSheet!C16)) + (DesignSheet!C7)*COS((DesignSheet!C11+1)*(A333+DesignSheet!C16)) - (DesignSheet!C6/2)*COS(ATAN( SIN(DesignSheet!C11*(A333+DesignSheet!C16)) / ( COS(DesignSheet!C11*(A333+DesignSheet!C16)) + (DesignSheet!C11*DesignSheet!C13)/(DesignSheet!C7*(DesignSheet!C11+1)) ) )+(A333+DesignSheet!C16))</f>
        <v>-0.4090974871947024</v>
      </c>
      <c r="C333" s="6">
        <f>(DesignSheet!C11*DesignSheet!C13)*SIN((A333+DesignSheet!C16)) + (DesignSheet!C7)*SIN((DesignSheet!C11+1)*(A333+DesignSheet!C16)) - (DesignSheet!C6/2)*SIN(ATAN( SIN(DesignSheet!C11*(A333+DesignSheet!C16)) / ( COS(DesignSheet!C11*(A333+DesignSheet!C16)) + (DesignSheet!C11*DesignSheet!C13)/(DesignSheet!C7*(DesignSheet!C11+1)) ) )+(A333+DesignSheet!C16))</f>
        <v>-0.62860102288413455</v>
      </c>
    </row>
    <row r="334" spans="1:3" x14ac:dyDescent="0.3">
      <c r="A334" s="6">
        <f>2*PI()*332/(DesignSheet!C9-1)</f>
        <v>5.7944931166211742</v>
      </c>
      <c r="B334" s="6">
        <f>(DesignSheet!C11*DesignSheet!C13)*COS((A334+DesignSheet!C16)) + (DesignSheet!C7)*COS((DesignSheet!C11+1)*(A334+DesignSheet!C16)) - (DesignSheet!C6/2)*COS(ATAN( SIN(DesignSheet!C11*(A334+DesignSheet!C16)) / ( COS(DesignSheet!C11*(A334+DesignSheet!C16)) + (DesignSheet!C11*DesignSheet!C13)/(DesignSheet!C7*(DesignSheet!C11+1)) ) )+(A334+DesignSheet!C16))</f>
        <v>-0.39806457912762849</v>
      </c>
      <c r="C334" s="6">
        <f>(DesignSheet!C11*DesignSheet!C13)*SIN((A334+DesignSheet!C16)) + (DesignSheet!C7)*SIN((DesignSheet!C11+1)*(A334+DesignSheet!C16)) - (DesignSheet!C6/2)*SIN(ATAN( SIN(DesignSheet!C11*(A334+DesignSheet!C16)) / ( COS(DesignSheet!C11*(A334+DesignSheet!C16)) + (DesignSheet!C11*DesignSheet!C13)/(DesignSheet!C7*(DesignSheet!C11+1)) ) )+(A334+DesignSheet!C16))</f>
        <v>-0.63564501952264518</v>
      </c>
    </row>
    <row r="335" spans="1:3" x14ac:dyDescent="0.3">
      <c r="A335" s="6">
        <f>2*PI()*333/(DesignSheet!C9-1)</f>
        <v>5.8119464091411173</v>
      </c>
      <c r="B335" s="6">
        <f>(DesignSheet!C11*DesignSheet!C13)*COS((A335+DesignSheet!C16)) + (DesignSheet!C7)*COS((DesignSheet!C11+1)*(A335+DesignSheet!C16)) - (DesignSheet!C6/2)*COS(ATAN( SIN(DesignSheet!C11*(A335+DesignSheet!C16)) / ( COS(DesignSheet!C11*(A335+DesignSheet!C16)) + (DesignSheet!C11*DesignSheet!C13)/(DesignSheet!C7*(DesignSheet!C11+1)) ) )+(A335+DesignSheet!C16))</f>
        <v>-0.3869104167336142</v>
      </c>
      <c r="C335" s="6">
        <f>(DesignSheet!C11*DesignSheet!C13)*SIN((A335+DesignSheet!C16)) + (DesignSheet!C7)*SIN((DesignSheet!C11+1)*(A335+DesignSheet!C16)) - (DesignSheet!C6/2)*SIN(ATAN( SIN(DesignSheet!C11*(A335+DesignSheet!C16)) / ( COS(DesignSheet!C11*(A335+DesignSheet!C16)) + (DesignSheet!C11*DesignSheet!C13)/(DesignSheet!C7*(DesignSheet!C11+1)) ) )+(A335+DesignSheet!C16))</f>
        <v>-0.64249539253057764</v>
      </c>
    </row>
    <row r="336" spans="1:3" x14ac:dyDescent="0.3">
      <c r="A336" s="6">
        <f>2*PI()*334/(DesignSheet!C9-1)</f>
        <v>5.8293997016610613</v>
      </c>
      <c r="B336" s="6">
        <f>(DesignSheet!C11*DesignSheet!C13)*COS((A336+DesignSheet!C16)) + (DesignSheet!C7)*COS((DesignSheet!C11+1)*(A336+DesignSheet!C16)) - (DesignSheet!C6/2)*COS(ATAN( SIN(DesignSheet!C11*(A336+DesignSheet!C16)) / ( COS(DesignSheet!C11*(A336+DesignSheet!C16)) + (DesignSheet!C11*DesignSheet!C13)/(DesignSheet!C7*(DesignSheet!C11+1)) ) )+(A336+DesignSheet!C16))</f>
        <v>-0.37563839767857687</v>
      </c>
      <c r="C336" s="6">
        <f>(DesignSheet!C11*DesignSheet!C13)*SIN((A336+DesignSheet!C16)) + (DesignSheet!C7)*SIN((DesignSheet!C11+1)*(A336+DesignSheet!C16)) - (DesignSheet!C6/2)*SIN(ATAN( SIN(DesignSheet!C11*(A336+DesignSheet!C16)) / ( COS(DesignSheet!C11*(A336+DesignSheet!C16)) + (DesignSheet!C11*DesignSheet!C13)/(DesignSheet!C7*(DesignSheet!C11+1)) ) )+(A336+DesignSheet!C16))</f>
        <v>-0.64915005521795288</v>
      </c>
    </row>
    <row r="337" spans="1:3" x14ac:dyDescent="0.3">
      <c r="A337" s="6">
        <f>2*PI()*335/(DesignSheet!C9-1)</f>
        <v>5.8468529941810035</v>
      </c>
      <c r="B337" s="6">
        <f>(DesignSheet!C11*DesignSheet!C13)*COS((A337+DesignSheet!C16)) + (DesignSheet!C7)*COS((DesignSheet!C11+1)*(A337+DesignSheet!C16)) - (DesignSheet!C6/2)*COS(ATAN( SIN(DesignSheet!C11*(A337+DesignSheet!C16)) / ( COS(DesignSheet!C11*(A337+DesignSheet!C16)) + (DesignSheet!C11*DesignSheet!C13)/(DesignSheet!C7*(DesignSheet!C11+1)) ) )+(A337+DesignSheet!C16))</f>
        <v>-0.36425195552871703</v>
      </c>
      <c r="C337" s="6">
        <f>(DesignSheet!C11*DesignSheet!C13)*SIN((A337+DesignSheet!C16)) + (DesignSheet!C7)*SIN((DesignSheet!C11+1)*(A337+DesignSheet!C16)) - (DesignSheet!C6/2)*SIN(ATAN( SIN(DesignSheet!C11*(A337+DesignSheet!C16)) / ( COS(DesignSheet!C11*(A337+DesignSheet!C16)) + (DesignSheet!C11*DesignSheet!C13)/(DesignSheet!C7*(DesignSheet!C11+1)) ) )+(A337+DesignSheet!C16))</f>
        <v>-0.6556069805100504</v>
      </c>
    </row>
    <row r="338" spans="1:3" x14ac:dyDescent="0.3">
      <c r="A338" s="6">
        <f>2*PI()*336/(DesignSheet!C9-1)</f>
        <v>5.8643062867009474</v>
      </c>
      <c r="B338" s="6">
        <f>(DesignSheet!C11*DesignSheet!C13)*COS((A338+DesignSheet!C16)) + (DesignSheet!C7)*COS((DesignSheet!C11+1)*(A338+DesignSheet!C16)) - (DesignSheet!C6/2)*COS(ATAN( SIN(DesignSheet!C11*(A338+DesignSheet!C16)) / ( COS(DesignSheet!C11*(A338+DesignSheet!C16)) + (DesignSheet!C11*DesignSheet!C13)/(DesignSheet!C7*(DesignSheet!C11+1)) ) )+(A338+DesignSheet!C16))</f>
        <v>-0.35275455870461397</v>
      </c>
      <c r="C338" s="6">
        <f>(DesignSheet!C11*DesignSheet!C13)*SIN((A338+DesignSheet!C16)) + (DesignSheet!C7)*SIN((DesignSheet!C11+1)*(A338+DesignSheet!C16)) - (DesignSheet!C6/2)*SIN(ATAN( SIN(DesignSheet!C11*(A338+DesignSheet!C16)) / ( COS(DesignSheet!C11*(A338+DesignSheet!C16)) + (DesignSheet!C11*DesignSheet!C13)/(DesignSheet!C7*(DesignSheet!C11+1)) ) )+(A338+DesignSheet!C16))</f>
        <v>-0.66186420156487769</v>
      </c>
    </row>
    <row r="339" spans="1:3" x14ac:dyDescent="0.3">
      <c r="A339" s="6">
        <f>2*PI()*337/(DesignSheet!C9-1)</f>
        <v>5.8817595792208897</v>
      </c>
      <c r="B339" s="6">
        <f>(DesignSheet!C11*DesignSheet!C13)*COS((A339+DesignSheet!C16)) + (DesignSheet!C7)*COS((DesignSheet!C11+1)*(A339+DesignSheet!C16)) - (DesignSheet!C6/2)*COS(ATAN( SIN(DesignSheet!C11*(A339+DesignSheet!C16)) / ( COS(DesignSheet!C11*(A339+DesignSheet!C16)) + (DesignSheet!C11*DesignSheet!C13)/(DesignSheet!C7*(DesignSheet!C11+1)) ) )+(A339+DesignSheet!C16))</f>
        <v>-0.3411497094247205</v>
      </c>
      <c r="C339" s="6">
        <f>(DesignSheet!C11*DesignSheet!C13)*SIN((A339+DesignSheet!C16)) + (DesignSheet!C7)*SIN((DesignSheet!C11+1)*(A339+DesignSheet!C16)) - (DesignSheet!C6/2)*SIN(ATAN( SIN(DesignSheet!C11*(A339+DesignSheet!C16)) / ( COS(DesignSheet!C11*(A339+DesignSheet!C16)) + (DesignSheet!C11*DesignSheet!C13)/(DesignSheet!C7*(DesignSheet!C11+1)) ) )+(A339+DesignSheet!C16))</f>
        <v>-0.66791981237228526</v>
      </c>
    </row>
    <row r="340" spans="1:3" x14ac:dyDescent="0.3">
      <c r="A340" s="6">
        <f>2*PI()*338/(DesignSheet!C9-1)</f>
        <v>5.8992128717408336</v>
      </c>
      <c r="B340" s="6">
        <f>(DesignSheet!C11*DesignSheet!C13)*COS((A340+DesignSheet!C16)) + (DesignSheet!C7)*COS((DesignSheet!C11+1)*(A340+DesignSheet!C16)) - (DesignSheet!C6/2)*COS(ATAN( SIN(DesignSheet!C11*(A340+DesignSheet!C16)) / ( COS(DesignSheet!C11*(A340+DesignSheet!C16)) + (DesignSheet!C11*DesignSheet!C13)/(DesignSheet!C7*(DesignSheet!C11+1)) ) )+(A340+DesignSheet!C16))</f>
        <v>-0.32944094263854368</v>
      </c>
      <c r="C340" s="6">
        <f>(DesignSheet!C11*DesignSheet!C13)*SIN((A340+DesignSheet!C16)) + (DesignSheet!C7)*SIN((DesignSheet!C11+1)*(A340+DesignSheet!C16)) - (DesignSheet!C6/2)*SIN(ATAN( SIN(DesignSheet!C11*(A340+DesignSheet!C16)) / ( COS(DesignSheet!C11*(A340+DesignSheet!C16)) + (DesignSheet!C11*DesignSheet!C13)/(DesignSheet!C7*(DesignSheet!C11+1)) ) )+(A340+DesignSheet!C16))</f>
        <v>-0.67377196833456032</v>
      </c>
    </row>
    <row r="341" spans="1:3" x14ac:dyDescent="0.3">
      <c r="A341" s="6">
        <f>2*PI()*339/(DesignSheet!C9-1)</f>
        <v>5.9166661642607767</v>
      </c>
      <c r="B341" s="6">
        <f>(DesignSheet!C11*DesignSheet!C13)*COS((A341+DesignSheet!C16)) + (DesignSheet!C7)*COS((DesignSheet!C11+1)*(A341+DesignSheet!C16)) - (DesignSheet!C6/2)*COS(ATAN( SIN(DesignSheet!C11*(A341+DesignSheet!C16)) / ( COS(DesignSheet!C11*(A341+DesignSheet!C16)) + (DesignSheet!C11*DesignSheet!C13)/(DesignSheet!C7*(DesignSheet!C11+1)) ) )+(A341+DesignSheet!C16))</f>
        <v>-0.31763182494987363</v>
      </c>
      <c r="C341" s="6">
        <f>(DesignSheet!C11*DesignSheet!C13)*SIN((A341+DesignSheet!C16)) + (DesignSheet!C7)*SIN((DesignSheet!C11+1)*(A341+DesignSheet!C16)) - (DesignSheet!C6/2)*SIN(ATAN( SIN(DesignSheet!C11*(A341+DesignSheet!C16)) / ( COS(DesignSheet!C11*(A341+DesignSheet!C16)) + (DesignSheet!C11*DesignSheet!C13)/(DesignSheet!C7*(DesignSheet!C11+1)) ) )+(A341+DesignSheet!C16))</f>
        <v>-0.67941888682830476</v>
      </c>
    </row>
    <row r="342" spans="1:3" x14ac:dyDescent="0.3">
      <c r="A342" s="6">
        <f>2*PI()*340/(DesignSheet!C9-1)</f>
        <v>5.9341194567807207</v>
      </c>
      <c r="B342" s="6">
        <f>(DesignSheet!C11*DesignSheet!C13)*COS((A342+DesignSheet!C16)) + (DesignSheet!C7)*COS((DesignSheet!C11+1)*(A342+DesignSheet!C16)) - (DesignSheet!C6/2)*COS(ATAN( SIN(DesignSheet!C11*(A342+DesignSheet!C16)) / ( COS(DesignSheet!C11*(A342+DesignSheet!C16)) + (DesignSheet!C11*DesignSheet!C13)/(DesignSheet!C7*(DesignSheet!C11+1)) ) )+(A342+DesignSheet!C16))</f>
        <v>-0.3057259535303547</v>
      </c>
      <c r="C342" s="6">
        <f>(DesignSheet!C11*DesignSheet!C13)*SIN((A342+DesignSheet!C16)) + (DesignSheet!C7)*SIN((DesignSheet!C11+1)*(A342+DesignSheet!C16)) - (DesignSheet!C6/2)*SIN(ATAN( SIN(DesignSheet!C11*(A342+DesignSheet!C16)) / ( COS(DesignSheet!C11*(A342+DesignSheet!C16)) + (DesignSheet!C11*DesignSheet!C13)/(DesignSheet!C7*(DesignSheet!C11+1)) ) )+(A342+DesignSheet!C16))</f>
        <v>-0.6848588477474431</v>
      </c>
    </row>
    <row r="343" spans="1:3" x14ac:dyDescent="0.3">
      <c r="A343" s="6">
        <f>2*PI()*341/(DesignSheet!C9-1)</f>
        <v>5.9515727493006629</v>
      </c>
      <c r="B343" s="6">
        <f>(DesignSheet!C11*DesignSheet!C13)*COS((A343+DesignSheet!C16)) + (DesignSheet!C7)*COS((DesignSheet!C11+1)*(A343+DesignSheet!C16)) - (DesignSheet!C6/2)*COS(ATAN( SIN(DesignSheet!C11*(A343+DesignSheet!C16)) / ( COS(DesignSheet!C11*(A343+DesignSheet!C16)) + (DesignSheet!C11*DesignSheet!C13)/(DesignSheet!C7*(DesignSheet!C11+1)) ) )+(A343+DesignSheet!C16))</f>
        <v>-0.29372695502375784</v>
      </c>
      <c r="C343" s="6">
        <f>(DesignSheet!C11*DesignSheet!C13)*SIN((A343+DesignSheet!C16)) + (DesignSheet!C7)*SIN((DesignSheet!C11+1)*(A343+DesignSheet!C16)) - (DesignSheet!C6/2)*SIN(ATAN( SIN(DesignSheet!C11*(A343+DesignSheet!C16)) / ( COS(DesignSheet!C11*(A343+DesignSheet!C16)) + (DesignSheet!C11*DesignSheet!C13)/(DesignSheet!C7*(DesignSheet!C11+1)) ) )+(A343+DesignSheet!C16))</f>
        <v>-0.6900901940271803</v>
      </c>
    </row>
    <row r="344" spans="1:3" x14ac:dyDescent="0.3">
      <c r="A344" s="6">
        <f>2*PI()*342/(DesignSheet!C9-1)</f>
        <v>5.9690260418206069</v>
      </c>
      <c r="B344" s="6">
        <f>(DesignSheet!C11*DesignSheet!C13)*COS((A344+DesignSheet!C16)) + (DesignSheet!C7)*COS((DesignSheet!C11+1)*(A344+DesignSheet!C16)) - (DesignSheet!C6/2)*COS(ATAN( SIN(DesignSheet!C11*(A344+DesignSheet!C16)) / ( COS(DesignSheet!C11*(A344+DesignSheet!C16)) + (DesignSheet!C11*DesignSheet!C13)/(DesignSheet!C7*(DesignSheet!C11+1)) ) )+(A344+DesignSheet!C16))</f>
        <v>-0.2816384844412626</v>
      </c>
      <c r="C344" s="6">
        <f>(DesignSheet!C11*DesignSheet!C13)*SIN((A344+DesignSheet!C16)) + (DesignSheet!C7)*SIN((DesignSheet!C11+1)*(A344+DesignSheet!C16)) - (DesignSheet!C6/2)*SIN(ATAN( SIN(DesignSheet!C11*(A344+DesignSheet!C16)) / ( COS(DesignSheet!C11*(A344+DesignSheet!C16)) + (DesignSheet!C11*DesignSheet!C13)/(DesignSheet!C7*(DesignSheet!C11+1)) ) )+(A344+DesignSheet!C16))</f>
        <v>-0.69511133214876364</v>
      </c>
    </row>
    <row r="345" spans="1:3" x14ac:dyDescent="0.3">
      <c r="A345" s="6">
        <f>2*PI()*343/(DesignSheet!C9-1)</f>
        <v>5.9864793343405509</v>
      </c>
      <c r="B345" s="6">
        <f>(DesignSheet!C11*DesignSheet!C13)*COS((A345+DesignSheet!C16)) + (DesignSheet!C7)*COS((DesignSheet!C11+1)*(A345+DesignSheet!C16)) - (DesignSheet!C6/2)*COS(ATAN( SIN(DesignSheet!C11*(A345+DesignSheet!C16)) / ( COS(DesignSheet!C11*(A345+DesignSheet!C16)) + (DesignSheet!C11*DesignSheet!C13)/(DesignSheet!C7*(DesignSheet!C11+1)) ) )+(A345+DesignSheet!C16))</f>
        <v>-0.26946422404811327</v>
      </c>
      <c r="C345" s="6">
        <f>(DesignSheet!C11*DesignSheet!C13)*SIN((A345+DesignSheet!C16)) + (DesignSheet!C7)*SIN((DesignSheet!C11+1)*(A345+DesignSheet!C16)) - (DesignSheet!C6/2)*SIN(ATAN( SIN(DesignSheet!C11*(A345+DesignSheet!C16)) / ( COS(DesignSheet!C11*(A345+DesignSheet!C16)) + (DesignSheet!C11*DesignSheet!C13)/(DesignSheet!C7*(DesignSheet!C11+1)) ) )+(A345+DesignSheet!C16))</f>
        <v>-0.69992073262487953</v>
      </c>
    </row>
    <row r="346" spans="1:3" x14ac:dyDescent="0.3">
      <c r="A346" s="6">
        <f>2*PI()*344/(DesignSheet!C9-1)</f>
        <v>6.0039326268604931</v>
      </c>
      <c r="B346" s="6">
        <f>(DesignSheet!C11*DesignSheet!C13)*COS((A346+DesignSheet!C16)) + (DesignSheet!C7)*COS((DesignSheet!C11+1)*(A346+DesignSheet!C16)) - (DesignSheet!C6/2)*COS(ATAN( SIN(DesignSheet!C11*(A346+DesignSheet!C16)) / ( COS(DesignSheet!C11*(A346+DesignSheet!C16)) + (DesignSheet!C11*DesignSheet!C13)/(DesignSheet!C7*(DesignSheet!C11+1)) ) )+(A346+DesignSheet!C16))</f>
        <v>-0.25720788224196162</v>
      </c>
      <c r="C346" s="6">
        <f>(DesignSheet!C11*DesignSheet!C13)*SIN((A346+DesignSheet!C16)) + (DesignSheet!C7)*SIN((DesignSheet!C11+1)*(A346+DesignSheet!C16)) - (DesignSheet!C6/2)*SIN(ATAN( SIN(DesignSheet!C11*(A346+DesignSheet!C16)) / ( COS(DesignSheet!C11*(A346+DesignSheet!C16)) + (DesignSheet!C11*DesignSheet!C13)/(DesignSheet!C7*(DesignSheet!C11+1)) ) )+(A346+DesignSheet!C16))</f>
        <v>-0.7045169304655533</v>
      </c>
    </row>
    <row r="347" spans="1:3" x14ac:dyDescent="0.3">
      <c r="A347" s="6">
        <f>2*PI()*345/(DesignSheet!C9-1)</f>
        <v>6.0213859193804371</v>
      </c>
      <c r="B347" s="6">
        <f>(DesignSheet!C11*DesignSheet!C13)*COS((A347+DesignSheet!C16)) + (DesignSheet!C7)*COS((DesignSheet!C11+1)*(A347+DesignSheet!C16)) - (DesignSheet!C6/2)*COS(ATAN( SIN(DesignSheet!C11*(A347+DesignSheet!C16)) / ( COS(DesignSheet!C11*(A347+DesignSheet!C16)) + (DesignSheet!C11*DesignSheet!C13)/(DesignSheet!C7*(DesignSheet!C11+1)) ) )+(A347+DesignSheet!C16))</f>
        <v>-0.24487319242324906</v>
      </c>
      <c r="C347" s="6">
        <f>(DesignSheet!C11*DesignSheet!C13)*SIN((A347+DesignSheet!C16)) + (DesignSheet!C7)*SIN((DesignSheet!C11+1)*(A347+DesignSheet!C16)) - (DesignSheet!C6/2)*SIN(ATAN( SIN(DesignSheet!C11*(A347+DesignSheet!C16)) / ( COS(DesignSheet!C11*(A347+DesignSheet!C16)) + (DesignSheet!C11*DesignSheet!C13)/(DesignSheet!C7*(DesignSheet!C11+1)) ) )+(A347+DesignSheet!C16))</f>
        <v>-0.70889852562439881</v>
      </c>
    </row>
    <row r="348" spans="1:3" x14ac:dyDescent="0.3">
      <c r="A348" s="6">
        <f>2*PI()*346/(DesignSheet!C9-1)</f>
        <v>6.0388392119003802</v>
      </c>
      <c r="B348" s="6">
        <f>(DesignSheet!C11*DesignSheet!C13)*COS((A348+DesignSheet!C16)) + (DesignSheet!C7)*COS((DesignSheet!C11+1)*(A348+DesignSheet!C16)) - (DesignSheet!C6/2)*COS(ATAN( SIN(DesignSheet!C11*(A348+DesignSheet!C16)) / ( COS(DesignSheet!C11*(A348+DesignSheet!C16)) + (DesignSheet!C11*DesignSheet!C13)/(DesignSheet!C7*(DesignSheet!C11+1)) ) )+(A348+DesignSheet!C16))</f>
        <v>-0.23246391185798521</v>
      </c>
      <c r="C348" s="6">
        <f>(DesignSheet!C11*DesignSheet!C13)*SIN((A348+DesignSheet!C16)) + (DesignSheet!C7)*SIN((DesignSheet!C11+1)*(A348+DesignSheet!C16)) - (DesignSheet!C6/2)*SIN(ATAN( SIN(DesignSheet!C11*(A348+DesignSheet!C16)) / ( COS(DesignSheet!C11*(A348+DesignSheet!C16)) + (DesignSheet!C11*DesignSheet!C13)/(DesignSheet!C7*(DesignSheet!C11+1)) ) )+(A348+DesignSheet!C16))</f>
        <v>-0.71306418342508471</v>
      </c>
    </row>
    <row r="349" spans="1:3" x14ac:dyDescent="0.3">
      <c r="A349" s="6">
        <f>2*PI()*347/(DesignSheet!C9-1)</f>
        <v>6.0562925044203233</v>
      </c>
      <c r="B349" s="6">
        <f>(DesignSheet!C11*DesignSheet!C13)*COS((A349+DesignSheet!C16)) + (DesignSheet!C7)*COS((DesignSheet!C11+1)*(A349+DesignSheet!C16)) - (DesignSheet!C6/2)*COS(ATAN( SIN(DesignSheet!C11*(A349+DesignSheet!C16)) / ( COS(DesignSheet!C11*(A349+DesignSheet!C16)) + (DesignSheet!C11*DesignSheet!C13)/(DesignSheet!C7*(DesignSheet!C11+1)) ) )+(A349+DesignSheet!C16))</f>
        <v>-0.21998382053324084</v>
      </c>
      <c r="C349" s="6">
        <f>(DesignSheet!C11*DesignSheet!C13)*SIN((A349+DesignSheet!C16)) + (DesignSheet!C7)*SIN((DesignSheet!C11+1)*(A349+DesignSheet!C16)) - (DesignSheet!C6/2)*SIN(ATAN( SIN(DesignSheet!C11*(A349+DesignSheet!C16)) / ( COS(DesignSheet!C11*(A349+DesignSheet!C16)) + (DesignSheet!C11*DesignSheet!C13)/(DesignSheet!C7*(DesignSheet!C11+1)) ) )+(A349+DesignSheet!C16))</f>
        <v>-0.71701263496789158</v>
      </c>
    </row>
    <row r="350" spans="1:3" x14ac:dyDescent="0.3">
      <c r="A350" s="6">
        <f>2*PI()*348/(DesignSheet!C9-1)</f>
        <v>6.0737457969402664</v>
      </c>
      <c r="B350" s="6">
        <f>(DesignSheet!C11*DesignSheet!C13)*COS((A350+DesignSheet!C16)) + (DesignSheet!C7)*COS((DesignSheet!C11+1)*(A350+DesignSheet!C16)) - (DesignSheet!C6/2)*COS(ATAN( SIN(DesignSheet!C11*(A350+DesignSheet!C16)) / ( COS(DesignSheet!C11*(A350+DesignSheet!C16)) + (DesignSheet!C11*DesignSheet!C13)/(DesignSheet!C7*(DesignSheet!C11+1)) ) )+(A350+DesignSheet!C16))</f>
        <v>-0.20743672000573096</v>
      </c>
      <c r="C350" s="6">
        <f>(DesignSheet!C11*DesignSheet!C13)*SIN((A350+DesignSheet!C16)) + (DesignSheet!C7)*SIN((DesignSheet!C11+1)*(A350+DesignSheet!C16)) - (DesignSheet!C6/2)*SIN(ATAN( SIN(DesignSheet!C11*(A350+DesignSheet!C16)) / ( COS(DesignSheet!C11*(A350+DesignSheet!C16)) + (DesignSheet!C11*DesignSheet!C13)/(DesignSheet!C7*(DesignSheet!C11+1)) ) )+(A350+DesignSheet!C16))</f>
        <v>-0.72074267751622978</v>
      </c>
    </row>
    <row r="351" spans="1:3" x14ac:dyDescent="0.3">
      <c r="A351" s="6">
        <f>2*PI()*349/(DesignSheet!C9-1)</f>
        <v>6.0911990894602104</v>
      </c>
      <c r="B351" s="6">
        <f>(DesignSheet!C11*DesignSheet!C13)*COS((A351+DesignSheet!C16)) + (DesignSheet!C7)*COS((DesignSheet!C11+1)*(A351+DesignSheet!C16)) - (DesignSheet!C6/2)*COS(ATAN( SIN(DesignSheet!C11*(A351+DesignSheet!C16)) / ( COS(DesignSheet!C11*(A351+DesignSheet!C16)) + (DesignSheet!C11*DesignSheet!C13)/(DesignSheet!C7*(DesignSheet!C11+1)) ) )+(A351+DesignSheet!C16))</f>
        <v>-0.19482643224382207</v>
      </c>
      <c r="C351" s="6">
        <f>(DesignSheet!C11*DesignSheet!C13)*SIN((A351+DesignSheet!C16)) + (DesignSheet!C7)*SIN((DesignSheet!C11+1)*(A351+DesignSheet!C16)) - (DesignSheet!C6/2)*SIN(ATAN( SIN(DesignSheet!C11*(A351+DesignSheet!C16)) / ( COS(DesignSheet!C11*(A351+DesignSheet!C16)) + (DesignSheet!C11*DesignSheet!C13)/(DesignSheet!C7*(DesignSheet!C11+1)) ) )+(A351+DesignSheet!C16))</f>
        <v>-0.72425317486300567</v>
      </c>
    </row>
    <row r="352" spans="1:3" x14ac:dyDescent="0.3">
      <c r="A352" s="6">
        <f>2*PI()*350/(DesignSheet!C9-1)</f>
        <v>6.1086523819801526</v>
      </c>
      <c r="B352" s="6">
        <f>(DesignSheet!C11*DesignSheet!C13)*COS((A352+DesignSheet!C16)) + (DesignSheet!C7)*COS((DesignSheet!C11+1)*(A352+DesignSheet!C16)) - (DesignSheet!C6/2)*COS(ATAN( SIN(DesignSheet!C11*(A352+DesignSheet!C16)) / ( COS(DesignSheet!C11*(A352+DesignSheet!C16)) + (DesignSheet!C11*DesignSheet!C13)/(DesignSheet!C7*(DesignSheet!C11+1)) ) )+(A352+DesignSheet!C16))</f>
        <v>-0.182156798463327</v>
      </c>
      <c r="C352" s="6">
        <f>(DesignSheet!C11*DesignSheet!C13)*SIN((A352+DesignSheet!C16)) + (DesignSheet!C7)*SIN((DesignSheet!C11+1)*(A352+DesignSheet!C16)) - (DesignSheet!C6/2)*SIN(ATAN( SIN(DesignSheet!C11*(A352+DesignSheet!C16)) / ( COS(DesignSheet!C11*(A352+DesignSheet!C16)) + (DesignSheet!C11*DesignSheet!C13)/(DesignSheet!C7*(DesignSheet!C11+1)) ) )+(A352+DesignSheet!C16))</f>
        <v>-0.72754305767671978</v>
      </c>
    </row>
    <row r="353" spans="1:3" x14ac:dyDescent="0.3">
      <c r="A353" s="6">
        <f>2*PI()*351/(DesignSheet!C9-1)</f>
        <v>6.1261056745000966</v>
      </c>
      <c r="B353" s="6">
        <f>(DesignSheet!C11*DesignSheet!C13)*COS((A353+DesignSheet!C16)) + (DesignSheet!C7)*COS((DesignSheet!C11+1)*(A353+DesignSheet!C16)) - (DesignSheet!C6/2)*COS(ATAN( SIN(DesignSheet!C11*(A353+DesignSheet!C16)) / ( COS(DesignSheet!C11*(A353+DesignSheet!C16)) + (DesignSheet!C11*DesignSheet!C13)/(DesignSheet!C7*(DesignSheet!C11+1)) ) )+(A353+DesignSheet!C16))</f>
        <v>-0.16943167795742614</v>
      </c>
      <c r="C353" s="6">
        <f>(DesignSheet!C11*DesignSheet!C13)*SIN((A353+DesignSheet!C16)) + (DesignSheet!C7)*SIN((DesignSheet!C11+1)*(A353+DesignSheet!C16)) - (DesignSheet!C6/2)*SIN(ATAN( SIN(DesignSheet!C11*(A353+DesignSheet!C16)) / ( COS(DesignSheet!C11*(A353+DesignSheet!C16)) + (DesignSheet!C11*DesignSheet!C13)/(DesignSheet!C7*(DesignSheet!C11+1)) ) )+(A353+DesignSheet!C16))</f>
        <v>-0.73061132382719818</v>
      </c>
    </row>
    <row r="354" spans="1:3" x14ac:dyDescent="0.3">
      <c r="A354" s="6">
        <f>2*PI()*352/(DesignSheet!C9-1)</f>
        <v>6.1435589670200397</v>
      </c>
      <c r="B354" s="6">
        <f>(DesignSheet!C11*DesignSheet!C13)*COS((A354+DesignSheet!C16)) + (DesignSheet!C7)*COS((DesignSheet!C11+1)*(A354+DesignSheet!C16)) - (DesignSheet!C6/2)*COS(ATAN( SIN(DesignSheet!C11*(A354+DesignSheet!C16)) / ( COS(DesignSheet!C11*(A354+DesignSheet!C16)) + (DesignSheet!C11*DesignSheet!C13)/(DesignSheet!C7*(DesignSheet!C11+1)) ) )+(A354+DesignSheet!C16))</f>
        <v>-0.15665494692109858</v>
      </c>
      <c r="C354" s="6">
        <f>(DesignSheet!C11*DesignSheet!C13)*SIN((A354+DesignSheet!C16)) + (DesignSheet!C7)*SIN((DesignSheet!C11+1)*(A354+DesignSheet!C16)) - (DesignSheet!C6/2)*SIN(ATAN( SIN(DesignSheet!C11*(A354+DesignSheet!C16)) / ( COS(DesignSheet!C11*(A354+DesignSheet!C16)) + (DesignSheet!C11*DesignSheet!C13)/(DesignSheet!C7*(DesignSheet!C11+1)) ) )+(A354+DesignSheet!C16))</f>
        <v>-0.73345703869084777</v>
      </c>
    </row>
    <row r="355" spans="1:3" x14ac:dyDescent="0.3">
      <c r="A355" s="6">
        <f>2*PI()*353/(DesignSheet!C9-1)</f>
        <v>6.1610122595399828</v>
      </c>
      <c r="B355" s="6">
        <f>(DesignSheet!C11*DesignSheet!C13)*COS((A355+DesignSheet!C16)) + (DesignSheet!C7)*COS((DesignSheet!C11+1)*(A355+DesignSheet!C16)) - (DesignSheet!C6/2)*COS(ATAN( SIN(DesignSheet!C11*(A355+DesignSheet!C16)) / ( COS(DesignSheet!C11*(A355+DesignSheet!C16)) + (DesignSheet!C11*DesignSheet!C13)/(DesignSheet!C7*(DesignSheet!C11+1)) ) )+(A355+DesignSheet!C16))</f>
        <v>-0.14383049727038832</v>
      </c>
      <c r="C355" s="6">
        <f>(DesignSheet!C11*DesignSheet!C13)*SIN((A355+DesignSheet!C16)) + (DesignSheet!C7)*SIN((DesignSheet!C11+1)*(A355+DesignSheet!C16)) - (DesignSheet!C6/2)*SIN(ATAN( SIN(DesignSheet!C11*(A355+DesignSheet!C16)) / ( COS(DesignSheet!C11*(A355+DesignSheet!C16)) + (DesignSheet!C11*DesignSheet!C13)/(DesignSheet!C7*(DesignSheet!C11+1)) ) )+(A355+DesignSheet!C16))</f>
        <v>-0.73607933543535431</v>
      </c>
    </row>
    <row r="356" spans="1:3" x14ac:dyDescent="0.3">
      <c r="A356" s="6">
        <f>2*PI()*354/(DesignSheet!C9-1)</f>
        <v>6.1784655520599268</v>
      </c>
      <c r="B356" s="6">
        <f>(DesignSheet!C11*DesignSheet!C13)*COS((A356+DesignSheet!C16)) + (DesignSheet!C7)*COS((DesignSheet!C11+1)*(A356+DesignSheet!C16)) - (DesignSheet!C6/2)*COS(ATAN( SIN(DesignSheet!C11*(A356+DesignSheet!C16)) / ( COS(DesignSheet!C11*(A356+DesignSheet!C16)) + (DesignSheet!C11*DesignSheet!C13)/(DesignSheet!C7*(DesignSheet!C11+1)) ) )+(A356+DesignSheet!C16))</f>
        <v>-0.13096223545689151</v>
      </c>
      <c r="C356" s="6">
        <f>(DesignSheet!C11*DesignSheet!C13)*SIN((A356+DesignSheet!C16)) + (DesignSheet!C7)*SIN((DesignSheet!C11+1)*(A356+DesignSheet!C16)) - (DesignSheet!C6/2)*SIN(ATAN( SIN(DesignSheet!C11*(A356+DesignSheet!C16)) / ( COS(DesignSheet!C11*(A356+DesignSheet!C16)) + (DesignSheet!C11*DesignSheet!C13)/(DesignSheet!C7*(DesignSheet!C11+1)) ) )+(A356+DesignSheet!C16))</f>
        <v>-0.73847741528372668</v>
      </c>
    </row>
    <row r="357" spans="1:3" x14ac:dyDescent="0.3">
      <c r="A357" s="6">
        <f>2*PI()*355/(DesignSheet!C9-1)</f>
        <v>6.1959188445798699</v>
      </c>
      <c r="B357" s="6">
        <f>(DesignSheet!C11*DesignSheet!C13)*COS((A357+DesignSheet!C16)) + (DesignSheet!C7)*COS((DesignSheet!C11+1)*(A357+DesignSheet!C16)) - (DesignSheet!C6/2)*COS(ATAN( SIN(DesignSheet!C11*(A357+DesignSheet!C16)) / ( COS(DesignSheet!C11*(A357+DesignSheet!C16)) + (DesignSheet!C11*DesignSheet!C13)/(DesignSheet!C7*(DesignSheet!C11+1)) ) )+(A357+DesignSheet!C16))</f>
        <v>-0.11805408127781555</v>
      </c>
      <c r="C357" s="6">
        <f>(DesignSheet!C11*DesignSheet!C13)*SIN((A357+DesignSheet!C16)) + (DesignSheet!C7)*SIN((DesignSheet!C11+1)*(A357+DesignSheet!C16)) - (DesignSheet!C6/2)*SIN(ATAN( SIN(DesignSheet!C11*(A357+DesignSheet!C16)) / ( COS(DesignSheet!C11*(A357+DesignSheet!C16)) + (DesignSheet!C11*DesignSheet!C13)/(DesignSheet!C7*(DesignSheet!C11+1)) ) )+(A357+DesignSheet!C16))</f>
        <v>-0.74065054775761219</v>
      </c>
    </row>
    <row r="358" spans="1:3" x14ac:dyDescent="0.3">
      <c r="A358" s="6">
        <f>2*PI()*356/(DesignSheet!C9-1)</f>
        <v>6.2133721370998138</v>
      </c>
      <c r="B358" s="6">
        <f>(DesignSheet!C11*DesignSheet!C13)*COS((A358+DesignSheet!C16)) + (DesignSheet!C7)*COS((DesignSheet!C11+1)*(A358+DesignSheet!C16)) - (DesignSheet!C6/2)*COS(ATAN( SIN(DesignSheet!C11*(A358+DesignSheet!C16)) / ( COS(DesignSheet!C11*(A358+DesignSheet!C16)) + (DesignSheet!C11*DesignSheet!C13)/(DesignSheet!C7*(DesignSheet!C11+1)) ) )+(A358+DesignSheet!C16))</f>
        <v>-0.10510996668196612</v>
      </c>
      <c r="C358" s="6">
        <f>(DesignSheet!C11*DesignSheet!C13)*SIN((A358+DesignSheet!C16)) + (DesignSheet!C7)*SIN((DesignSheet!C11+1)*(A358+DesignSheet!C16)) - (DesignSheet!C6/2)*SIN(ATAN( SIN(DesignSheet!C11*(A358+DesignSheet!C16)) / ( COS(DesignSheet!C11*(A358+DesignSheet!C16)) + (DesignSheet!C11*DesignSheet!C13)/(DesignSheet!C7*(DesignSheet!C11+1)) ) )+(A358+DesignSheet!C16))</f>
        <v>-0.74259807089980778</v>
      </c>
    </row>
    <row r="359" spans="1:3" x14ac:dyDescent="0.3">
      <c r="A359" s="6">
        <f>2*PI()*357/(DesignSheet!C9-1)</f>
        <v>6.2308254296197561</v>
      </c>
      <c r="B359" s="6">
        <f>(DesignSheet!C11*DesignSheet!C13)*COS((A359+DesignSheet!C16)) + (DesignSheet!C7)*COS((DesignSheet!C11+1)*(A359+DesignSheet!C16)) - (DesignSheet!C6/2)*COS(ATAN( SIN(DesignSheet!C11*(A359+DesignSheet!C16)) / ( COS(DesignSheet!C11*(A359+DesignSheet!C16)) + (DesignSheet!C11*DesignSheet!C13)/(DesignSheet!C7*(DesignSheet!C11+1)) ) )+(A359+DesignSheet!C16))</f>
        <v>-9.2133834572043591E-2</v>
      </c>
      <c r="C359" s="6">
        <f>(DesignSheet!C11*DesignSheet!C13)*SIN((A359+DesignSheet!C16)) + (DesignSheet!C7)*SIN((DesignSheet!C11+1)*(A359+DesignSheet!C16)) - (DesignSheet!C6/2)*SIN(ATAN( SIN(DesignSheet!C11*(A359+DesignSheet!C16)) / ( COS(DesignSheet!C11*(A359+DesignSheet!C16)) + (DesignSheet!C11*DesignSheet!C13)/(DesignSheet!C7*(DesignSheet!C11+1)) ) )+(A359+DesignSheet!C16))</f>
        <v>-0.7443193914758981</v>
      </c>
    </row>
    <row r="360" spans="1:3" x14ac:dyDescent="0.3">
      <c r="A360" s="6">
        <f>2*PI()*358/(DesignSheet!C9-1)</f>
        <v>6.2482787221397</v>
      </c>
      <c r="B360" s="6">
        <f>(DesignSheet!C11*DesignSheet!C13)*COS((A360+DesignSheet!C16)) + (DesignSheet!C7)*COS((DesignSheet!C11+1)*(A360+DesignSheet!C16)) - (DesignSheet!C6/2)*COS(ATAN( SIN(DesignSheet!C11*(A360+DesignSheet!C16)) / ( COS(DesignSheet!C11*(A360+DesignSheet!C16)) + (DesignSheet!C11*DesignSheet!C13)/(DesignSheet!C7*(DesignSheet!C11+1)) ) )+(A360+DesignSheet!C16))</f>
        <v>-7.9129637603588598E-2</v>
      </c>
      <c r="C360" s="6">
        <f>(DesignSheet!C11*DesignSheet!C13)*SIN((A360+DesignSheet!C16)) + (DesignSheet!C7)*SIN((DesignSheet!C11+1)*(A360+DesignSheet!C16)) - (DesignSheet!C6/2)*SIN(ATAN( SIN(DesignSheet!C11*(A360+DesignSheet!C16)) / ( COS(DesignSheet!C11*(A360+DesignSheet!C16)) + (DesignSheet!C11*DesignSheet!C13)/(DesignSheet!C7*(DesignSheet!C11+1)) ) )+(A360+DesignSheet!C16))</f>
        <v>-0.74581398515496122</v>
      </c>
    </row>
    <row r="361" spans="1:3" x14ac:dyDescent="0.3">
      <c r="A361" s="6">
        <f>2*PI()*359/(DesignSheet!C9-1)</f>
        <v>6.2657320146596422</v>
      </c>
      <c r="B361" s="6">
        <f>(DesignSheet!C11*DesignSheet!C13)*COS((A361+DesignSheet!C16)) + (DesignSheet!C7)*COS((DesignSheet!C11+1)*(A361+DesignSheet!C16)) - (DesignSheet!C6/2)*COS(ATAN( SIN(DesignSheet!C11*(A361+DesignSheet!C16)) / ( COS(DesignSheet!C11*(A361+DesignSheet!C16)) + (DesignSheet!C11*DesignSheet!C13)/(DesignSheet!C7*(DesignSheet!C11+1)) ) )+(A361+DesignSheet!C16))</f>
        <v>-6.6101336980974867E-2</v>
      </c>
      <c r="C361" s="6">
        <f>(DesignSheet!C11*DesignSheet!C13)*SIN((A361+DesignSheet!C16)) + (DesignSheet!C7)*SIN((DesignSheet!C11+1)*(A361+DesignSheet!C16)) - (DesignSheet!C6/2)*SIN(ATAN( SIN(DesignSheet!C11*(A361+DesignSheet!C16)) / ( COS(DesignSheet!C11*(A361+DesignSheet!C16)) + (DesignSheet!C11*DesignSheet!C13)/(DesignSheet!C7*(DesignSheet!C11+1)) ) )+(A361+DesignSheet!C16))</f>
        <v>-0.74708139666928364</v>
      </c>
    </row>
    <row r="362" spans="1:3" x14ac:dyDescent="0.3">
      <c r="A362" s="6">
        <f>2*PI()*360/(DesignSheet!C9-1)</f>
        <v>6.2831853071795862</v>
      </c>
      <c r="B362" s="6">
        <f>(DesignSheet!C11*DesignSheet!C13)*COS((A362+DesignSheet!C16)) + (DesignSheet!C7)*COS((DesignSheet!C11+1)*(A362+DesignSheet!C16)) - (DesignSheet!C6/2)*COS(ATAN( SIN(DesignSheet!C11*(A362+DesignSheet!C16)) / ( COS(DesignSheet!C11*(A362+DesignSheet!C16)) + (DesignSheet!C11*DesignSheet!C13)/(DesignSheet!C7*(DesignSheet!C11+1)) ) )+(A362+DesignSheet!C16))</f>
        <v>-5.3052901250777371E-2</v>
      </c>
      <c r="C362" s="6">
        <f>(DesignSheet!C11*DesignSheet!C13)*SIN((A362+DesignSheet!C16)) + (DesignSheet!C7)*SIN((DesignSheet!C11+1)*(A362+DesignSheet!C16)) - (DesignSheet!C6/2)*SIN(ATAN( SIN(DesignSheet!C11*(A362+DesignSheet!C16)) / ( COS(DesignSheet!C11*(A362+DesignSheet!C16)) + (DesignSheet!C11*DesignSheet!C13)/(DesignSheet!C7*(DesignSheet!C11+1)) ) )+(A362+DesignSheet!C16))</f>
        <v>-0.74812123995304081</v>
      </c>
    </row>
    <row r="363" spans="1:3" x14ac:dyDescent="0.3">
      <c r="A363" s="6">
        <f>2*PI()*361/(DesignSheet!C9-1)</f>
        <v>6.3006385996995293</v>
      </c>
      <c r="B363" s="6">
        <f>(DesignSheet!C11*DesignSheet!C13)*COS((A363+DesignSheet!C16)) + (DesignSheet!C7)*COS((DesignSheet!C11+1)*(A363+DesignSheet!C16)) - (DesignSheet!C6/2)*COS(ATAN( SIN(DesignSheet!C11*(A363+DesignSheet!C16)) / ( COS(DesignSheet!C11*(A363+DesignSheet!C16)) + (DesignSheet!C11*DesignSheet!C13)/(DesignSheet!C7*(DesignSheet!C11+1)) ) )+(A363+DesignSheet!C16))</f>
        <v>-3.9988305092924552E-2</v>
      </c>
      <c r="C363" s="6">
        <f>(DesignSheet!C11*DesignSheet!C13)*SIN((A363+DesignSheet!C16)) + (DesignSheet!C7)*SIN((DesignSheet!C11+1)*(A363+DesignSheet!C16)) - (DesignSheet!C6/2)*SIN(ATAN( SIN(DesignSheet!C11*(A363+DesignSheet!C16)) / ( COS(DesignSheet!C11*(A363+DesignSheet!C16)) + (DesignSheet!C11*DesignSheet!C13)/(DesignSheet!C7*(DesignSheet!C11+1)) ) )+(A363+DesignSheet!C16))</f>
        <v>-0.74893319825989502</v>
      </c>
    </row>
    <row r="364" spans="1:3" x14ac:dyDescent="0.3">
      <c r="A364" s="6">
        <f>2*PI()*362/(DesignSheet!C9-1)</f>
        <v>6.3180918922194724</v>
      </c>
      <c r="B364" s="6">
        <f>(DesignSheet!C11*DesignSheet!C13)*COS((A364+DesignSheet!C16)) + (DesignSheet!C7)*COS((DesignSheet!C11+1)*(A364+DesignSheet!C16)) - (DesignSheet!C6/2)*COS(ATAN( SIN(DesignSheet!C11*(A364+DesignSheet!C16)) / ( COS(DesignSheet!C11*(A364+DesignSheet!C16)) + (DesignSheet!C11*DesignSheet!C13)/(DesignSheet!C7*(DesignSheet!C11+1)) ) )+(A364+DesignSheet!C16))</f>
        <v>-2.691152810996502E-2</v>
      </c>
      <c r="C364" s="6">
        <f>(DesignSheet!C11*DesignSheet!C13)*SIN((A364+DesignSheet!C16)) + (DesignSheet!C7)*SIN((DesignSheet!C11+1)*(A364+DesignSheet!C16)) - (DesignSheet!C6/2)*SIN(ATAN( SIN(DesignSheet!C11*(A364+DesignSheet!C16)) / ( COS(DesignSheet!C11*(A364+DesignSheet!C16)) + (DesignSheet!C11*DesignSheet!C13)/(DesignSheet!C7*(DesignSheet!C11+1)) ) )+(A364+DesignSheet!C16))</f>
        <v>-0.74951702425948041</v>
      </c>
    </row>
    <row r="365" spans="1:3" x14ac:dyDescent="0.3">
      <c r="A365" s="6">
        <f>2*PI()*363/(DesignSheet!C9-1)</f>
        <v>6.3355451847394164</v>
      </c>
      <c r="B365" s="6">
        <f>(DesignSheet!C11*DesignSheet!C13)*COS((A365+DesignSheet!C16)) + (DesignSheet!C7)*COS((DesignSheet!C11+1)*(A365+DesignSheet!C16)) - (DesignSheet!C6/2)*COS(ATAN( SIN(DesignSheet!C11*(A365+DesignSheet!C16)) / ( COS(DesignSheet!C11*(A365+DesignSheet!C16)) + (DesignSheet!C11*DesignSheet!C13)/(DesignSheet!C7*(DesignSheet!C11+1)) ) )+(A365+DesignSheet!C16))</f>
        <v>-1.3826553614844703E-2</v>
      </c>
      <c r="C365" s="6">
        <f>(DesignSheet!C11*DesignSheet!C13)*SIN((A365+DesignSheet!C16)) + (DesignSheet!C7)*SIN((DesignSheet!C11+1)*(A365+DesignSheet!C16)) - (DesignSheet!C6/2)*SIN(ATAN( SIN(DesignSheet!C11*(A365+DesignSheet!C16)) / ( COS(DesignSheet!C11*(A365+DesignSheet!C16)) + (DesignSheet!C11*DesignSheet!C13)/(DesignSheet!C7*(DesignSheet!C11+1)) ) )+(A365+DesignSheet!C16))</f>
        <v>-0.74987254011274196</v>
      </c>
    </row>
    <row r="366" spans="1:3" x14ac:dyDescent="0.3">
      <c r="A366" s="6">
        <f>2*PI()*364/(DesignSheet!C9-1)</f>
        <v>6.3529984772593595</v>
      </c>
      <c r="B366" s="6">
        <f>(DesignSheet!C11*DesignSheet!C13)*COS((A366+DesignSheet!C16)) + (DesignSheet!C7)*COS((DesignSheet!C11+1)*(A366+DesignSheet!C16)) - (DesignSheet!C6/2)*COS(ATAN( SIN(DesignSheet!C11*(A366+DesignSheet!C16)) / ( COS(DesignSheet!C11*(A366+DesignSheet!C16)) + (DesignSheet!C11*DesignSheet!C13)/(DesignSheet!C7*(DesignSheet!C11+1)) ) )+(A366+DesignSheet!C16))</f>
        <v>-7.3736741755313774E-4</v>
      </c>
      <c r="C366" s="6">
        <f>(DesignSheet!C11*DesignSheet!C13)*SIN((A366+DesignSheet!C16)) + (DesignSheet!C7)*SIN((DesignSheet!C11+1)*(A366+DesignSheet!C16)) - (DesignSheet!C6/2)*SIN(ATAN( SIN(DesignSheet!C11*(A366+DesignSheet!C16)) / ( COS(DesignSheet!C11*(A366+DesignSheet!C16)) + (DesignSheet!C11*DesignSheet!C13)/(DesignSheet!C7*(DesignSheet!C11+1)) ) )+(A366+DesignSheet!C16))</f>
        <v>-0.74999963752610677</v>
      </c>
    </row>
    <row r="367" spans="1:3" x14ac:dyDescent="0.3">
      <c r="A367" s="6">
        <f>2*PI()*365/(DesignSheet!C9-1)</f>
        <v>6.3704517697793035</v>
      </c>
      <c r="B367" s="6">
        <f>(DesignSheet!C11*DesignSheet!C13)*COS((A367+DesignSheet!C16)) + (DesignSheet!C7)*COS((DesignSheet!C11+1)*(A367+DesignSheet!C16)) - (DesignSheet!C6/2)*COS(ATAN( SIN(DesignSheet!C11*(A367+DesignSheet!C16)) / ( COS(DesignSheet!C11*(A367+DesignSheet!C16)) + (DesignSheet!C11*DesignSheet!C13)/(DesignSheet!C7*(DesignSheet!C11+1)) ) )+(A367+DesignSheet!C16))</f>
        <v>1.2352043388997518E-2</v>
      </c>
      <c r="C367" s="6">
        <f>(DesignSheet!C11*DesignSheet!C13)*SIN((A367+DesignSheet!C16)) + (DesignSheet!C7)*SIN((DesignSheet!C11+1)*(A367+DesignSheet!C16)) - (DesignSheet!C6/2)*SIN(ATAN( SIN(DesignSheet!C11*(A367+DesignSheet!C16)) / ( COS(DesignSheet!C11*(A367+DesignSheet!C16)) + (DesignSheet!C11*DesignSheet!C13)/(DesignSheet!C7*(DesignSheet!C11+1)) ) )+(A367+DesignSheet!C16))</f>
        <v>-0.74989827778447149</v>
      </c>
    </row>
    <row r="368" spans="1:3" x14ac:dyDescent="0.3">
      <c r="A368" s="6">
        <f>2*PI()*366/(DesignSheet!C9-1)</f>
        <v>6.3879050622992457</v>
      </c>
      <c r="B368" s="6">
        <f>(DesignSheet!C11*DesignSheet!C13)*COS((A368+DesignSheet!C16)) + (DesignSheet!C7)*COS((DesignSheet!C11+1)*(A368+DesignSheet!C16)) - (DesignSheet!C6/2)*COS(ATAN( SIN(DesignSheet!C11*(A368+DesignSheet!C16)) / ( COS(DesignSheet!C11*(A368+DesignSheet!C16)) + (DesignSheet!C11*DesignSheet!C13)/(DesignSheet!C7*(DesignSheet!C11+1)) ) )+(A368+DesignSheet!C16))</f>
        <v>2.5437691643473627E-2</v>
      </c>
      <c r="C368" s="6">
        <f>(DesignSheet!C11*DesignSheet!C13)*SIN((A368+DesignSheet!C16)) + (DesignSheet!C7)*SIN((DesignSheet!C11+1)*(A368+DesignSheet!C16)) - (DesignSheet!C6/2)*SIN(ATAN( SIN(DesignSheet!C11*(A368+DesignSheet!C16)) / ( COS(DesignSheet!C11*(A368+DesignSheet!C16)) + (DesignSheet!C11*DesignSheet!C13)/(DesignSheet!C7*(DesignSheet!C11+1)) ) )+(A368+DesignSheet!C16))</f>
        <v>-0.74956849176299534</v>
      </c>
    </row>
    <row r="369" spans="1:3" x14ac:dyDescent="0.3">
      <c r="A369" s="6">
        <f>2*PI()*367/(DesignSheet!C9-1)</f>
        <v>6.4053583548191897</v>
      </c>
      <c r="B369" s="6">
        <f>(DesignSheet!C11*DesignSheet!C13)*COS((A369+DesignSheet!C16)) + (DesignSheet!C7)*COS((DesignSheet!C11+1)*(A369+DesignSheet!C16)) - (DesignSheet!C6/2)*COS(ATAN( SIN(DesignSheet!C11*(A369+DesignSheet!C16)) / ( COS(DesignSheet!C11*(A369+DesignSheet!C16)) + (DesignSheet!C11*DesignSheet!C13)/(DesignSheet!C7*(DesignSheet!C11+1)) ) )+(A369+DesignSheet!C16))</f>
        <v>3.8515591330656011E-2</v>
      </c>
      <c r="C369" s="6">
        <f>(DesignSheet!C11*DesignSheet!C13)*SIN((A369+DesignSheet!C16)) + (DesignSheet!C7)*SIN((DesignSheet!C11+1)*(A369+DesignSheet!C16)) - (DesignSheet!C6/2)*SIN(ATAN( SIN(DesignSheet!C11*(A369+DesignSheet!C16)) / ( COS(DesignSheet!C11*(A369+DesignSheet!C16)) + (DesignSheet!C11*DesignSheet!C13)/(DesignSheet!C7*(DesignSheet!C11+1)) ) )+(A369+DesignSheet!C16))</f>
        <v>-0.74901037991769503</v>
      </c>
    </row>
    <row r="370" spans="1:3" x14ac:dyDescent="0.3">
      <c r="A370" s="6">
        <f>2*PI()*368/(DesignSheet!C9-1)</f>
        <v>6.4228116473391319</v>
      </c>
      <c r="B370" s="6">
        <f>(DesignSheet!C11*DesignSheet!C13)*COS((A370+DesignSheet!C16)) + (DesignSheet!C7)*COS((DesignSheet!C11+1)*(A370+DesignSheet!C16)) - (DesignSheet!C6/2)*COS(ATAN( SIN(DesignSheet!C11*(A370+DesignSheet!C16)) / ( COS(DesignSheet!C11*(A370+DesignSheet!C16)) + (DesignSheet!C11*DesignSheet!C13)/(DesignSheet!C7*(DesignSheet!C11+1)) ) )+(A370+DesignSheet!C16))</f>
        <v>5.1581758795608834E-2</v>
      </c>
      <c r="C370" s="6">
        <f>(DesignSheet!C11*DesignSheet!C13)*SIN((A370+DesignSheet!C16)) + (DesignSheet!C7)*SIN((DesignSheet!C11+1)*(A370+DesignSheet!C16)) - (DesignSheet!C6/2)*SIN(ATAN( SIN(DesignSheet!C11*(A370+DesignSheet!C16)) / ( COS(DesignSheet!C11*(A370+DesignSheet!C16)) + (DesignSheet!C11*DesignSheet!C13)/(DesignSheet!C7*(DesignSheet!C11+1)) ) )+(A370+DesignSheet!C16))</f>
        <v>-0.74822411225484542</v>
      </c>
    </row>
    <row r="371" spans="1:3" x14ac:dyDescent="0.3">
      <c r="A371" s="6">
        <f>2*PI()*369/(DesignSheet!C9-1)</f>
        <v>6.4402649398590759</v>
      </c>
      <c r="B371" s="6">
        <f>(DesignSheet!C11*DesignSheet!C13)*COS((A371+DesignSheet!C16)) + (DesignSheet!C7)*COS((DesignSheet!C11+1)*(A371+DesignSheet!C16)) - (DesignSheet!C6/2)*COS(ATAN( SIN(DesignSheet!C11*(A371+DesignSheet!C16)) / ( COS(DesignSheet!C11*(A371+DesignSheet!C16)) + (DesignSheet!C11*DesignSheet!C13)/(DesignSheet!C7*(DesignSheet!C11+1)) ) )+(A371+DesignSheet!C16))</f>
        <v>6.4632213957150131E-2</v>
      </c>
      <c r="C371" s="6">
        <f>(DesignSheet!C11*DesignSheet!C13)*SIN((A371+DesignSheet!C16)) + (DesignSheet!C7)*SIN((DesignSheet!C11+1)*(A371+DesignSheet!C16)) - (DesignSheet!C6/2)*SIN(ATAN( SIN(DesignSheet!C11*(A371+DesignSheet!C16)) / ( COS(DesignSheet!C11*(A371+DesignSheet!C16)) + (DesignSheet!C11*DesignSheet!C13)/(DesignSheet!C7*(DesignSheet!C11+1)) ) )+(A371+DesignSheet!C16))</f>
        <v>-0.7472099282791933</v>
      </c>
    </row>
    <row r="372" spans="1:3" x14ac:dyDescent="0.3">
      <c r="A372" s="6">
        <f>2*PI()*370/(DesignSheet!C9-1)</f>
        <v>6.457718232379019</v>
      </c>
      <c r="B372" s="6">
        <f>(DesignSheet!C11*DesignSheet!C13)*COS((A372+DesignSheet!C16)) + (DesignSheet!C7)*COS((DesignSheet!C11+1)*(A372+DesignSheet!C16)) - (DesignSheet!C6/2)*COS(ATAN( SIN(DesignSheet!C11*(A372+DesignSheet!C16)) / ( COS(DesignSheet!C11*(A372+DesignSheet!C16)) + (DesignSheet!C11*DesignSheet!C13)/(DesignSheet!C7*(DesignSheet!C11+1)) ) )+(A372+DesignSheet!C16))</f>
        <v>7.7662981520213087E-2</v>
      </c>
      <c r="C372" s="6">
        <f>(DesignSheet!C11*DesignSheet!C13)*SIN((A372+DesignSheet!C16)) + (DesignSheet!C7)*SIN((DesignSheet!C11+1)*(A372+DesignSheet!C16)) - (DesignSheet!C6/2)*SIN(ATAN( SIN(DesignSheet!C11*(A372+DesignSheet!C16)) / ( COS(DesignSheet!C11*(A372+DesignSheet!C16)) + (DesignSheet!C11*DesignSheet!C13)/(DesignSheet!C7*(DesignSheet!C11+1)) ) )+(A372+DesignSheet!C16))</f>
        <v>-0.74596813692100217</v>
      </c>
    </row>
    <row r="373" spans="1:3" x14ac:dyDescent="0.3">
      <c r="A373" s="6">
        <f>2*PI()*371/(DesignSheet!C9-1)</f>
        <v>6.475171524898963</v>
      </c>
      <c r="B373" s="6">
        <f>(DesignSheet!C11*DesignSheet!C13)*COS((A373+DesignSheet!C16)) + (DesignSheet!C7)*COS((DesignSheet!C11+1)*(A373+DesignSheet!C16)) - (DesignSheet!C6/2)*COS(ATAN( SIN(DesignSheet!C11*(A373+DesignSheet!C16)) / ( COS(DesignSheet!C11*(A373+DesignSheet!C16)) + (DesignSheet!C11*DesignSheet!C13)/(DesignSheet!C7*(DesignSheet!C11+1)) ) )+(A373+DesignSheet!C16))</f>
        <v>9.067009218676747E-2</v>
      </c>
      <c r="C373" s="6">
        <f>(DesignSheet!C11*DesignSheet!C13)*SIN((A373+DesignSheet!C16)) + (DesignSheet!C7)*SIN((DesignSheet!C11+1)*(A373+DesignSheet!C16)) - (DesignSheet!C6/2)*SIN(ATAN( SIN(DesignSheet!C11*(A373+DesignSheet!C16)) / ( COS(DesignSheet!C11*(A373+DesignSheet!C16)) + (DesignSheet!C11*DesignSheet!C13)/(DesignSheet!C7*(DesignSheet!C11+1)) ) )+(A373+DesignSheet!C16))</f>
        <v>-0.74449911644194922</v>
      </c>
    </row>
    <row r="374" spans="1:3" x14ac:dyDescent="0.3">
      <c r="A374" s="6">
        <f>2*PI()*372/(DesignSheet!C9-1)</f>
        <v>6.4926248174189052</v>
      </c>
      <c r="B374" s="6">
        <f>(DesignSheet!C11*DesignSheet!C13)*COS((A374+DesignSheet!C16)) + (DesignSheet!C7)*COS((DesignSheet!C11+1)*(A374+DesignSheet!C16)) - (DesignSheet!C6/2)*COS(ATAN( SIN(DesignSheet!C11*(A374+DesignSheet!C16)) / ( COS(DesignSheet!C11*(A374+DesignSheet!C16)) + (DesignSheet!C11*DesignSheet!C13)/(DesignSheet!C7*(DesignSheet!C11+1)) ) )+(A374+DesignSheet!C16))</f>
        <v>0.10364958386489953</v>
      </c>
      <c r="C374" s="6">
        <f>(DesignSheet!C11*DesignSheet!C13)*SIN((A374+DesignSheet!C16)) + (DesignSheet!C7)*SIN((DesignSheet!C11+1)*(A374+DesignSheet!C16)) - (DesignSheet!C6/2)*SIN(ATAN( SIN(DesignSheet!C11*(A374+DesignSheet!C16)) / ( COS(DesignSheet!C11*(A374+DesignSheet!C16)) + (DesignSheet!C11*DesignSheet!C13)/(DesignSheet!C7*(DesignSheet!C11+1)) ) )+(A374+DesignSheet!C16))</f>
        <v>-0.74280331431990343</v>
      </c>
    </row>
    <row r="375" spans="1:3" x14ac:dyDescent="0.3">
      <c r="A375" s="6">
        <f>2*PI()*373/(DesignSheet!C9-1)</f>
        <v>6.5100781099388492</v>
      </c>
      <c r="B375" s="6">
        <f>(DesignSheet!C11*DesignSheet!C13)*COS((A375+DesignSheet!C16)) + (DesignSheet!C7)*COS((DesignSheet!C11+1)*(A375+DesignSheet!C16)) - (DesignSheet!C6/2)*COS(ATAN( SIN(DesignSheet!C11*(A375+DesignSheet!C16)) / ( COS(DesignSheet!C11*(A375+DesignSheet!C16)) + (DesignSheet!C11*DesignSheet!C13)/(DesignSheet!C7*(DesignSheet!C11+1)) ) )+(A375+DesignSheet!C16))</f>
        <v>0.11659750287571159</v>
      </c>
      <c r="C375" s="6">
        <f>(DesignSheet!C11*DesignSheet!C13)*SIN((A375+DesignSheet!C16)) + (DesignSheet!C7)*SIN((DesignSheet!C11+1)*(A375+DesignSheet!C16)) - (DesignSheet!C6/2)*SIN(ATAN( SIN(DesignSheet!C11*(A375+DesignSheet!C16)) / ( COS(DesignSheet!C11*(A375+DesignSheet!C16)) + (DesignSheet!C11*DesignSheet!C13)/(DesignSheet!C7*(DesignSheet!C11+1)) ) )+(A375+DesignSheet!C16))</f>
        <v>-0.74088124711261827</v>
      </c>
    </row>
    <row r="376" spans="1:3" x14ac:dyDescent="0.3">
      <c r="A376" s="6">
        <f>2*PI()*374/(DesignSheet!C9-1)</f>
        <v>6.5275314024587932</v>
      </c>
      <c r="B376" s="6">
        <f>(DesignSheet!C11*DesignSheet!C13)*COS((A376+DesignSheet!C16)) + (DesignSheet!C7)*COS((DesignSheet!C11+1)*(A376+DesignSheet!C16)) - (DesignSheet!C6/2)*COS(ATAN( SIN(DesignSheet!C11*(A376+DesignSheet!C16)) / ( COS(DesignSheet!C11*(A376+DesignSheet!C16)) + (DesignSheet!C11*DesignSheet!C13)/(DesignSheet!C7*(DesignSheet!C11+1)) ) )+(A376+DesignSheet!C16))</f>
        <v>0.12950990515764232</v>
      </c>
      <c r="C376" s="6">
        <f>(DesignSheet!C11*DesignSheet!C13)*SIN((A376+DesignSheet!C16)) + (DesignSheet!C7)*SIN((DesignSheet!C11+1)*(A376+DesignSheet!C16)) - (DesignSheet!C6/2)*SIN(ATAN( SIN(DesignSheet!C11*(A376+DesignSheet!C16)) / ( COS(DesignSheet!C11*(A376+DesignSheet!C16)) + (DesignSheet!C11*DesignSheet!C13)/(DesignSheet!C7*(DesignSheet!C11+1)) ) )+(A376+DesignSheet!C16))</f>
        <v>-0.73873350030038476</v>
      </c>
    </row>
    <row r="377" spans="1:3" x14ac:dyDescent="0.3">
      <c r="A377" s="6">
        <f>2*PI()*375/(DesignSheet!C9-1)</f>
        <v>6.5449846949787354</v>
      </c>
      <c r="B377" s="6">
        <f>(DesignSheet!C11*DesignSheet!C13)*COS((A377+DesignSheet!C16)) + (DesignSheet!C7)*COS((DesignSheet!C11+1)*(A377+DesignSheet!C16)) - (DesignSheet!C6/2)*COS(ATAN( SIN(DesignSheet!C11*(A377+DesignSheet!C16)) / ( COS(DesignSheet!C11*(A377+DesignSheet!C16)) + (DesignSheet!C11*DesignSheet!C13)/(DesignSheet!C7*(DesignSheet!C11+1)) ) )+(A377+DesignSheet!C16))</f>
        <v>0.14238285746787013</v>
      </c>
      <c r="C377" s="6">
        <f>(DesignSheet!C11*DesignSheet!C13)*SIN((A377+DesignSheet!C16)) + (DesignSheet!C7)*SIN((DesignSheet!C11+1)*(A377+DesignSheet!C16)) - (DesignSheet!C6/2)*SIN(ATAN( SIN(DesignSheet!C11*(A377+DesignSheet!C16)) / ( COS(DesignSheet!C11*(A377+DesignSheet!C16)) + (DesignSheet!C11*DesignSheet!C13)/(DesignSheet!C7*(DesignSheet!C11+1)) ) )+(A377+DesignSheet!C16))</f>
        <v>-0.73636072810768782</v>
      </c>
    </row>
    <row r="378" spans="1:3" x14ac:dyDescent="0.3">
      <c r="A378" s="6">
        <f>2*PI()*376/(DesignSheet!C9-1)</f>
        <v>6.5624379874986793</v>
      </c>
      <c r="B378" s="6">
        <f>(DesignSheet!C11*DesignSheet!C13)*COS((A378+DesignSheet!C16)) + (DesignSheet!C7)*COS((DesignSheet!C11+1)*(A378+DesignSheet!C16)) - (DesignSheet!C6/2)*COS(ATAN( SIN(DesignSheet!C11*(A378+DesignSheet!C16)) / ( COS(DesignSheet!C11*(A378+DesignSheet!C16)) + (DesignSheet!C11*DesignSheet!C13)/(DesignSheet!C7*(DesignSheet!C11+1)) ) )+(A378+DesignSheet!C16))</f>
        <v>0.1552124385804208</v>
      </c>
      <c r="C378" s="6">
        <f>(DesignSheet!C11*DesignSheet!C13)*SIN((A378+DesignSheet!C16)) + (DesignSheet!C7)*SIN((DesignSheet!C11+1)*(A378+DesignSheet!C16)) - (DesignSheet!C6/2)*SIN(ATAN( SIN(DesignSheet!C11*(A378+DesignSheet!C16)) / ( COS(DesignSheet!C11*(A378+DesignSheet!C16)) + (DesignSheet!C11*DesignSheet!C13)/(DesignSheet!C7*(DesignSheet!C11+1)) ) )+(A378+DesignSheet!C16))</f>
        <v>-0.73376365330392257</v>
      </c>
    </row>
    <row r="379" spans="1:3" x14ac:dyDescent="0.3">
      <c r="A379" s="6">
        <f>2*PI()*377/(DesignSheet!C9-1)</f>
        <v>6.5798912800186224</v>
      </c>
      <c r="B379" s="6">
        <f>(DesignSheet!C11*DesignSheet!C13)*COS((A379+DesignSheet!C16)) + (DesignSheet!C7)*COS((DesignSheet!C11+1)*(A379+DesignSheet!C16)) - (DesignSheet!C6/2)*COS(ATAN( SIN(DesignSheet!C11*(A379+DesignSheet!C16)) / ( COS(DesignSheet!C11*(A379+DesignSheet!C16)) + (DesignSheet!C11*DesignSheet!C13)/(DesignSheet!C7*(DesignSheet!C11+1)) ) )+(A379+DesignSheet!C16))</f>
        <v>0.16799474048060192</v>
      </c>
      <c r="C379" s="6">
        <f>(DesignSheet!C11*DesignSheet!C13)*SIN((A379+DesignSheet!C16)) + (DesignSheet!C7)*SIN((DesignSheet!C11+1)*(A379+DesignSheet!C16)) - (DesignSheet!C6/2)*SIN(ATAN( SIN(DesignSheet!C11*(A379+DesignSheet!C16)) / ( COS(DesignSheet!C11*(A379+DesignSheet!C16)) + (DesignSheet!C11*DesignSheet!C13)/(DesignSheet!C7*(DesignSheet!C11+1)) ) )+(A379+DesignSheet!C16))</f>
        <v>-0.73094306698323308</v>
      </c>
    </row>
    <row r="380" spans="1:3" x14ac:dyDescent="0.3">
      <c r="A380" s="6">
        <f>2*PI()*378/(DesignSheet!C9-1)</f>
        <v>6.5973445725385655</v>
      </c>
      <c r="B380" s="6">
        <f>(DesignSheet!C11*DesignSheet!C13)*COS((A380+DesignSheet!C16)) + (DesignSheet!C7)*COS((DesignSheet!C11+1)*(A380+DesignSheet!C16)) - (DesignSheet!C6/2)*COS(ATAN( SIN(DesignSheet!C11*(A380+DesignSheet!C16)) / ( COS(DesignSheet!C11*(A380+DesignSheet!C16)) + (DesignSheet!C11*DesignSheet!C13)/(DesignSheet!C7*(DesignSheet!C11+1)) ) )+(A380+DesignSheet!C16))</f>
        <v>0.18072586955543238</v>
      </c>
      <c r="C380" s="6">
        <f>(DesignSheet!C11*DesignSheet!C13)*SIN((A380+DesignSheet!C16)) + (DesignSheet!C7)*SIN((DesignSheet!C11+1)*(A380+DesignSheet!C16)) - (DesignSheet!C6/2)*SIN(ATAN( SIN(DesignSheet!C11*(A380+DesignSheet!C16)) / ( COS(DesignSheet!C11*(A380+DesignSheet!C16)) + (DesignSheet!C11*DesignSheet!C13)/(DesignSheet!C7*(DesignSheet!C11+1)) ) )+(A380+DesignSheet!C16))</f>
        <v>-0.72789982832353572</v>
      </c>
    </row>
    <row r="381" spans="1:3" x14ac:dyDescent="0.3">
      <c r="A381" s="6">
        <f>2*PI()*379/(DesignSheet!C9-1)</f>
        <v>6.6147978650585086</v>
      </c>
      <c r="B381" s="6">
        <f>(DesignSheet!C11*DesignSheet!C13)*COS((A381+DesignSheet!C16)) + (DesignSheet!C7)*COS((DesignSheet!C11+1)*(A381+DesignSheet!C16)) - (DesignSheet!C6/2)*COS(ATAN( SIN(DesignSheet!C11*(A381+DesignSheet!C16)) / ( COS(DesignSheet!C11*(A381+DesignSheet!C16)) + (DesignSheet!C11*DesignSheet!C13)/(DesignSheet!C7*(DesignSheet!C11+1)) ) )+(A381+DesignSheet!C16))</f>
        <v>0.19340194777966541</v>
      </c>
      <c r="C381" s="6">
        <f>(DesignSheet!C11*DesignSheet!C13)*SIN((A381+DesignSheet!C16)) + (DesignSheet!C7)*SIN((DesignSheet!C11+1)*(A381+DesignSheet!C16)) - (DesignSheet!C6/2)*SIN(ATAN( SIN(DesignSheet!C11*(A381+DesignSheet!C16)) / ( COS(DesignSheet!C11*(A381+DesignSheet!C16)) + (DesignSheet!C11*DesignSheet!C13)/(DesignSheet!C7*(DesignSheet!C11+1)) ) )+(A381+DesignSheet!C16))</f>
        <v>-0.72463486432480706</v>
      </c>
    </row>
    <row r="382" spans="1:3" x14ac:dyDescent="0.3">
      <c r="A382" s="6">
        <f>2*PI()*380/(DesignSheet!C9-1)</f>
        <v>6.6322511575784526</v>
      </c>
      <c r="B382" s="6">
        <f>(DesignSheet!C11*DesignSheet!C13)*COS((A382+DesignSheet!C16)) + (DesignSheet!C7)*COS((DesignSheet!C11+1)*(A382+DesignSheet!C16)) - (DesignSheet!C6/2)*COS(ATAN( SIN(DesignSheet!C11*(A382+DesignSheet!C16)) / ( COS(DesignSheet!C11*(A382+DesignSheet!C16)) + (DesignSheet!C11*DesignSheet!C13)/(DesignSheet!C7*(DesignSheet!C11+1)) ) )+(A382+DesignSheet!C16))</f>
        <v>0.20601911389707678</v>
      </c>
      <c r="C382" s="6">
        <f>(DesignSheet!C11*DesignSheet!C13)*SIN((A382+DesignSheet!C16)) + (DesignSheet!C7)*SIN((DesignSheet!C11+1)*(A382+DesignSheet!C16)) - (DesignSheet!C6/2)*SIN(ATAN( SIN(DesignSheet!C11*(A382+DesignSheet!C16)) / ( COS(DesignSheet!C11*(A382+DesignSheet!C16)) + (DesignSheet!C11*DesignSheet!C13)/(DesignSheet!C7*(DesignSheet!C11+1)) ) )+(A382+DesignSheet!C16))</f>
        <v>-0.72114916952670982</v>
      </c>
    </row>
    <row r="383" spans="1:3" x14ac:dyDescent="0.3">
      <c r="A383" s="6">
        <f>2*PI()*381/(DesignSheet!C9-1)</f>
        <v>6.6497044500983948</v>
      </c>
      <c r="B383" s="6">
        <f>(DesignSheet!C11*DesignSheet!C13)*COS((A383+DesignSheet!C16)) + (DesignSheet!C7)*COS((DesignSheet!C11+1)*(A383+DesignSheet!C16)) - (DesignSheet!C6/2)*COS(ATAN( SIN(DesignSheet!C11*(A383+DesignSheet!C16)) / ( COS(DesignSheet!C11*(A383+DesignSheet!C16)) + (DesignSheet!C11*DesignSheet!C13)/(DesignSheet!C7*(DesignSheet!C11+1)) ) )+(A383+DesignSheet!C16))</f>
        <v>0.21857352459664309</v>
      </c>
      <c r="C383" s="6">
        <f>(DesignSheet!C11*DesignSheet!C13)*SIN((A383+DesignSheet!C16)) + (DesignSheet!C7)*SIN((DesignSheet!C11+1)*(A383+DesignSheet!C16)) - (DesignSheet!C6/2)*SIN(ATAN( SIN(DesignSheet!C11*(A383+DesignSheet!C16)) / ( COS(DesignSheet!C11*(A383+DesignSheet!C16)) + (DesignSheet!C11*DesignSheet!C13)/(DesignSheet!C7*(DesignSheet!C11+1)) ) )+(A383+DesignSheet!C16))</f>
        <v>-0.71744380570564603</v>
      </c>
    </row>
    <row r="384" spans="1:3" x14ac:dyDescent="0.3">
      <c r="A384" s="6">
        <f>2*PI()*382/(DesignSheet!C9-1)</f>
        <v>6.6671577426183388</v>
      </c>
      <c r="B384" s="6">
        <f>(DesignSheet!C11*DesignSheet!C13)*COS((A384+DesignSheet!C16)) + (DesignSheet!C7)*COS((DesignSheet!C11+1)*(A384+DesignSheet!C16)) - (DesignSheet!C6/2)*COS(ATAN( SIN(DesignSheet!C11*(A384+DesignSheet!C16)) / ( COS(DesignSheet!C11*(A384+DesignSheet!C16)) + (DesignSheet!C11*DesignSheet!C13)/(DesignSheet!C7*(DesignSheet!C11+1)) ) )+(A384+DesignSheet!C16))</f>
        <v>0.23106135568325051</v>
      </c>
      <c r="C384" s="6">
        <f>(DesignSheet!C11*DesignSheet!C13)*SIN((A384+DesignSheet!C16)) + (DesignSheet!C7)*SIN((DesignSheet!C11+1)*(A384+DesignSheet!C16)) - (DesignSheet!C6/2)*SIN(ATAN( SIN(DesignSheet!C11*(A384+DesignSheet!C16)) / ( COS(DesignSheet!C11*(A384+DesignSheet!C16)) + (DesignSheet!C11*DesignSheet!C13)/(DesignSheet!C7*(DesignSheet!C11+1)) ) )+(A384+DesignSheet!C16))</f>
        <v>-0.71351990155132916</v>
      </c>
    </row>
    <row r="385" spans="1:3" x14ac:dyDescent="0.3">
      <c r="A385" s="6">
        <f>2*PI()*383/(DesignSheet!C9-1)</f>
        <v>6.684611035138281</v>
      </c>
      <c r="B385" s="6">
        <f>(DesignSheet!C11*DesignSheet!C13)*COS((A385+DesignSheet!C16)) + (DesignSheet!C7)*COS((DesignSheet!C11+1)*(A385+DesignSheet!C16)) - (DesignSheet!C6/2)*COS(ATAN( SIN(DesignSheet!C11*(A385+DesignSheet!C16)) / ( COS(DesignSheet!C11*(A385+DesignSheet!C16)) + (DesignSheet!C11*DesignSheet!C13)/(DesignSheet!C7*(DesignSheet!C11+1)) ) )+(A385+DesignSheet!C16))</f>
        <v>0.24347880324257271</v>
      </c>
      <c r="C385" s="6">
        <f>(DesignSheet!C11*DesignSheet!C13)*SIN((A385+DesignSheet!C16)) + (DesignSheet!C7)*SIN((DesignSheet!C11+1)*(A385+DesignSheet!C16)) - (DesignSheet!C6/2)*SIN(ATAN( SIN(DesignSheet!C11*(A385+DesignSheet!C16)) / ( COS(DesignSheet!C11*(A385+DesignSheet!C16)) + (DesignSheet!C11*DesignSheet!C13)/(DesignSheet!C7*(DesignSheet!C11+1)) ) )+(A385+DesignSheet!C16))</f>
        <v>-0.70937865232297803</v>
      </c>
    </row>
    <row r="386" spans="1:3" x14ac:dyDescent="0.3">
      <c r="A386" s="6">
        <f>2*PI()*384/(DesignSheet!C9-1)</f>
        <v>6.702064327658225</v>
      </c>
      <c r="B386" s="6">
        <f>(DesignSheet!C11*DesignSheet!C13)*COS((A386+DesignSheet!C16)) + (DesignSheet!C7)*COS((DesignSheet!C11+1)*(A386+DesignSheet!C16)) - (DesignSheet!C6/2)*COS(ATAN( SIN(DesignSheet!C11*(A386+DesignSheet!C16)) / ( COS(DesignSheet!C11*(A386+DesignSheet!C16)) + (DesignSheet!C11*DesignSheet!C13)/(DesignSheet!C7*(DesignSheet!C11+1)) ) )+(A386+DesignSheet!C16))</f>
        <v>0.25582208479979507</v>
      </c>
      <c r="C386" s="6">
        <f>(DesignSheet!C11*DesignSheet!C13)*SIN((A386+DesignSheet!C16)) + (DesignSheet!C7)*SIN((DesignSheet!C11+1)*(A386+DesignSheet!C16)) - (DesignSheet!C6/2)*SIN(ATAN( SIN(DesignSheet!C11*(A386+DesignSheet!C16)) / ( COS(DesignSheet!C11*(A386+DesignSheet!C16)) + (DesignSheet!C11*DesignSheet!C13)/(DesignSheet!C7*(DesignSheet!C11+1)) ) )+(A386+DesignSheet!C16))</f>
        <v>-0.70502131948522406</v>
      </c>
    </row>
    <row r="387" spans="1:3" x14ac:dyDescent="0.3">
      <c r="A387" s="6">
        <f>2*PI()*385/(DesignSheet!C9-1)</f>
        <v>6.719517620178169</v>
      </c>
      <c r="B387" s="6">
        <f>(DesignSheet!C11*DesignSheet!C13)*COS((A387+DesignSheet!C16)) + (DesignSheet!C7)*COS((DesignSheet!C11+1)*(A387+DesignSheet!C16)) - (DesignSheet!C6/2)*COS(ATAN( SIN(DesignSheet!C11*(A387+DesignSheet!C16)) / ( COS(DesignSheet!C11*(A387+DesignSheet!C16)) + (DesignSheet!C11*DesignSheet!C13)/(DesignSheet!C7*(DesignSheet!C11+1)) ) )+(A387+DesignSheet!C16))</f>
        <v>0.26808744047178579</v>
      </c>
      <c r="C387" s="6">
        <f>(DesignSheet!C11*DesignSheet!C13)*SIN((A387+DesignSheet!C16)) + (DesignSheet!C7)*SIN((DesignSheet!C11+1)*(A387+DesignSheet!C16)) - (DesignSheet!C6/2)*SIN(ATAN( SIN(DesignSheet!C11*(A387+DesignSheet!C16)) / ( COS(DesignSheet!C11*(A387+DesignSheet!C16)) + (DesignSheet!C11*DesignSheet!C13)/(DesignSheet!C7*(DesignSheet!C11+1)) ) )+(A387+DesignSheet!C16))</f>
        <v>-0.7004492303238592</v>
      </c>
    </row>
    <row r="388" spans="1:3" x14ac:dyDescent="0.3">
      <c r="A388" s="6">
        <f>2*PI()*386/(DesignSheet!C9-1)</f>
        <v>6.7369709126981121</v>
      </c>
      <c r="B388" s="6">
        <f>(DesignSheet!C11*DesignSheet!C13)*COS((A388+DesignSheet!C16)) + (DesignSheet!C7)*COS((DesignSheet!C11+1)*(A388+DesignSheet!C16)) - (DesignSheet!C6/2)*COS(ATAN( SIN(DesignSheet!C11*(A388+DesignSheet!C16)) / ( COS(DesignSheet!C11*(A388+DesignSheet!C16)) + (DesignSheet!C11*DesignSheet!C13)/(DesignSheet!C7*(DesignSheet!C11+1)) ) )+(A388+DesignSheet!C16))</f>
        <v>0.28027113411238486</v>
      </c>
      <c r="C388" s="6">
        <f>(DesignSheet!C11*DesignSheet!C13)*SIN((A388+DesignSheet!C16)) + (DesignSheet!C7)*SIN((DesignSheet!C11+1)*(A388+DesignSheet!C16)) - (DesignSheet!C6/2)*SIN(ATAN( SIN(DesignSheet!C11*(A388+DesignSheet!C16)) / ( COS(DesignSheet!C11*(A388+DesignSheet!C16)) + (DesignSheet!C11*DesignSheet!C13)/(DesignSheet!C7*(DesignSheet!C11+1)) ) )+(A388+DesignSheet!C16))</f>
        <v>-0.69566377754153441</v>
      </c>
    </row>
    <row r="389" spans="1:3" x14ac:dyDescent="0.3">
      <c r="A389" s="6">
        <f>2*PI()*387/(DesignSheet!C9-1)</f>
        <v>6.7544242052180561</v>
      </c>
      <c r="B389" s="6">
        <f>(DesignSheet!C11*DesignSheet!C13)*COS((A389+DesignSheet!C16)) + (DesignSheet!C7)*COS((DesignSheet!C11+1)*(A389+DesignSheet!C16)) - (DesignSheet!C6/2)*COS(ATAN( SIN(DesignSheet!C11*(A389+DesignSheet!C16)) / ( COS(DesignSheet!C11*(A389+DesignSheet!C16)) + (DesignSheet!C11*DesignSheet!C13)/(DesignSheet!C7*(DesignSheet!C11+1)) ) )+(A389+DesignSheet!C16))</f>
        <v>0.29236945445048712</v>
      </c>
      <c r="C389" s="6">
        <f>(DesignSheet!C11*DesignSheet!C13)*SIN((A389+DesignSheet!C16)) + (DesignSheet!C7)*SIN((DesignSheet!C11+1)*(A389+DesignSheet!C16)) - (DesignSheet!C6/2)*SIN(ATAN( SIN(DesignSheet!C11*(A389+DesignSheet!C16)) / ( COS(DesignSheet!C11*(A389+DesignSheet!C16)) + (DesignSheet!C11*DesignSheet!C13)/(DesignSheet!C7*(DesignSheet!C11+1)) ) )+(A389+DesignSheet!C16))</f>
        <v>-0.69066641883352387</v>
      </c>
    </row>
    <row r="390" spans="1:3" x14ac:dyDescent="0.3">
      <c r="A390" s="6">
        <f>2*PI()*388/(DesignSheet!C9-1)</f>
        <v>6.7718774977379983</v>
      </c>
      <c r="B390" s="6">
        <f>(DesignSheet!C11*DesignSheet!C13)*COS((A390+DesignSheet!C16)) + (DesignSheet!C7)*COS((DesignSheet!C11+1)*(A390+DesignSheet!C16)) - (DesignSheet!C6/2)*COS(ATAN( SIN(DesignSheet!C11*(A390+DesignSheet!C16)) / ( COS(DesignSheet!C11*(A390+DesignSheet!C16)) + (DesignSheet!C11*DesignSheet!C13)/(DesignSheet!C7*(DesignSheet!C11+1)) ) )+(A390+DesignSheet!C16))</f>
        <v>0.3043787162205161</v>
      </c>
      <c r="C390" s="6">
        <f>(DesignSheet!C11*DesignSheet!C13)*SIN((A390+DesignSheet!C16)) + (DesignSheet!C7)*SIN((DesignSheet!C11+1)*(A390+DesignSheet!C16)) - (DesignSheet!C6/2)*SIN(ATAN( SIN(DesignSheet!C11*(A390+DesignSheet!C16)) / ( COS(DesignSheet!C11*(A390+DesignSheet!C16)) + (DesignSheet!C11*DesignSheet!C13)/(DesignSheet!C7*(DesignSheet!C11+1)) ) )+(A390+DesignSheet!C16))</f>
        <v>-0.68545867644370118</v>
      </c>
    </row>
    <row r="391" spans="1:3" x14ac:dyDescent="0.3">
      <c r="A391" s="6">
        <f>2*PI()*389/(DesignSheet!C9-1)</f>
        <v>6.7893307902579423</v>
      </c>
      <c r="B391" s="6">
        <f>(DesignSheet!C11*DesignSheet!C13)*COS((A391+DesignSheet!C16)) + (DesignSheet!C7)*COS((DesignSheet!C11+1)*(A391+DesignSheet!C16)) - (DesignSheet!C6/2)*COS(ATAN( SIN(DesignSheet!C11*(A391+DesignSheet!C16)) / ( COS(DesignSheet!C11*(A391+DesignSheet!C16)) + (DesignSheet!C11*DesignSheet!C13)/(DesignSheet!C7*(DesignSheet!C11+1)) ) )+(A391+DesignSheet!C16))</f>
        <v>0.31629526128500263</v>
      </c>
      <c r="C391" s="6">
        <f>(DesignSheet!C11*DesignSheet!C13)*SIN((A391+DesignSheet!C16)) + (DesignSheet!C7)*SIN((DesignSheet!C11+1)*(A391+DesignSheet!C16)) - (DesignSheet!C6/2)*SIN(ATAN( SIN(DesignSheet!C11*(A391+DesignSheet!C16)) / ( COS(DesignSheet!C11*(A391+DesignSheet!C16)) + (DesignSheet!C11*DesignSheet!C13)/(DesignSheet!C7*(DesignSheet!C11+1)) ) )+(A391+DesignSheet!C16))</f>
        <v>-0.68004213670084579</v>
      </c>
    </row>
    <row r="392" spans="1:3" x14ac:dyDescent="0.3">
      <c r="A392" s="6">
        <f>2*PI()*390/(DesignSheet!C9-1)</f>
        <v>6.8067840827778845</v>
      </c>
      <c r="B392" s="6">
        <f>(DesignSheet!C11*DesignSheet!C13)*COS((A392+DesignSheet!C16)) + (DesignSheet!C7)*COS((DesignSheet!C11+1)*(A392+DesignSheet!C16)) - (DesignSheet!C6/2)*COS(ATAN( SIN(DesignSheet!C11*(A392+DesignSheet!C16)) / ( COS(DesignSheet!C11*(A392+DesignSheet!C16)) + (DesignSheet!C11*DesignSheet!C13)/(DesignSheet!C7*(DesignSheet!C11+1)) ) )+(A392+DesignSheet!C16))</f>
        <v>0.32811545974887957</v>
      </c>
      <c r="C392" s="6">
        <f>(DesignSheet!C11*DesignSheet!C13)*SIN((A392+DesignSheet!C16)) + (DesignSheet!C7)*SIN((DesignSheet!C11+1)*(A392+DesignSheet!C16)) - (DesignSheet!C6/2)*SIN(ATAN( SIN(DesignSheet!C11*(A392+DesignSheet!C16)) / ( COS(DesignSheet!C11*(A392+DesignSheet!C16)) + (DesignSheet!C11*DesignSheet!C13)/(DesignSheet!C7*(DesignSheet!C11+1)) ) )+(A392+DesignSheet!C16))</f>
        <v>-0.67441844953543595</v>
      </c>
    </row>
    <row r="393" spans="1:3" x14ac:dyDescent="0.3">
      <c r="A393" s="6">
        <f>2*PI()*391/(DesignSheet!C9-1)</f>
        <v>6.8242373752978285</v>
      </c>
      <c r="B393" s="6">
        <f>(DesignSheet!C11*DesignSheet!C13)*COS((A393+DesignSheet!C16)) + (DesignSheet!C7)*COS((DesignSheet!C11+1)*(A393+DesignSheet!C16)) - (DesignSheet!C6/2)*COS(ATAN( SIN(DesignSheet!C11*(A393+DesignSheet!C16)) / ( COS(DesignSheet!C11*(A393+DesignSheet!C16)) + (DesignSheet!C11*DesignSheet!C13)/(DesignSheet!C7*(DesignSheet!C11+1)) ) )+(A393+DesignSheet!C16))</f>
        <v>0.33983571106519239</v>
      </c>
      <c r="C393" s="6">
        <f>(DesignSheet!C11*DesignSheet!C13)*SIN((A393+DesignSheet!C16)) + (DesignSheet!C7)*SIN((DesignSheet!C11+1)*(A393+DesignSheet!C16)) - (DesignSheet!C6/2)*SIN(ATAN( SIN(DesignSheet!C11*(A393+DesignSheet!C16)) / ( COS(DesignSheet!C11*(A393+DesignSheet!C16)) + (DesignSheet!C11*DesignSheet!C13)/(DesignSheet!C7*(DesignSheet!C11+1)) ) )+(A393+DesignSheet!C16))</f>
        <v>-0.66858932797705872</v>
      </c>
    </row>
    <row r="394" spans="1:3" x14ac:dyDescent="0.3">
      <c r="A394" s="6">
        <f>2*PI()*392/(DesignSheet!C9-1)</f>
        <v>6.8416906678177716</v>
      </c>
      <c r="B394" s="6">
        <f>(DesignSheet!C11*DesignSheet!C13)*COS((A394+DesignSheet!C16)) + (DesignSheet!C7)*COS((DesignSheet!C11+1)*(A394+DesignSheet!C16)) - (DesignSheet!C6/2)*COS(ATAN( SIN(DesignSheet!C11*(A394+DesignSheet!C16)) / ( COS(DesignSheet!C11*(A394+DesignSheet!C16)) + (DesignSheet!C11*DesignSheet!C13)/(DesignSheet!C7*(DesignSheet!C11+1)) ) )+(A394+DesignSheet!C16))</f>
        <v>0.35145244513185225</v>
      </c>
      <c r="C394" s="6">
        <f>(DesignSheet!C11*DesignSheet!C13)*SIN((A394+DesignSheet!C16)) + (DesignSheet!C7)*SIN((DesignSheet!C11+1)*(A394+DesignSheet!C16)) - (DesignSheet!C6/2)*SIN(ATAN( SIN(DesignSheet!C11*(A394+DesignSheet!C16)) / ( COS(DesignSheet!C11*(A394+DesignSheet!C16)) + (DesignSheet!C11*DesignSheet!C13)/(DesignSheet!C7*(DesignSheet!C11+1)) ) )+(A394+DesignSheet!C16))</f>
        <v>-0.66255654763260963</v>
      </c>
    </row>
    <row r="395" spans="1:3" x14ac:dyDescent="0.3">
      <c r="A395" s="6">
        <f>2*PI()*393/(DesignSheet!C9-1)</f>
        <v>6.8591439603377147</v>
      </c>
      <c r="B395" s="6">
        <f>(DesignSheet!C11*DesignSheet!C13)*COS((A395+DesignSheet!C16)) + (DesignSheet!C7)*COS((DesignSheet!C11+1)*(A395+DesignSheet!C16)) - (DesignSheet!C6/2)*COS(ATAN( SIN(DesignSheet!C11*(A395+DesignSheet!C16)) / ( COS(DesignSheet!C11*(A395+DesignSheet!C16)) + (DesignSheet!C11*DesignSheet!C13)/(DesignSheet!C7*(DesignSheet!C11+1)) ) )+(A395+DesignSheet!C16))</f>
        <v>0.36296212337912748</v>
      </c>
      <c r="C395" s="6">
        <f>(DesignSheet!C11*DesignSheet!C13)*SIN((A395+DesignSheet!C16)) + (DesignSheet!C7)*SIN((DesignSheet!C11+1)*(A395+DesignSheet!C16)) - (DesignSheet!C6/2)*SIN(ATAN( SIN(DesignSheet!C11*(A395+DesignSheet!C16)) / ( COS(DesignSheet!C11*(A395+DesignSheet!C16)) + (DesignSheet!C11*DesignSheet!C13)/(DesignSheet!C7*(DesignSheet!C11+1)) ) )+(A395+DesignSheet!C16))</f>
        <v>-0.65632194614542261</v>
      </c>
    </row>
    <row r="396" spans="1:3" x14ac:dyDescent="0.3">
      <c r="A396" s="6">
        <f>2*PI()*394/(DesignSheet!C9-1)</f>
        <v>6.8765972528576578</v>
      </c>
      <c r="B396" s="6">
        <f>(DesignSheet!C11*DesignSheet!C13)*COS((A396+DesignSheet!C16)) + (DesignSheet!C7)*COS((DesignSheet!C11+1)*(A396+DesignSheet!C16)) - (DesignSheet!C6/2)*COS(ATAN( SIN(DesignSheet!C11*(A396+DesignSheet!C16)) / ( COS(DesignSheet!C11*(A396+DesignSheet!C16)) + (DesignSheet!C11*DesignSheet!C13)/(DesignSheet!C7*(DesignSheet!C11+1)) ) )+(A396+DesignSheet!C16))</f>
        <v>0.37436123984752845</v>
      </c>
      <c r="C396" s="6">
        <f>(DesignSheet!C11*DesignSheet!C13)*SIN((A396+DesignSheet!C16)) + (DesignSheet!C7)*SIN((DesignSheet!C11+1)*(A396+DesignSheet!C16)) - (DesignSheet!C6/2)*SIN(ATAN( SIN(DesignSheet!C11*(A396+DesignSheet!C16)) / ( COS(DesignSheet!C11*(A396+DesignSheet!C16)) + (DesignSheet!C11*DesignSheet!C13)/(DesignSheet!C7*(DesignSheet!C11+1)) ) )+(A396+DesignSheet!C16))</f>
        <v>-0.64988742263550636</v>
      </c>
    </row>
    <row r="397" spans="1:3" x14ac:dyDescent="0.3">
      <c r="A397" s="6">
        <f>2*PI()*395/(DesignSheet!C9-1)</f>
        <v>6.8940505453776018</v>
      </c>
      <c r="B397" s="6">
        <f>(DesignSheet!C11*DesignSheet!C13)*COS((A397+DesignSheet!C16)) + (DesignSheet!C7)*COS((DesignSheet!C11+1)*(A397+DesignSheet!C16)) - (DesignSheet!C6/2)*COS(ATAN( SIN(DesignSheet!C11*(A397+DesignSheet!C16)) / ( COS(DesignSheet!C11*(A397+DesignSheet!C16)) + (DesignSheet!C11*DesignSheet!C13)/(DesignSheet!C7*(DesignSheet!C11+1)) ) )+(A397+DesignSheet!C16))</f>
        <v>0.38564632225575546</v>
      </c>
      <c r="C397" s="6">
        <f>(DesignSheet!C11*DesignSheet!C13)*SIN((A397+DesignSheet!C16)) + (DesignSheet!C7)*SIN((DesignSheet!C11+1)*(A397+DesignSheet!C16)) - (DesignSheet!C6/2)*SIN(ATAN( SIN(DesignSheet!C11*(A397+DesignSheet!C16)) / ( COS(DesignSheet!C11*(A397+DesignSheet!C16)) + (DesignSheet!C11*DesignSheet!C13)/(DesignSheet!C7*(DesignSheet!C11+1)) ) )+(A397+DesignSheet!C16))</f>
        <v>-0.64325493712105319</v>
      </c>
    </row>
    <row r="398" spans="1:3" x14ac:dyDescent="0.3">
      <c r="A398" s="6">
        <f>2*PI()*396/(DesignSheet!C9-1)</f>
        <v>6.9115038378975457</v>
      </c>
      <c r="B398" s="6">
        <f>(DesignSheet!C11*DesignSheet!C13)*COS((A398+DesignSheet!C16)) + (DesignSheet!C7)*COS((DesignSheet!C11+1)*(A398+DesignSheet!C16)) - (DesignSheet!C6/2)*COS(ATAN( SIN(DesignSheet!C11*(A398+DesignSheet!C16)) / ( COS(DesignSheet!C11*(A398+DesignSheet!C16)) + (DesignSheet!C11*DesignSheet!C13)/(DesignSheet!C7*(DesignSheet!C11+1)) ) )+(A398+DesignSheet!C16))</f>
        <v>0.39681393305838114</v>
      </c>
      <c r="C398" s="6">
        <f>(DesignSheet!C11*DesignSheet!C13)*SIN((A398+DesignSheet!C16)) + (DesignSheet!C7)*SIN((DesignSheet!C11+1)*(A398+DesignSheet!C16)) - (DesignSheet!C6/2)*SIN(ATAN( SIN(DesignSheet!C11*(A398+DesignSheet!C16)) / ( COS(DesignSheet!C11*(A398+DesignSheet!C16)) + (DesignSheet!C11*DesignSheet!C13)/(DesignSheet!C7*(DesignSheet!C11+1)) ) )+(A398+DesignSheet!C16))</f>
        <v>-0.6364265099214037</v>
      </c>
    </row>
    <row r="399" spans="1:3" x14ac:dyDescent="0.3">
      <c r="A399" s="6">
        <f>2*PI()*397/(DesignSheet!C9-1)</f>
        <v>6.928957130417488</v>
      </c>
      <c r="B399" s="6">
        <f>(DesignSheet!C11*DesignSheet!C13)*COS((A399+DesignSheet!C16)) + (DesignSheet!C7)*COS((DesignSheet!C11+1)*(A399+DesignSheet!C16)) - (DesignSheet!C6/2)*COS(ATAN( SIN(DesignSheet!C11*(A399+DesignSheet!C16)) / ( COS(DesignSheet!C11*(A399+DesignSheet!C16)) + (DesignSheet!C11*DesignSheet!C13)/(DesignSheet!C7*(DesignSheet!C11+1)) ) )+(A399+DesignSheet!C16))</f>
        <v>0.40786067049297442</v>
      </c>
      <c r="C399" s="6">
        <f>(DesignSheet!C11*DesignSheet!C13)*SIN((A399+DesignSheet!C16)) + (DesignSheet!C7)*SIN((DesignSheet!C11+1)*(A399+DesignSheet!C16)) - (DesignSheet!C6/2)*SIN(ATAN( SIN(DesignSheet!C11*(A399+DesignSheet!C16)) / ( COS(DesignSheet!C11*(A399+DesignSheet!C16)) + (DesignSheet!C11*DesignSheet!C13)/(DesignSheet!C7*(DesignSheet!C11+1)) ) )+(A399+DesignSheet!C16))</f>
        <v>-0.6294042210416303</v>
      </c>
    </row>
    <row r="400" spans="1:3" x14ac:dyDescent="0.3">
      <c r="A400" s="6">
        <f>2*PI()*398/(DesignSheet!C9-1)</f>
        <v>6.9464104229374319</v>
      </c>
      <c r="B400" s="6">
        <f>(DesignSheet!C11*DesignSheet!C13)*COS((A400+DesignSheet!C16)) + (DesignSheet!C7)*COS((DesignSheet!C11+1)*(A400+DesignSheet!C16)) - (DesignSheet!C6/2)*COS(ATAN( SIN(DesignSheet!C11*(A400+DesignSheet!C16)) / ( COS(DesignSheet!C11*(A400+DesignSheet!C16)) + (DesignSheet!C11*DesignSheet!C13)/(DesignSheet!C7*(DesignSheet!C11+1)) ) )+(A400+DesignSheet!C16))</f>
        <v>0.41878316961630269</v>
      </c>
      <c r="C400" s="6">
        <f>(DesignSheet!C11*DesignSheet!C13)*SIN((A400+DesignSheet!C16)) + (DesignSheet!C7)*SIN((DesignSheet!C11+1)*(A400+DesignSheet!C16)) - (DesignSheet!C6/2)*SIN(ATAN( SIN(DesignSheet!C11*(A400+DesignSheet!C16)) / ( COS(DesignSheet!C11*(A400+DesignSheet!C16)) + (DesignSheet!C11*DesignSheet!C13)/(DesignSheet!C7*(DesignSheet!C11+1)) ) )+(A400+DesignSheet!C16))</f>
        <v>-0.62219020953895043</v>
      </c>
    </row>
    <row r="401" spans="1:3" x14ac:dyDescent="0.3">
      <c r="A401" s="6">
        <f>2*PI()*399/(DesignSheet!C9-1)</f>
        <v>6.9638637154573741</v>
      </c>
      <c r="B401" s="6">
        <f>(DesignSheet!C11*DesignSheet!C13)*COS((A401+DesignSheet!C16)) + (DesignSheet!C7)*COS((DesignSheet!C11+1)*(A401+DesignSheet!C16)) - (DesignSheet!C6/2)*COS(ATAN( SIN(DesignSheet!C11*(A401+DesignSheet!C16)) / ( COS(DesignSheet!C11*(A401+DesignSheet!C16)) + (DesignSheet!C11*DesignSheet!C13)/(DesignSheet!C7*(DesignSheet!C11+1)) ) )+(A401+DesignSheet!C16))</f>
        <v>0.42957810332932</v>
      </c>
      <c r="C401" s="6">
        <f>(DesignSheet!C11*DesignSheet!C13)*SIN((A401+DesignSheet!C16)) + (DesignSheet!C7)*SIN((DesignSheet!C11+1)*(A401+DesignSheet!C16)) - (DesignSheet!C6/2)*SIN(ATAN( SIN(DesignSheet!C11*(A401+DesignSheet!C16)) / ( COS(DesignSheet!C11*(A401+DesignSheet!C16)) + (DesignSheet!C11*DesignSheet!C13)/(DesignSheet!C7*(DesignSheet!C11+1)) ) )+(A401+DesignSheet!C16))</f>
        <v>-0.61478667287115463</v>
      </c>
    </row>
    <row r="402" spans="1:3" x14ac:dyDescent="0.3">
      <c r="A402" s="6">
        <f>2*PI()*400/(DesignSheet!C9-1)</f>
        <v>6.9813170079773181</v>
      </c>
      <c r="B402" s="6">
        <f>(DesignSheet!C11*DesignSheet!C13)*COS((A402+DesignSheet!C16)) + (DesignSheet!C7)*COS((DesignSheet!C11+1)*(A402+DesignSheet!C16)) - (DesignSheet!C6/2)*COS(ATAN( SIN(DesignSheet!C11*(A402+DesignSheet!C16)) / ( COS(DesignSheet!C11*(A402+DesignSheet!C16)) + (DesignSheet!C11*DesignSheet!C13)/(DesignSheet!C7*(DesignSheet!C11+1)) ) )+(A402+DesignSheet!C16))</f>
        <v>0.44024218339064669</v>
      </c>
      <c r="C402" s="6">
        <f>(DesignSheet!C11*DesignSheet!C13)*SIN((A402+DesignSheet!C16)) + (DesignSheet!C7)*SIN((DesignSheet!C11+1)*(A402+DesignSheet!C16)) - (DesignSheet!C6/2)*SIN(ATAN( SIN(DesignSheet!C11*(A402+DesignSheet!C16)) / ( COS(DesignSheet!C11*(A402+DesignSheet!C16)) + (DesignSheet!C11*DesignSheet!C13)/(DesignSheet!C7*(DesignSheet!C11+1)) ) )+(A402+DesignSheet!C16))</f>
        <v>-0.6071958662272301</v>
      </c>
    </row>
    <row r="403" spans="1:3" x14ac:dyDescent="0.3">
      <c r="A403" s="6">
        <f>2*PI()*401/(DesignSheet!C9-1)</f>
        <v>6.9987703004972612</v>
      </c>
      <c r="B403" s="6">
        <f>(DesignSheet!C11*DesignSheet!C13)*COS((A403+DesignSheet!C16)) + (DesignSheet!C7)*COS((DesignSheet!C11+1)*(A403+DesignSheet!C16)) - (DesignSheet!C6/2)*COS(ATAN( SIN(DesignSheet!C11*(A403+DesignSheet!C16)) / ( COS(DesignSheet!C11*(A403+DesignSheet!C16)) + (DesignSheet!C11*DesignSheet!C13)/(DesignSheet!C7*(DesignSheet!C11+1)) ) )+(A403+DesignSheet!C16))</f>
        <v>0.45077216141819176</v>
      </c>
      <c r="C403" s="6">
        <f>(DesignSheet!C11*DesignSheet!C13)*SIN((A403+DesignSheet!C16)) + (DesignSheet!C7)*SIN((DesignSheet!C11+1)*(A403+DesignSheet!C16)) - (DesignSheet!C6/2)*SIN(ATAN( SIN(DesignSheet!C11*(A403+DesignSheet!C16)) / ( COS(DesignSheet!C11*(A403+DesignSheet!C16)) + (DesignSheet!C11*DesignSheet!C13)/(DesignSheet!C7*(DesignSheet!C11+1)) ) )+(A403+DesignSheet!C16))</f>
        <v>-0.59942010184041339</v>
      </c>
    </row>
    <row r="404" spans="1:3" x14ac:dyDescent="0.3">
      <c r="A404" s="6">
        <f>2*PI()*402/(DesignSheet!C9-1)</f>
        <v>7.0162235930172052</v>
      </c>
      <c r="B404" s="6">
        <f>(DesignSheet!C11*DesignSheet!C13)*COS((A404+DesignSheet!C16)) + (DesignSheet!C7)*COS((DesignSheet!C11+1)*(A404+DesignSheet!C16)) - (DesignSheet!C6/2)*COS(ATAN( SIN(DesignSheet!C11*(A404+DesignSheet!C16)) / ( COS(DesignSheet!C11*(A404+DesignSheet!C16)) + (DesignSheet!C11*DesignSheet!C13)/(DesignSheet!C7*(DesignSheet!C11+1)) ) )+(A404+DesignSheet!C16))</f>
        <v>0.46116482987864105</v>
      </c>
      <c r="C404" s="6">
        <f>(DesignSheet!C11*DesignSheet!C13)*SIN((A404+DesignSheet!C16)) + (DesignSheet!C7)*SIN((DesignSheet!C11+1)*(A404+DesignSheet!C16)) - (DesignSheet!C6/2)*SIN(ATAN( SIN(DesignSheet!C11*(A404+DesignSheet!C16)) / ( COS(DesignSheet!C11*(A404+DesignSheet!C16)) + (DesignSheet!C11*DesignSheet!C13)/(DesignSheet!C7*(DesignSheet!C11+1)) ) )+(A404+DesignSheet!C16))</f>
        <v>-0.59146174828386333</v>
      </c>
    </row>
    <row r="405" spans="1:3" x14ac:dyDescent="0.3">
      <c r="A405" s="6">
        <f>2*PI()*403/(DesignSheet!C9-1)</f>
        <v>7.0336768855371474</v>
      </c>
      <c r="B405" s="6">
        <f>(DesignSheet!C11*DesignSheet!C13)*COS((A405+DesignSheet!C16)) + (DesignSheet!C7)*COS((DesignSheet!C11+1)*(A405+DesignSheet!C16)) - (DesignSheet!C6/2)*COS(ATAN( SIN(DesignSheet!C11*(A405+DesignSheet!C16)) / ( COS(DesignSheet!C11*(A405+DesignSheet!C16)) + (DesignSheet!C11*DesignSheet!C13)/(DesignSheet!C7*(DesignSheet!C11+1)) ) )+(A405+DesignSheet!C16))</f>
        <v>0.47141702306450417</v>
      </c>
      <c r="C405" s="6">
        <f>(DesignSheet!C11*DesignSheet!C13)*SIN((A405+DesignSheet!C16)) + (DesignSheet!C7)*SIN((DesignSheet!C11+1)*(A405+DesignSheet!C16)) - (DesignSheet!C6/2)*SIN(ATAN( SIN(DesignSheet!C11*(A405+DesignSheet!C16)) / ( COS(DesignSheet!C11*(A405+DesignSheet!C16)) + (DesignSheet!C11*DesignSheet!C13)/(DesignSheet!C7*(DesignSheet!C11+1)) ) )+(A405+DesignSheet!C16))</f>
        <v>-0.58332322974916817</v>
      </c>
    </row>
    <row r="406" spans="1:3" x14ac:dyDescent="0.3">
      <c r="A406" s="6">
        <f>2*PI()*404/(DesignSheet!C9-1)</f>
        <v>7.0511301780570914</v>
      </c>
      <c r="B406" s="6">
        <f>(DesignSheet!C11*DesignSheet!C13)*COS((A406+DesignSheet!C16)) + (DesignSheet!C7)*COS((DesignSheet!C11+1)*(A406+DesignSheet!C16)) - (DesignSheet!C6/2)*COS(ATAN( SIN(DesignSheet!C11*(A406+DesignSheet!C16)) / ( COS(DesignSheet!C11*(A406+DesignSheet!C16)) + (DesignSheet!C11*DesignSheet!C13)/(DesignSheet!C7*(DesignSheet!C11+1)) ) )+(A406+DesignSheet!C16))</f>
        <v>0.48152561805842353</v>
      </c>
      <c r="C406" s="6">
        <f>(DesignSheet!C11*DesignSheet!C13)*SIN((A406+DesignSheet!C16)) + (DesignSheet!C7)*SIN((DesignSheet!C11+1)*(A406+DesignSheet!C16)) - (DesignSheet!C6/2)*SIN(ATAN( SIN(DesignSheet!C11*(A406+DesignSheet!C16)) / ( COS(DesignSheet!C11*(A406+DesignSheet!C16)) + (DesignSheet!C11*DesignSheet!C13)/(DesignSheet!C7*(DesignSheet!C11+1)) ) )+(A406+DesignSheet!C16))</f>
        <v>-0.57500702530791159</v>
      </c>
    </row>
    <row r="407" spans="1:3" x14ac:dyDescent="0.3">
      <c r="A407" s="6">
        <f>2*PI()*405/(DesignSheet!C9-1)</f>
        <v>7.0685834705770336</v>
      </c>
      <c r="B407" s="6">
        <f>(DesignSheet!C11*DesignSheet!C13)*COS((A407+DesignSheet!C16)) + (DesignSheet!C7)*COS((DesignSheet!C11+1)*(A407+DesignSheet!C16)) - (DesignSheet!C6/2)*COS(ATAN( SIN(DesignSheet!C11*(A407+DesignSheet!C16)) / ( COS(DesignSheet!C11*(A407+DesignSheet!C16)) + (DesignSheet!C11*DesignSheet!C13)/(DesignSheet!C7*(DesignSheet!C11+1)) ) )+(A407+DesignSheet!C16))</f>
        <v>0.49148753568443798</v>
      </c>
      <c r="C407" s="6">
        <f>(DesignSheet!C11*DesignSheet!C13)*SIN((A407+DesignSheet!C16)) + (DesignSheet!C7)*SIN((DesignSheet!C11+1)*(A407+DesignSheet!C16)) - (DesignSheet!C6/2)*SIN(ATAN( SIN(DesignSheet!C11*(A407+DesignSheet!C16)) / ( COS(DesignSheet!C11*(A407+DesignSheet!C16)) + (DesignSheet!C11*DesignSheet!C13)/(DesignSheet!C7*(DesignSheet!C11+1)) ) )+(A407+DesignSheet!C16))</f>
        <v>-0.56651566815652887</v>
      </c>
    </row>
    <row r="408" spans="1:3" x14ac:dyDescent="0.3">
      <c r="A408" s="6">
        <f>2*PI()*406/(DesignSheet!C9-1)</f>
        <v>7.0860367630969776</v>
      </c>
      <c r="B408" s="6">
        <f>(DesignSheet!C11*DesignSheet!C13)*COS((A408+DesignSheet!C16)) + (DesignSheet!C7)*COS((DesignSheet!C11+1)*(A408+DesignSheet!C16)) - (DesignSheet!C6/2)*COS(ATAN( SIN(DesignSheet!C11*(A408+DesignSheet!C16)) / ( COS(DesignSheet!C11*(A408+DesignSheet!C16)) + (DesignSheet!C11*DesignSheet!C13)/(DesignSheet!C7*(DesignSheet!C11+1)) ) )+(A408+DesignSheet!C16))</f>
        <v>0.50129974144593725</v>
      </c>
      <c r="C408" s="6">
        <f>(DesignSheet!C11*DesignSheet!C13)*SIN((A408+DesignSheet!C16)) + (DesignSheet!C7)*SIN((DesignSheet!C11+1)*(A408+DesignSheet!C16)) - (DesignSheet!C6/2)*SIN(ATAN( SIN(DesignSheet!C11*(A408+DesignSheet!C16)) / ( COS(DesignSheet!C11*(A408+DesignSheet!C16)) + (DesignSheet!C11*DesignSheet!C13)/(DesignSheet!C7*(DesignSheet!C11+1)) ) )+(A408+DesignSheet!C16))</f>
        <v>-0.55785174484466427</v>
      </c>
    </row>
    <row r="409" spans="1:3" x14ac:dyDescent="0.3">
      <c r="A409" s="6">
        <f>2*PI()*407/(DesignSheet!C9-1)</f>
        <v>7.1034900556169216</v>
      </c>
      <c r="B409" s="6">
        <f>(DesignSheet!C11*DesignSheet!C13)*COS((A409+DesignSheet!C16)) + (DesignSheet!C7)*COS((DesignSheet!C11+1)*(A409+DesignSheet!C16)) - (DesignSheet!C6/2)*COS(ATAN( SIN(DesignSheet!C11*(A409+DesignSheet!C16)) / ( COS(DesignSheet!C11*(A409+DesignSheet!C16)) + (DesignSheet!C11*DesignSheet!C13)/(DesignSheet!C7*(DesignSheet!C11+1)) ) )+(A409+DesignSheet!C16))</f>
        <v>0.51095924644999247</v>
      </c>
      <c r="C409" s="6">
        <f>(DesignSheet!C11*DesignSheet!C13)*SIN((A409+DesignSheet!C16)) + (DesignSheet!C7)*SIN((DesignSheet!C11+1)*(A409+DesignSheet!C16)) - (DesignSheet!C6/2)*SIN(ATAN( SIN(DesignSheet!C11*(A409+DesignSheet!C16)) / ( COS(DesignSheet!C11*(A409+DesignSheet!C16)) + (DesignSheet!C11*DesignSheet!C13)/(DesignSheet!C7*(DesignSheet!C11+1)) ) )+(A409+DesignSheet!C16))</f>
        <v>-0.54901789448728888</v>
      </c>
    </row>
    <row r="410" spans="1:3" x14ac:dyDescent="0.3">
      <c r="A410" s="6">
        <f>2*PI()*408/(DesignSheet!C9-1)</f>
        <v>7.1209433481368638</v>
      </c>
      <c r="B410" s="6">
        <f>(DesignSheet!C11*DesignSheet!C13)*COS((A410+DesignSheet!C16)) + (DesignSheet!C7)*COS((DesignSheet!C11+1)*(A410+DesignSheet!C16)) - (DesignSheet!C6/2)*COS(ATAN( SIN(DesignSheet!C11*(A410+DesignSheet!C16)) / ( COS(DesignSheet!C11*(A410+DesignSheet!C16)) + (DesignSheet!C11*DesignSheet!C13)/(DesignSheet!C7*(DesignSheet!C11+1)) ) )+(A410+DesignSheet!C16))</f>
        <v>0.52046310831780462</v>
      </c>
      <c r="C410" s="6">
        <f>(DesignSheet!C11*DesignSheet!C13)*SIN((A410+DesignSheet!C16)) + (DesignSheet!C7)*SIN((DesignSheet!C11+1)*(A410+DesignSheet!C16)) - (DesignSheet!C6/2)*SIN(ATAN( SIN(DesignSheet!C11*(A410+DesignSheet!C16)) / ( COS(DesignSheet!C11*(A410+DesignSheet!C16)) + (DesignSheet!C11*DesignSheet!C13)/(DesignSheet!C7*(DesignSheet!C11+1)) ) )+(A410+DesignSheet!C16))</f>
        <v>-0.54001680796079776</v>
      </c>
    </row>
    <row r="411" spans="1:3" x14ac:dyDescent="0.3">
      <c r="A411" s="6">
        <f>2*PI()*409/(DesignSheet!C9-1)</f>
        <v>7.1383966406568078</v>
      </c>
      <c r="B411" s="6">
        <f>(DesignSheet!C11*DesignSheet!C13)*COS((A411+DesignSheet!C16)) + (DesignSheet!C7)*COS((DesignSheet!C11+1)*(A411+DesignSheet!C16)) - (DesignSheet!C6/2)*COS(ATAN( SIN(DesignSheet!C11*(A411+DesignSheet!C16)) / ( COS(DesignSheet!C11*(A411+DesignSheet!C16)) + (DesignSheet!C11*DesignSheet!C13)/(DesignSheet!C7*(DesignSheet!C11+1)) ) )+(A411+DesignSheet!C16))</f>
        <v>0.52980843208098483</v>
      </c>
      <c r="C411" s="6">
        <f>(DesignSheet!C11*DesignSheet!C13)*SIN((A411+DesignSheet!C16)) + (DesignSheet!C7)*SIN((DesignSheet!C11+1)*(A411+DesignSheet!C16)) - (DesignSheet!C6/2)*SIN(ATAN( SIN(DesignSheet!C11*(A411+DesignSheet!C16)) / ( COS(DesignSheet!C11*(A411+DesignSheet!C16)) + (DesignSheet!C11*DesignSheet!C13)/(DesignSheet!C7*(DesignSheet!C11+1)) ) )+(A411+DesignSheet!C16))</f>
        <v>-0.53085122708334054</v>
      </c>
    </row>
    <row r="412" spans="1:3" x14ac:dyDescent="0.3">
      <c r="A412" s="6">
        <f>2*PI()*410/(DesignSheet!C9-1)</f>
        <v>7.1558499331767509</v>
      </c>
      <c r="B412" s="6">
        <f>(DesignSheet!C11*DesignSheet!C13)*COS((A412+DesignSheet!C16)) + (DesignSheet!C7)*COS((DesignSheet!C11+1)*(A412+DesignSheet!C16)) - (DesignSheet!C6/2)*COS(ATAN( SIN(DesignSheet!C11*(A412+DesignSheet!C16)) / ( COS(DesignSheet!C11*(A412+DesignSheet!C16)) + (DesignSheet!C11*DesignSheet!C13)/(DesignSheet!C7*(DesignSheet!C11+1)) ) )+(A412+DesignSheet!C16))</f>
        <v>0.53899237106338271</v>
      </c>
      <c r="C412" s="6">
        <f>(DesignSheet!C11*DesignSheet!C13)*SIN((A412+DesignSheet!C16)) + (DesignSheet!C7)*SIN((DesignSheet!C11+1)*(A412+DesignSheet!C16)) - (DesignSheet!C6/2)*SIN(ATAN( SIN(DesignSheet!C11*(A412+DesignSheet!C16)) / ( COS(DesignSheet!C11*(A412+DesignSheet!C16)) + (DesignSheet!C11*DesignSheet!C13)/(DesignSheet!C7*(DesignSheet!C11+1)) ) )+(A412+DesignSheet!C16))</f>
        <v>-0.5215239437796434</v>
      </c>
    </row>
    <row r="413" spans="1:3" x14ac:dyDescent="0.3">
      <c r="A413" s="6">
        <f>2*PI()*411/(DesignSheet!C9-1)</f>
        <v>7.1733032256966949</v>
      </c>
      <c r="B413" s="6">
        <f>(DesignSheet!C11*DesignSheet!C13)*COS((A413+DesignSheet!C16)) + (DesignSheet!C7)*COS((DesignSheet!C11+1)*(A413+DesignSheet!C16)) - (DesignSheet!C6/2)*COS(ATAN( SIN(DesignSheet!C11*(A413+DesignSheet!C16)) / ( COS(DesignSheet!C11*(A413+DesignSheet!C16)) + (DesignSheet!C11*DesignSheet!C13)/(DesignSheet!C7*(DesignSheet!C11+1)) ) )+(A413+DesignSheet!C16))</f>
        <v>0.54801212774822017</v>
      </c>
      <c r="C413" s="6">
        <f>(DesignSheet!C11*DesignSheet!C13)*SIN((A413+DesignSheet!C16)) + (DesignSheet!C7)*SIN((DesignSheet!C11+1)*(A413+DesignSheet!C16)) - (DesignSheet!C6/2)*SIN(ATAN( SIN(DesignSheet!C11*(A413+DesignSheet!C16)) / ( COS(DesignSheet!C11*(A413+DesignSheet!C16)) + (DesignSheet!C11*DesignSheet!C13)/(DesignSheet!C7*(DesignSheet!C11+1)) ) )+(A413+DesignSheet!C16))</f>
        <v>-0.51203779923055326</v>
      </c>
    </row>
    <row r="414" spans="1:3" x14ac:dyDescent="0.3">
      <c r="A414" s="6">
        <f>2*PI()*412/(DesignSheet!C9-1)</f>
        <v>7.1907565182166371</v>
      </c>
      <c r="B414" s="6">
        <f>(DesignSheet!C11*DesignSheet!C13)*COS((A414+DesignSheet!C16)) + (DesignSheet!C7)*COS((DesignSheet!C11+1)*(A414+DesignSheet!C16)) - (DesignSheet!C6/2)*COS(ATAN( SIN(DesignSheet!C11*(A414+DesignSheet!C16)) / ( COS(DesignSheet!C11*(A414+DesignSheet!C16)) + (DesignSheet!C11*DesignSheet!C13)/(DesignSheet!C7*(DesignSheet!C11+1)) ) )+(A414+DesignSheet!C16))</f>
        <v>0.55686495463023111</v>
      </c>
      <c r="C414" s="6">
        <f>(DesignSheet!C11*DesignSheet!C13)*SIN((A414+DesignSheet!C16)) + (DesignSheet!C7)*SIN((DesignSheet!C11+1)*(A414+DesignSheet!C16)) - (DesignSheet!C6/2)*SIN(ATAN( SIN(DesignSheet!C11*(A414+DesignSheet!C16)) / ( COS(DesignSheet!C11*(A414+DesignSheet!C16)) + (DesignSheet!C11*DesignSheet!C13)/(DesignSheet!C7*(DesignSheet!C11+1)) ) )+(A414+DesignSheet!C16))</f>
        <v>-0.50239568300759785</v>
      </c>
    </row>
    <row r="415" spans="1:3" x14ac:dyDescent="0.3">
      <c r="A415" s="6">
        <f>2*PI()*413/(DesignSheet!C9-1)</f>
        <v>7.2082098107365811</v>
      </c>
      <c r="B415" s="6">
        <f>(DesignSheet!C11*DesignSheet!C13)*COS((A415+DesignSheet!C16)) + (DesignSheet!C7)*COS((DesignSheet!C11+1)*(A415+DesignSheet!C16)) - (DesignSheet!C6/2)*COS(ATAN( SIN(DesignSheet!C11*(A415+DesignSheet!C16)) / ( COS(DesignSheet!C11*(A415+DesignSheet!C16)) + (DesignSheet!C11*DesignSheet!C13)/(DesignSheet!C7*(DesignSheet!C11+1)) ) )+(A415+DesignSheet!C16))</f>
        <v>0.5655481550525896</v>
      </c>
      <c r="C415" s="6">
        <f>(DesignSheet!C11*DesignSheet!C13)*SIN((A415+DesignSheet!C16)) + (DesignSheet!C7)*SIN((DesignSheet!C11+1)*(A415+DesignSheet!C16)) - (DesignSheet!C6/2)*SIN(ATAN( SIN(DesignSheet!C11*(A415+DesignSheet!C16)) / ( COS(DesignSheet!C11*(A415+DesignSheet!C16)) + (DesignSheet!C11*DesignSheet!C13)/(DesignSheet!C7*(DesignSheet!C11+1)) ) )+(A415+DesignSheet!C16))</f>
        <v>-0.49260053219278199</v>
      </c>
    </row>
    <row r="416" spans="1:3" x14ac:dyDescent="0.3">
      <c r="A416" s="6">
        <f>2*PI()*414/(DesignSheet!C9-1)</f>
        <v>7.2256631032565233</v>
      </c>
      <c r="B416" s="6">
        <f>(DesignSheet!C11*DesignSheet!C13)*COS((A416+DesignSheet!C16)) + (DesignSheet!C7)*COS((DesignSheet!C11+1)*(A416+DesignSheet!C16)) - (DesignSheet!C6/2)*COS(ATAN( SIN(DesignSheet!C11*(A416+DesignSheet!C16)) / ( COS(DesignSheet!C11*(A416+DesignSheet!C16)) + (DesignSheet!C11*DesignSheet!C13)/(DesignSheet!C7*(DesignSheet!C11+1)) ) )+(A416+DesignSheet!C16))</f>
        <v>0.57405908402833117</v>
      </c>
      <c r="C416" s="6">
        <f>(DesignSheet!C11*DesignSheet!C13)*SIN((A416+DesignSheet!C16)) + (DesignSheet!C7)*SIN((DesignSheet!C11+1)*(A416+DesignSheet!C16)) - (DesignSheet!C6/2)*SIN(ATAN( SIN(DesignSheet!C11*(A416+DesignSheet!C16)) / ( COS(DesignSheet!C11*(A416+DesignSheet!C16)) + (DesignSheet!C11*DesignSheet!C13)/(DesignSheet!C7*(DesignSheet!C11+1)) ) )+(A416+DesignSheet!C16))</f>
        <v>-0.48265533048393172</v>
      </c>
    </row>
    <row r="417" spans="1:3" x14ac:dyDescent="0.3">
      <c r="A417" s="6">
        <f>2*PI()*415/(DesignSheet!C9-1)</f>
        <v>7.2431163957764673</v>
      </c>
      <c r="B417" s="6">
        <f>(DesignSheet!C11*DesignSheet!C13)*COS((A417+DesignSheet!C16)) + (DesignSheet!C7)*COS((DesignSheet!C11+1)*(A417+DesignSheet!C16)) - (DesignSheet!C6/2)*COS(ATAN( SIN(DesignSheet!C11*(A417+DesignSheet!C16)) / ( COS(DesignSheet!C11*(A417+DesignSheet!C16)) + (DesignSheet!C11*DesignSheet!C13)/(DesignSheet!C7*(DesignSheet!C11+1)) ) )+(A417+DesignSheet!C16))</f>
        <v>0.58239514904604417</v>
      </c>
      <c r="C417" s="6">
        <f>(DesignSheet!C11*DesignSheet!C13)*SIN((A417+DesignSheet!C16)) + (DesignSheet!C7)*SIN((DesignSheet!C11+1)*(A417+DesignSheet!C16)) - (DesignSheet!C6/2)*SIN(ATAN( SIN(DesignSheet!C11*(A417+DesignSheet!C16)) / ( COS(DesignSheet!C11*(A417+DesignSheet!C16)) + (DesignSheet!C11*DesignSheet!C13)/(DesignSheet!C7*(DesignSheet!C11+1)) ) )+(A417+DesignSheet!C16))</f>
        <v>-0.47256310728582684</v>
      </c>
    </row>
    <row r="418" spans="1:3" x14ac:dyDescent="0.3">
      <c r="A418" s="6">
        <f>2*PI()*416/(DesignSheet!C9-1)</f>
        <v>7.2605696882964113</v>
      </c>
      <c r="B418" s="6">
        <f>(DesignSheet!C11*DesignSheet!C13)*COS((A418+DesignSheet!C16)) + (DesignSheet!C7)*COS((DesignSheet!C11+1)*(A418+DesignSheet!C16)) - (DesignSheet!C6/2)*COS(ATAN( SIN(DesignSheet!C11*(A418+DesignSheet!C16)) / ( COS(DesignSheet!C11*(A418+DesignSheet!C16)) + (DesignSheet!C11*DesignSheet!C13)/(DesignSheet!C7*(DesignSheet!C11+1)) ) )+(A418+DesignSheet!C16))</f>
        <v>0.5905538108595676</v>
      </c>
      <c r="C418" s="6">
        <f>(DesignSheet!C11*DesignSheet!C13)*SIN((A418+DesignSheet!C16)) + (DesignSheet!C7)*SIN((DesignSheet!C11+1)*(A418+DesignSheet!C16)) - (DesignSheet!C6/2)*SIN(ATAN( SIN(DesignSheet!C11*(A418+DesignSheet!C16)) / ( COS(DesignSheet!C11*(A418+DesignSheet!C16)) + (DesignSheet!C11*DesignSheet!C13)/(DesignSheet!C7*(DesignSheet!C11+1)) ) )+(A418+DesignSheet!C16))</f>
        <v>-0.4623269367874232</v>
      </c>
    </row>
    <row r="419" spans="1:3" x14ac:dyDescent="0.3">
      <c r="A419" s="6">
        <f>2*PI()*417/(DesignSheet!C9-1)</f>
        <v>7.2780229808163543</v>
      </c>
      <c r="B419" s="6">
        <f>(DesignSheet!C11*DesignSheet!C13)*COS((A419+DesignSheet!C16)) + (DesignSheet!C7)*COS((DesignSheet!C11+1)*(A419+DesignSheet!C16)) - (DesignSheet!C6/2)*COS(ATAN( SIN(DesignSheet!C11*(A419+DesignSheet!C16)) / ( COS(DesignSheet!C11*(A419+DesignSheet!C16)) + (DesignSheet!C11*DesignSheet!C13)/(DesignSheet!C7*(DesignSheet!C11+1)) ) )+(A419+DesignSheet!C16))</f>
        <v>0.59853258426148082</v>
      </c>
      <c r="C419" s="6">
        <f>(DesignSheet!C11*DesignSheet!C13)*SIN((A419+DesignSheet!C16)) + (DesignSheet!C7)*SIN((DesignSheet!C11+1)*(A419+DesignSheet!C16)) - (DesignSheet!C6/2)*SIN(ATAN( SIN(DesignSheet!C11*(A419+DesignSheet!C16)) / ( COS(DesignSheet!C11*(A419+DesignSheet!C16)) + (DesignSheet!C11*DesignSheet!C13)/(DesignSheet!C7*(DesignSheet!C11+1)) ) )+(A419+DesignSheet!C16))</f>
        <v>-0.45194993702541147</v>
      </c>
    </row>
    <row r="420" spans="1:3" x14ac:dyDescent="0.3">
      <c r="A420" s="6">
        <f>2*PI()*418/(DesignSheet!C9-1)</f>
        <v>7.2954762733362974</v>
      </c>
      <c r="B420" s="6">
        <f>(DesignSheet!C11*DesignSheet!C13)*COS((A420+DesignSheet!C16)) + (DesignSheet!C7)*COS((DesignSheet!C11+1)*(A420+DesignSheet!C16)) - (DesignSheet!C6/2)*COS(ATAN( SIN(DesignSheet!C11*(A420+DesignSheet!C16)) / ( COS(DesignSheet!C11*(A420+DesignSheet!C16)) + (DesignSheet!C11*DesignSheet!C13)/(DesignSheet!C7*(DesignSheet!C11+1)) ) )+(A420+DesignSheet!C16))</f>
        <v>0.60632903884011258</v>
      </c>
      <c r="C420" s="6">
        <f>(DesignSheet!C11*DesignSheet!C13)*SIN((A420+DesignSheet!C16)) + (DesignSheet!C7)*SIN((DesignSheet!C11+1)*(A420+DesignSheet!C16)) - (DesignSheet!C6/2)*SIN(ATAN( SIN(DesignSheet!C11*(A420+DesignSheet!C16)) / ( COS(DesignSheet!C11*(A420+DesignSheet!C16)) + (DesignSheet!C11*DesignSheet!C13)/(DesignSheet!C7*(DesignSheet!C11+1)) ) )+(A420+DesignSheet!C16))</f>
        <v>-0.4414352689344444</v>
      </c>
    </row>
    <row r="421" spans="1:3" x14ac:dyDescent="0.3">
      <c r="A421" s="6">
        <f>2*PI()*419/(DesignSheet!C9-1)</f>
        <v>7.3129295658562405</v>
      </c>
      <c r="B421" s="6">
        <f>(DesignSheet!C11*DesignSheet!C13)*COS((A421+DesignSheet!C16)) + (DesignSheet!C7)*COS((DesignSheet!C11+1)*(A421+DesignSheet!C16)) - (DesignSheet!C6/2)*COS(ATAN( SIN(DesignSheet!C11*(A421+DesignSheet!C16)) / ( COS(DesignSheet!C11*(A421+DesignSheet!C16)) + (DesignSheet!C11*DesignSheet!C13)/(DesignSheet!C7*(DesignSheet!C11+1)) ) )+(A421+DesignSheet!C16))</f>
        <v>0.61394079971987159</v>
      </c>
      <c r="C421" s="6">
        <f>(DesignSheet!C11*DesignSheet!C13)*SIN((A421+DesignSheet!C16)) + (DesignSheet!C7)*SIN((DesignSheet!C11+1)*(A421+DesignSheet!C16)) - (DesignSheet!C6/2)*SIN(ATAN( SIN(DesignSheet!C11*(A421+DesignSheet!C16)) / ( COS(DesignSheet!C11*(A421+DesignSheet!C16)) + (DesignSheet!C11*DesignSheet!C13)/(DesignSheet!C7*(DesignSheet!C11+1)) ) )+(A421+DesignSheet!C16))</f>
        <v>-0.43078613538428151</v>
      </c>
    </row>
    <row r="422" spans="1:3" x14ac:dyDescent="0.3">
      <c r="A422" s="6">
        <f>2*PI()*420/(DesignSheet!C9-1)</f>
        <v>7.3303828583761845</v>
      </c>
      <c r="B422" s="6">
        <f>(DesignSheet!C11*DesignSheet!C13)*COS((A422+DesignSheet!C16)) + (DesignSheet!C7)*COS((DesignSheet!C11+1)*(A422+DesignSheet!C16)) - (DesignSheet!C6/2)*COS(ATAN( SIN(DesignSheet!C11*(A422+DesignSheet!C16)) / ( COS(DesignSheet!C11*(A422+DesignSheet!C16)) + (DesignSheet!C11*DesignSheet!C13)/(DesignSheet!C7*(DesignSheet!C11+1)) ) )+(A422+DesignSheet!C16))</f>
        <v>0.62136554828465862</v>
      </c>
      <c r="C422" s="6">
        <f>(DesignSheet!C11*DesignSheet!C13)*SIN((A422+DesignSheet!C16)) + (DesignSheet!C7)*SIN((DesignSheet!C11+1)*(A422+DesignSheet!C16)) - (DesignSheet!C6/2)*SIN(ATAN( SIN(DesignSheet!C11*(A422+DesignSheet!C16)) / ( COS(DesignSheet!C11*(A422+DesignSheet!C16)) + (DesignSheet!C11*DesignSheet!C13)/(DesignSheet!C7*(DesignSheet!C11+1)) ) )+(A422+DesignSheet!C16))</f>
        <v>-0.42000578020416052</v>
      </c>
    </row>
    <row r="423" spans="1:3" x14ac:dyDescent="0.3">
      <c r="A423" s="6">
        <f>2*PI()*421/(DesignSheet!C9-1)</f>
        <v>7.3478361508961267</v>
      </c>
      <c r="B423" s="6">
        <f>(DesignSheet!C11*DesignSheet!C13)*COS((A423+DesignSheet!C16)) + (DesignSheet!C7)*COS((DesignSheet!C11+1)*(A423+DesignSheet!C16)) - (DesignSheet!C6/2)*COS(ATAN( SIN(DesignSheet!C11*(A423+DesignSheet!C16)) / ( COS(DesignSheet!C11*(A423+DesignSheet!C16)) + (DesignSheet!C11*DesignSheet!C13)/(DesignSheet!C7*(DesignSheet!C11+1)) ) )+(A423+DesignSheet!C16))</f>
        <v>0.62860102288413422</v>
      </c>
      <c r="C423" s="6">
        <f>(DesignSheet!C11*DesignSheet!C13)*SIN((A423+DesignSheet!C16)) + (DesignSheet!C7)*SIN((DesignSheet!C11+1)*(A423+DesignSheet!C16)) - (DesignSheet!C6/2)*SIN(ATAN( SIN(DesignSheet!C11*(A423+DesignSheet!C16)) / ( COS(DesignSheet!C11*(A423+DesignSheet!C16)) + (DesignSheet!C11*DesignSheet!C13)/(DesignSheet!C7*(DesignSheet!C11+1)) ) )+(A423+DesignSheet!C16))</f>
        <v>-0.40909748719470296</v>
      </c>
    </row>
    <row r="424" spans="1:3" x14ac:dyDescent="0.3">
      <c r="A424" s="6">
        <f>2*PI()*422/(DesignSheet!C9-1)</f>
        <v>7.3652894434160707</v>
      </c>
      <c r="B424" s="6">
        <f>(DesignSheet!C11*DesignSheet!C13)*COS((A424+DesignSheet!C16)) + (DesignSheet!C7)*COS((DesignSheet!C11+1)*(A424+DesignSheet!C16)) - (DesignSheet!C6/2)*COS(ATAN( SIN(DesignSheet!C11*(A424+DesignSheet!C16)) / ( COS(DesignSheet!C11*(A424+DesignSheet!C16)) + (DesignSheet!C11*DesignSheet!C13)/(DesignSheet!C7*(DesignSheet!C11+1)) ) )+(A424+DesignSheet!C16))</f>
        <v>0.63564501952264518</v>
      </c>
      <c r="C424" s="6">
        <f>(DesignSheet!C11*DesignSheet!C13)*SIN((A424+DesignSheet!C16)) + (DesignSheet!C7)*SIN((DesignSheet!C11+1)*(A424+DesignSheet!C16)) - (DesignSheet!C6/2)*SIN(ATAN( SIN(DesignSheet!C11*(A424+DesignSheet!C16)) / ( COS(DesignSheet!C11*(A424+DesignSheet!C16)) + (DesignSheet!C11*DesignSheet!C13)/(DesignSheet!C7*(DesignSheet!C11+1)) ) )+(A424+DesignSheet!C16))</f>
        <v>-0.3980645791276286</v>
      </c>
    </row>
    <row r="425" spans="1:3" x14ac:dyDescent="0.3">
      <c r="A425" s="6">
        <f>2*PI()*423/(DesignSheet!C9-1)</f>
        <v>7.3827427359360138</v>
      </c>
      <c r="B425" s="6">
        <f>(DesignSheet!C11*DesignSheet!C13)*COS((A425+DesignSheet!C16)) + (DesignSheet!C7)*COS((DesignSheet!C11+1)*(A425+DesignSheet!C16)) - (DesignSheet!C6/2)*COS(ATAN( SIN(DesignSheet!C11*(A425+DesignSheet!C16)) / ( COS(DesignSheet!C11*(A425+DesignSheet!C16)) + (DesignSheet!C11*DesignSheet!C13)/(DesignSheet!C7*(DesignSheet!C11+1)) ) )+(A425+DesignSheet!C16))</f>
        <v>0.64249539253057719</v>
      </c>
      <c r="C425" s="6">
        <f>(DesignSheet!C11*DesignSheet!C13)*SIN((A425+DesignSheet!C16)) + (DesignSheet!C7)*SIN((DesignSheet!C11+1)*(A425+DesignSheet!C16)) - (DesignSheet!C6/2)*SIN(ATAN( SIN(DesignSheet!C11*(A425+DesignSheet!C16)) / ( COS(DesignSheet!C11*(A425+DesignSheet!C16)) + (DesignSheet!C11*DesignSheet!C13)/(DesignSheet!C7*(DesignSheet!C11+1)) ) )+(A425+DesignSheet!C16))</f>
        <v>-0.38691041673361487</v>
      </c>
    </row>
    <row r="426" spans="1:3" x14ac:dyDescent="0.3">
      <c r="A426" s="6">
        <f>2*PI()*424/(DesignSheet!C9-1)</f>
        <v>7.4001960284559569</v>
      </c>
      <c r="B426" s="6">
        <f>(DesignSheet!C11*DesignSheet!C13)*COS((A426+DesignSheet!C16)) + (DesignSheet!C7)*COS((DesignSheet!C11+1)*(A426+DesignSheet!C16)) - (DesignSheet!C6/2)*COS(ATAN( SIN(DesignSheet!C11*(A426+DesignSheet!C16)) / ( COS(DesignSheet!C11*(A426+DesignSheet!C16)) + (DesignSheet!C11*DesignSheet!C13)/(DesignSheet!C7*(DesignSheet!C11+1)) ) )+(A426+DesignSheet!C16))</f>
        <v>0.64915005521795255</v>
      </c>
      <c r="C426" s="6">
        <f>(DesignSheet!C11*DesignSheet!C13)*SIN((A426+DesignSheet!C16)) + (DesignSheet!C7)*SIN((DesignSheet!C11+1)*(A426+DesignSheet!C16)) - (DesignSheet!C6/2)*SIN(ATAN( SIN(DesignSheet!C11*(A426+DesignSheet!C16)) / ( COS(DesignSheet!C11*(A426+DesignSheet!C16)) + (DesignSheet!C11*DesignSheet!C13)/(DesignSheet!C7*(DesignSheet!C11+1)) ) )+(A426+DesignSheet!C16))</f>
        <v>-0.37563839767857754</v>
      </c>
    </row>
    <row r="427" spans="1:3" x14ac:dyDescent="0.3">
      <c r="A427" s="6">
        <f>2*PI()*425/(DesignSheet!C9-1)</f>
        <v>7.4176493209759</v>
      </c>
      <c r="B427" s="6">
        <f>(DesignSheet!C11*DesignSheet!C13)*COS((A427+DesignSheet!C16)) + (DesignSheet!C7)*COS((DesignSheet!C11+1)*(A427+DesignSheet!C16)) - (DesignSheet!C6/2)*COS(ATAN( SIN(DesignSheet!C11*(A427+DesignSheet!C16)) / ( COS(DesignSheet!C11*(A427+DesignSheet!C16)) + (DesignSheet!C11*DesignSheet!C13)/(DesignSheet!C7*(DesignSheet!C11+1)) ) )+(A427+DesignSheet!C16))</f>
        <v>0.65560698051005062</v>
      </c>
      <c r="C427" s="6">
        <f>(DesignSheet!C11*DesignSheet!C13)*SIN((A427+DesignSheet!C16)) + (DesignSheet!C7)*SIN((DesignSheet!C11+1)*(A427+DesignSheet!C16)) - (DesignSheet!C6/2)*SIN(ATAN( SIN(DesignSheet!C11*(A427+DesignSheet!C16)) / ( COS(DesignSheet!C11*(A427+DesignSheet!C16)) + (DesignSheet!C11*DesignSheet!C13)/(DesignSheet!C7*(DesignSheet!C11+1)) ) )+(A427+DesignSheet!C16))</f>
        <v>-0.36425195552871648</v>
      </c>
    </row>
    <row r="428" spans="1:3" x14ac:dyDescent="0.3">
      <c r="A428" s="6">
        <f>2*PI()*426/(DesignSheet!C9-1)</f>
        <v>7.435102613495844</v>
      </c>
      <c r="B428" s="6">
        <f>(DesignSheet!C11*DesignSheet!C13)*COS((A428+DesignSheet!C16)) + (DesignSheet!C7)*COS((DesignSheet!C11+1)*(A428+DesignSheet!C16)) - (DesignSheet!C6/2)*COS(ATAN( SIN(DesignSheet!C11*(A428+DesignSheet!C16)) / ( COS(DesignSheet!C11*(A428+DesignSheet!C16)) + (DesignSheet!C11*DesignSheet!C13)/(DesignSheet!C7*(DesignSheet!C11+1)) ) )+(A428+DesignSheet!C16))</f>
        <v>0.66186420156487735</v>
      </c>
      <c r="C428" s="6">
        <f>(DesignSheet!C11*DesignSheet!C13)*SIN((A428+DesignSheet!C16)) + (DesignSheet!C7)*SIN((DesignSheet!C11+1)*(A428+DesignSheet!C16)) - (DesignSheet!C6/2)*SIN(ATAN( SIN(DesignSheet!C11*(A428+DesignSheet!C16)) / ( COS(DesignSheet!C11*(A428+DesignSheet!C16)) + (DesignSheet!C11*DesignSheet!C13)/(DesignSheet!C7*(DesignSheet!C11+1)) ) )+(A428+DesignSheet!C16))</f>
        <v>-0.35275455870461458</v>
      </c>
    </row>
    <row r="429" spans="1:3" x14ac:dyDescent="0.3">
      <c r="A429" s="6">
        <f>2*PI()*427/(DesignSheet!C9-1)</f>
        <v>7.452555906015788</v>
      </c>
      <c r="B429" s="6">
        <f>(DesignSheet!C11*DesignSheet!C13)*COS((A429+DesignSheet!C16)) + (DesignSheet!C7)*COS((DesignSheet!C11+1)*(A429+DesignSheet!C16)) - (DesignSheet!C6/2)*COS(ATAN( SIN(DesignSheet!C11*(A429+DesignSheet!C16)) / ( COS(DesignSheet!C11*(A429+DesignSheet!C16)) + (DesignSheet!C11*DesignSheet!C13)/(DesignSheet!C7*(DesignSheet!C11+1)) ) )+(A429+DesignSheet!C16))</f>
        <v>0.66791981237228615</v>
      </c>
      <c r="C429" s="6">
        <f>(DesignSheet!C11*DesignSheet!C13)*SIN((A429+DesignSheet!C16)) + (DesignSheet!C7)*SIN((DesignSheet!C11+1)*(A429+DesignSheet!C16)) - (DesignSheet!C6/2)*SIN(ATAN( SIN(DesignSheet!C11*(A429+DesignSheet!C16)) / ( COS(DesignSheet!C11*(A429+DesignSheet!C16)) + (DesignSheet!C11*DesignSheet!C13)/(DesignSheet!C7*(DesignSheet!C11+1)) ) )+(A429+DesignSheet!C16))</f>
        <v>-0.34114970942471878</v>
      </c>
    </row>
    <row r="430" spans="1:3" x14ac:dyDescent="0.3">
      <c r="A430" s="6">
        <f>2*PI()*428/(DesignSheet!C9-1)</f>
        <v>7.4700091985357302</v>
      </c>
      <c r="B430" s="6">
        <f>(DesignSheet!C11*DesignSheet!C13)*COS((A430+DesignSheet!C16)) + (DesignSheet!C7)*COS((DesignSheet!C11+1)*(A430+DesignSheet!C16)) - (DesignSheet!C6/2)*COS(ATAN( SIN(DesignSheet!C11*(A430+DesignSheet!C16)) / ( COS(DesignSheet!C11*(A430+DesignSheet!C16)) + (DesignSheet!C11*DesignSheet!C13)/(DesignSheet!C7*(DesignSheet!C11+1)) ) )+(A430+DesignSheet!C16))</f>
        <v>0.67377196833456066</v>
      </c>
      <c r="C430" s="6">
        <f>(DesignSheet!C11*DesignSheet!C13)*SIN((A430+DesignSheet!C16)) + (DesignSheet!C7)*SIN((DesignSheet!C11+1)*(A430+DesignSheet!C16)) - (DesignSheet!C6/2)*SIN(ATAN( SIN(DesignSheet!C11*(A430+DesignSheet!C16)) / ( COS(DesignSheet!C11*(A430+DesignSheet!C16)) + (DesignSheet!C11*DesignSheet!C13)/(DesignSheet!C7*(DesignSheet!C11+1)) ) )+(A430+DesignSheet!C16))</f>
        <v>-0.32944094263854312</v>
      </c>
    </row>
    <row r="431" spans="1:3" x14ac:dyDescent="0.3">
      <c r="A431" s="6">
        <f>2*PI()*429/(DesignSheet!C9-1)</f>
        <v>7.4874624910556742</v>
      </c>
      <c r="B431" s="6">
        <f>(DesignSheet!C11*DesignSheet!C13)*COS((A431+DesignSheet!C16)) + (DesignSheet!C7)*COS((DesignSheet!C11+1)*(A431+DesignSheet!C16)) - (DesignSheet!C6/2)*COS(ATAN( SIN(DesignSheet!C11*(A431+DesignSheet!C16)) / ( COS(DesignSheet!C11*(A431+DesignSheet!C16)) + (DesignSheet!C11*DesignSheet!C13)/(DesignSheet!C7*(DesignSheet!C11+1)) ) )+(A431+DesignSheet!C16))</f>
        <v>0.67941888682830476</v>
      </c>
      <c r="C431" s="6">
        <f>(DesignSheet!C11*DesignSheet!C13)*SIN((A431+DesignSheet!C16)) + (DesignSheet!C7)*SIN((DesignSheet!C11+1)*(A431+DesignSheet!C16)) - (DesignSheet!C6/2)*SIN(ATAN( SIN(DesignSheet!C11*(A431+DesignSheet!C16)) / ( COS(DesignSheet!C11*(A431+DesignSheet!C16)) + (DesignSheet!C11*DesignSheet!C13)/(DesignSheet!C7*(DesignSheet!C11+1)) ) )+(A431+DesignSheet!C16))</f>
        <v>-0.31763182494987369</v>
      </c>
    </row>
    <row r="432" spans="1:3" x14ac:dyDescent="0.3">
      <c r="A432" s="6">
        <f>2*PI()*430/(DesignSheet!C9-1)</f>
        <v>7.5049157835756164</v>
      </c>
      <c r="B432" s="6">
        <f>(DesignSheet!C11*DesignSheet!C13)*COS((A432+DesignSheet!C16)) + (DesignSheet!C7)*COS((DesignSheet!C11+1)*(A432+DesignSheet!C16)) - (DesignSheet!C6/2)*COS(ATAN( SIN(DesignSheet!C11*(A432+DesignSheet!C16)) / ( COS(DesignSheet!C11*(A432+DesignSheet!C16)) + (DesignSheet!C11*DesignSheet!C13)/(DesignSheet!C7*(DesignSheet!C11+1)) ) )+(A432+DesignSheet!C16))</f>
        <v>0.68485884774744243</v>
      </c>
      <c r="C432" s="6">
        <f>(DesignSheet!C11*DesignSheet!C13)*SIN((A432+DesignSheet!C16)) + (DesignSheet!C7)*SIN((DesignSheet!C11+1)*(A432+DesignSheet!C16)) - (DesignSheet!C6/2)*SIN(ATAN( SIN(DesignSheet!C11*(A432+DesignSheet!C16)) / ( COS(DesignSheet!C11*(A432+DesignSheet!C16)) + (DesignSheet!C11*DesignSheet!C13)/(DesignSheet!C7*(DesignSheet!C11+1)) ) )+(A432+DesignSheet!C16))</f>
        <v>-0.30572595353035598</v>
      </c>
    </row>
    <row r="433" spans="1:3" x14ac:dyDescent="0.3">
      <c r="A433" s="6">
        <f>2*PI()*431/(DesignSheet!C9-1)</f>
        <v>7.5223690760955604</v>
      </c>
      <c r="B433" s="6">
        <f>(DesignSheet!C11*DesignSheet!C13)*COS((A433+DesignSheet!C16)) + (DesignSheet!C7)*COS((DesignSheet!C11+1)*(A433+DesignSheet!C16)) - (DesignSheet!C6/2)*COS(ATAN( SIN(DesignSheet!C11*(A433+DesignSheet!C16)) / ( COS(DesignSheet!C11*(A433+DesignSheet!C16)) + (DesignSheet!C11*DesignSheet!C13)/(DesignSheet!C7*(DesignSheet!C11+1)) ) )+(A433+DesignSheet!C16))</f>
        <v>0.69009019402718075</v>
      </c>
      <c r="C433" s="6">
        <f>(DesignSheet!C11*DesignSheet!C13)*SIN((A433+DesignSheet!C16)) + (DesignSheet!C7)*SIN((DesignSheet!C11+1)*(A433+DesignSheet!C16)) - (DesignSheet!C6/2)*SIN(ATAN( SIN(DesignSheet!C11*(A433+DesignSheet!C16)) / ( COS(DesignSheet!C11*(A433+DesignSheet!C16)) + (DesignSheet!C11*DesignSheet!C13)/(DesignSheet!C7*(DesignSheet!C11+1)) ) )+(A433+DesignSheet!C16))</f>
        <v>-0.29372695502375668</v>
      </c>
    </row>
    <row r="434" spans="1:3" x14ac:dyDescent="0.3">
      <c r="A434" s="6">
        <f>2*PI()*432/(DesignSheet!C9-1)</f>
        <v>7.5398223686155035</v>
      </c>
      <c r="B434" s="6">
        <f>(DesignSheet!C11*DesignSheet!C13)*COS((A434+DesignSheet!C16)) + (DesignSheet!C7)*COS((DesignSheet!C11+1)*(A434+DesignSheet!C16)) - (DesignSheet!C6/2)*COS(ATAN( SIN(DesignSheet!C11*(A434+DesignSheet!C16)) / ( COS(DesignSheet!C11*(A434+DesignSheet!C16)) + (DesignSheet!C11*DesignSheet!C13)/(DesignSheet!C7*(DesignSheet!C11+1)) ) )+(A434+DesignSheet!C16))</f>
        <v>0.69511133214876353</v>
      </c>
      <c r="C434" s="6">
        <f>(DesignSheet!C11*DesignSheet!C13)*SIN((A434+DesignSheet!C16)) + (DesignSheet!C7)*SIN((DesignSheet!C11+1)*(A434+DesignSheet!C16)) - (DesignSheet!C6/2)*SIN(ATAN( SIN(DesignSheet!C11*(A434+DesignSheet!C16)) / ( COS(DesignSheet!C11*(A434+DesignSheet!C16)) + (DesignSheet!C11*DesignSheet!C13)/(DesignSheet!C7*(DesignSheet!C11+1)) ) )+(A434+DesignSheet!C16))</f>
        <v>-0.28163848444126266</v>
      </c>
    </row>
    <row r="435" spans="1:3" x14ac:dyDescent="0.3">
      <c r="A435" s="6">
        <f>2*PI()*433/(DesignSheet!C9-1)</f>
        <v>7.5572756611354475</v>
      </c>
      <c r="B435" s="6">
        <f>(DesignSheet!C11*DesignSheet!C13)*COS((A435+DesignSheet!C16)) + (DesignSheet!C7)*COS((DesignSheet!C11+1)*(A435+DesignSheet!C16)) - (DesignSheet!C6/2)*COS(ATAN( SIN(DesignSheet!C11*(A435+DesignSheet!C16)) / ( COS(DesignSheet!C11*(A435+DesignSheet!C16)) + (DesignSheet!C11*DesignSheet!C13)/(DesignSheet!C7*(DesignSheet!C11+1)) ) )+(A435+DesignSheet!C16))</f>
        <v>0.69992073262487953</v>
      </c>
      <c r="C435" s="6">
        <f>(DesignSheet!C11*DesignSheet!C13)*SIN((A435+DesignSheet!C16)) + (DesignSheet!C7)*SIN((DesignSheet!C11+1)*(A435+DesignSheet!C16)) - (DesignSheet!C6/2)*SIN(ATAN( SIN(DesignSheet!C11*(A435+DesignSheet!C16)) / ( COS(DesignSheet!C11*(A435+DesignSheet!C16)) + (DesignSheet!C11*DesignSheet!C13)/(DesignSheet!C7*(DesignSheet!C11+1)) ) )+(A435+DesignSheet!C16))</f>
        <v>-0.26946422404811332</v>
      </c>
    </row>
    <row r="436" spans="1:3" x14ac:dyDescent="0.3">
      <c r="A436" s="6">
        <f>2*PI()*434/(DesignSheet!C9-1)</f>
        <v>7.5747289536553897</v>
      </c>
      <c r="B436" s="6">
        <f>(DesignSheet!C11*DesignSheet!C13)*COS((A436+DesignSheet!C16)) + (DesignSheet!C7)*COS((DesignSheet!C11+1)*(A436+DesignSheet!C16)) - (DesignSheet!C6/2)*COS(ATAN( SIN(DesignSheet!C11*(A436+DesignSheet!C16)) / ( COS(DesignSheet!C11*(A436+DesignSheet!C16)) + (DesignSheet!C11*DesignSheet!C13)/(DesignSheet!C7*(DesignSheet!C11+1)) ) )+(A436+DesignSheet!C16))</f>
        <v>0.7045169304655533</v>
      </c>
      <c r="C436" s="6">
        <f>(DesignSheet!C11*DesignSheet!C13)*SIN((A436+DesignSheet!C16)) + (DesignSheet!C7)*SIN((DesignSheet!C11+1)*(A436+DesignSheet!C16)) - (DesignSheet!C6/2)*SIN(ATAN( SIN(DesignSheet!C11*(A436+DesignSheet!C16)) / ( COS(DesignSheet!C11*(A436+DesignSheet!C16)) + (DesignSheet!C11*DesignSheet!C13)/(DesignSheet!C7*(DesignSheet!C11+1)) ) )+(A436+DesignSheet!C16))</f>
        <v>-0.25720788224196167</v>
      </c>
    </row>
    <row r="437" spans="1:3" x14ac:dyDescent="0.3">
      <c r="A437" s="6">
        <f>2*PI()*435/(DesignSheet!C9-1)</f>
        <v>7.5921822461753337</v>
      </c>
      <c r="B437" s="6">
        <f>(DesignSheet!C11*DesignSheet!C13)*COS((A437+DesignSheet!C16)) + (DesignSheet!C7)*COS((DesignSheet!C11+1)*(A437+DesignSheet!C16)) - (DesignSheet!C6/2)*COS(ATAN( SIN(DesignSheet!C11*(A437+DesignSheet!C16)) / ( COS(DesignSheet!C11*(A437+DesignSheet!C16)) + (DesignSheet!C11*DesignSheet!C13)/(DesignSheet!C7*(DesignSheet!C11+1)) ) )+(A437+DesignSheet!C16))</f>
        <v>0.70889852562439881</v>
      </c>
      <c r="C437" s="6">
        <f>(DesignSheet!C11*DesignSheet!C13)*SIN((A437+DesignSheet!C16)) + (DesignSheet!C7)*SIN((DesignSheet!C11+1)*(A437+DesignSheet!C16)) - (DesignSheet!C6/2)*SIN(ATAN( SIN(DesignSheet!C11*(A437+DesignSheet!C16)) / ( COS(DesignSheet!C11*(A437+DesignSheet!C16)) + (DesignSheet!C11*DesignSheet!C13)/(DesignSheet!C7*(DesignSheet!C11+1)) ) )+(A437+DesignSheet!C16))</f>
        <v>-0.24487319242324912</v>
      </c>
    </row>
    <row r="438" spans="1:3" x14ac:dyDescent="0.3">
      <c r="A438" s="6">
        <f>2*PI()*436/(DesignSheet!C9-1)</f>
        <v>7.6096355386952759</v>
      </c>
      <c r="B438" s="6">
        <f>(DesignSheet!C11*DesignSheet!C13)*COS((A438+DesignSheet!C16)) + (DesignSheet!C7)*COS((DesignSheet!C11+1)*(A438+DesignSheet!C16)) - (DesignSheet!C6/2)*COS(ATAN( SIN(DesignSheet!C11*(A438+DesignSheet!C16)) / ( COS(DesignSheet!C11*(A438+DesignSheet!C16)) + (DesignSheet!C11*DesignSheet!C13)/(DesignSheet!C7*(DesignSheet!C11+1)) ) )+(A438+DesignSheet!C16))</f>
        <v>0.71306418342508449</v>
      </c>
      <c r="C438" s="6">
        <f>(DesignSheet!C11*DesignSheet!C13)*SIN((A438+DesignSheet!C16)) + (DesignSheet!C7)*SIN((DesignSheet!C11+1)*(A438+DesignSheet!C16)) - (DesignSheet!C6/2)*SIN(ATAN( SIN(DesignSheet!C11*(A438+DesignSheet!C16)) / ( COS(DesignSheet!C11*(A438+DesignSheet!C16)) + (DesignSheet!C11*DesignSheet!C13)/(DesignSheet!C7*(DesignSheet!C11+1)) ) )+(A438+DesignSheet!C16))</f>
        <v>-0.23246391185798587</v>
      </c>
    </row>
    <row r="439" spans="1:3" x14ac:dyDescent="0.3">
      <c r="A439" s="6">
        <f>2*PI()*437/(DesignSheet!C9-1)</f>
        <v>7.6270888312152199</v>
      </c>
      <c r="B439" s="6">
        <f>(DesignSheet!C11*DesignSheet!C13)*COS((A439+DesignSheet!C16)) + (DesignSheet!C7)*COS((DesignSheet!C11+1)*(A439+DesignSheet!C16)) - (DesignSheet!C6/2)*COS(ATAN( SIN(DesignSheet!C11*(A439+DesignSheet!C16)) / ( COS(DesignSheet!C11*(A439+DesignSheet!C16)) + (DesignSheet!C11*DesignSheet!C13)/(DesignSheet!C7*(DesignSheet!C11+1)) ) )+(A439+DesignSheet!C16))</f>
        <v>0.71701263496789147</v>
      </c>
      <c r="C439" s="6">
        <f>(DesignSheet!C11*DesignSheet!C13)*SIN((A439+DesignSheet!C16)) + (DesignSheet!C7)*SIN((DesignSheet!C11+1)*(A439+DesignSheet!C16)) - (DesignSheet!C6/2)*SIN(ATAN( SIN(DesignSheet!C11*(A439+DesignSheet!C16)) / ( COS(DesignSheet!C11*(A439+DesignSheet!C16)) + (DesignSheet!C11*DesignSheet!C13)/(DesignSheet!C7*(DesignSheet!C11+1)) ) )+(A439+DesignSheet!C16))</f>
        <v>-0.21998382053324089</v>
      </c>
    </row>
    <row r="440" spans="1:3" x14ac:dyDescent="0.3">
      <c r="A440" s="6">
        <f>2*PI()*438/(DesignSheet!C9-1)</f>
        <v>7.6445421237351638</v>
      </c>
      <c r="B440" s="6">
        <f>(DesignSheet!C11*DesignSheet!C13)*COS((A440+DesignSheet!C16)) + (DesignSheet!C7)*COS((DesignSheet!C11+1)*(A440+DesignSheet!C16)) - (DesignSheet!C6/2)*COS(ATAN( SIN(DesignSheet!C11*(A440+DesignSheet!C16)) / ( COS(DesignSheet!C11*(A440+DesignSheet!C16)) + (DesignSheet!C11*DesignSheet!C13)/(DesignSheet!C7*(DesignSheet!C11+1)) ) )+(A440+DesignSheet!C16))</f>
        <v>0.72074267751623</v>
      </c>
      <c r="C440" s="6">
        <f>(DesignSheet!C11*DesignSheet!C13)*SIN((A440+DesignSheet!C16)) + (DesignSheet!C7)*SIN((DesignSheet!C11+1)*(A440+DesignSheet!C16)) - (DesignSheet!C6/2)*SIN(ATAN( SIN(DesignSheet!C11*(A440+DesignSheet!C16)) / ( COS(DesignSheet!C11*(A440+DesignSheet!C16)) + (DesignSheet!C11*DesignSheet!C13)/(DesignSheet!C7*(DesignSheet!C11+1)) ) )+(A440+DesignSheet!C16))</f>
        <v>-0.20743672000573038</v>
      </c>
    </row>
    <row r="441" spans="1:3" x14ac:dyDescent="0.3">
      <c r="A441" s="6">
        <f>2*PI()*439/(DesignSheet!C9-1)</f>
        <v>7.6619954162551061</v>
      </c>
      <c r="B441" s="6">
        <f>(DesignSheet!C11*DesignSheet!C13)*COS((A441+DesignSheet!C16)) + (DesignSheet!C7)*COS((DesignSheet!C11+1)*(A441+DesignSheet!C16)) - (DesignSheet!C6/2)*COS(ATAN( SIN(DesignSheet!C11*(A441+DesignSheet!C16)) / ( COS(DesignSheet!C11*(A441+DesignSheet!C16)) + (DesignSheet!C11*DesignSheet!C13)/(DesignSheet!C7*(DesignSheet!C11+1)) ) )+(A441+DesignSheet!C16))</f>
        <v>0.72425317486300544</v>
      </c>
      <c r="C441" s="6">
        <f>(DesignSheet!C11*DesignSheet!C13)*SIN((A441+DesignSheet!C16)) + (DesignSheet!C7)*SIN((DesignSheet!C11+1)*(A441+DesignSheet!C16)) - (DesignSheet!C6/2)*SIN(ATAN( SIN(DesignSheet!C11*(A441+DesignSheet!C16)) / ( COS(DesignSheet!C11*(A441+DesignSheet!C16)) + (DesignSheet!C11*DesignSheet!C13)/(DesignSheet!C7*(DesignSheet!C11+1)) ) )+(A441+DesignSheet!C16))</f>
        <v>-0.19482643224382279</v>
      </c>
    </row>
    <row r="442" spans="1:3" x14ac:dyDescent="0.3">
      <c r="A442" s="6">
        <f>2*PI()*440/(DesignSheet!C9-1)</f>
        <v>7.67944870877505</v>
      </c>
      <c r="B442" s="6">
        <f>(DesignSheet!C11*DesignSheet!C13)*COS((A442+DesignSheet!C16)) + (DesignSheet!C7)*COS((DesignSheet!C11+1)*(A442+DesignSheet!C16)) - (DesignSheet!C6/2)*COS(ATAN( SIN(DesignSheet!C11*(A442+DesignSheet!C16)) / ( COS(DesignSheet!C11*(A442+DesignSheet!C16)) + (DesignSheet!C11*DesignSheet!C13)/(DesignSheet!C7*(DesignSheet!C11+1)) ) )+(A442+DesignSheet!C16))</f>
        <v>0.72754305767672001</v>
      </c>
      <c r="C442" s="6">
        <f>(DesignSheet!C11*DesignSheet!C13)*SIN((A442+DesignSheet!C16)) + (DesignSheet!C7)*SIN((DesignSheet!C11+1)*(A442+DesignSheet!C16)) - (DesignSheet!C6/2)*SIN(ATAN( SIN(DesignSheet!C11*(A442+DesignSheet!C16)) / ( COS(DesignSheet!C11*(A442+DesignSheet!C16)) + (DesignSheet!C11*DesignSheet!C13)/(DesignSheet!C7*(DesignSheet!C11+1)) ) )+(A442+DesignSheet!C16))</f>
        <v>-0.18215679846332639</v>
      </c>
    </row>
    <row r="443" spans="1:3" x14ac:dyDescent="0.3">
      <c r="A443" s="6">
        <f>2*PI()*441/(DesignSheet!C9-1)</f>
        <v>7.6969020012949931</v>
      </c>
      <c r="B443" s="6">
        <f>(DesignSheet!C11*DesignSheet!C13)*COS((A443+DesignSheet!C16)) + (DesignSheet!C7)*COS((DesignSheet!C11+1)*(A443+DesignSheet!C16)) - (DesignSheet!C6/2)*COS(ATAN( SIN(DesignSheet!C11*(A443+DesignSheet!C16)) / ( COS(DesignSheet!C11*(A443+DesignSheet!C16)) + (DesignSheet!C11*DesignSheet!C13)/(DesignSheet!C7*(DesignSheet!C11+1)) ) )+(A443+DesignSheet!C16))</f>
        <v>0.73061132382719829</v>
      </c>
      <c r="C443" s="6">
        <f>(DesignSheet!C11*DesignSheet!C13)*SIN((A443+DesignSheet!C16)) + (DesignSheet!C7)*SIN((DesignSheet!C11+1)*(A443+DesignSheet!C16)) - (DesignSheet!C6/2)*SIN(ATAN( SIN(DesignSheet!C11*(A443+DesignSheet!C16)) / ( COS(DesignSheet!C11*(A443+DesignSheet!C16)) + (DesignSheet!C11*DesignSheet!C13)/(DesignSheet!C7*(DesignSheet!C11+1)) ) )+(A443+DesignSheet!C16))</f>
        <v>-0.16943167795742553</v>
      </c>
    </row>
    <row r="444" spans="1:3" x14ac:dyDescent="0.3">
      <c r="A444" s="6">
        <f>2*PI()*442/(DesignSheet!C9-1)</f>
        <v>7.7143552938149371</v>
      </c>
      <c r="B444" s="6">
        <f>(DesignSheet!C11*DesignSheet!C13)*COS((A444+DesignSheet!C16)) + (DesignSheet!C7)*COS((DesignSheet!C11+1)*(A444+DesignSheet!C16)) - (DesignSheet!C6/2)*COS(ATAN( SIN(DesignSheet!C11*(A444+DesignSheet!C16)) / ( COS(DesignSheet!C11*(A444+DesignSheet!C16)) + (DesignSheet!C11*DesignSheet!C13)/(DesignSheet!C7*(DesignSheet!C11+1)) ) )+(A444+DesignSheet!C16))</f>
        <v>0.73345703869084777</v>
      </c>
      <c r="C444" s="6">
        <f>(DesignSheet!C11*DesignSheet!C13)*SIN((A444+DesignSheet!C16)) + (DesignSheet!C7)*SIN((DesignSheet!C11+1)*(A444+DesignSheet!C16)) - (DesignSheet!C6/2)*SIN(ATAN( SIN(DesignSheet!C11*(A444+DesignSheet!C16)) / ( COS(DesignSheet!C11*(A444+DesignSheet!C16)) + (DesignSheet!C11*DesignSheet!C13)/(DesignSheet!C7*(DesignSheet!C11+1)) ) )+(A444+DesignSheet!C16))</f>
        <v>-0.1566549469210986</v>
      </c>
    </row>
    <row r="445" spans="1:3" x14ac:dyDescent="0.3">
      <c r="A445" s="6">
        <f>2*PI()*443/(DesignSheet!C9-1)</f>
        <v>7.7318085863348793</v>
      </c>
      <c r="B445" s="6">
        <f>(DesignSheet!C11*DesignSheet!C13)*COS((A445+DesignSheet!C16)) + (DesignSheet!C7)*COS((DesignSheet!C11+1)*(A445+DesignSheet!C16)) - (DesignSheet!C6/2)*COS(ATAN( SIN(DesignSheet!C11*(A445+DesignSheet!C16)) / ( COS(DesignSheet!C11*(A445+DesignSheet!C16)) + (DesignSheet!C11*DesignSheet!C13)/(DesignSheet!C7*(DesignSheet!C11+1)) ) )+(A445+DesignSheet!C16))</f>
        <v>0.7360793354353542</v>
      </c>
      <c r="C445" s="6">
        <f>(DesignSheet!C11*DesignSheet!C13)*SIN((A445+DesignSheet!C16)) + (DesignSheet!C7)*SIN((DesignSheet!C11+1)*(A445+DesignSheet!C16)) - (DesignSheet!C6/2)*SIN(ATAN( SIN(DesignSheet!C11*(A445+DesignSheet!C16)) / ( COS(DesignSheet!C11*(A445+DesignSheet!C16)) + (DesignSheet!C11*DesignSheet!C13)/(DesignSheet!C7*(DesignSheet!C11+1)) ) )+(A445+DesignSheet!C16))</f>
        <v>-0.14383049727038899</v>
      </c>
    </row>
    <row r="446" spans="1:3" x14ac:dyDescent="0.3">
      <c r="A446" s="6">
        <f>2*PI()*444/(DesignSheet!C9-1)</f>
        <v>7.7492618788548233</v>
      </c>
      <c r="B446" s="6">
        <f>(DesignSheet!C11*DesignSheet!C13)*COS((A446+DesignSheet!C16)) + (DesignSheet!C7)*COS((DesignSheet!C11+1)*(A446+DesignSheet!C16)) - (DesignSheet!C6/2)*COS(ATAN( SIN(DesignSheet!C11*(A446+DesignSheet!C16)) / ( COS(DesignSheet!C11*(A446+DesignSheet!C16)) + (DesignSheet!C11*DesignSheet!C13)/(DesignSheet!C7*(DesignSheet!C11+1)) ) )+(A446+DesignSheet!C16))</f>
        <v>0.73847741528372679</v>
      </c>
      <c r="C446" s="6">
        <f>(DesignSheet!C11*DesignSheet!C13)*SIN((A446+DesignSheet!C16)) + (DesignSheet!C7)*SIN((DesignSheet!C11+1)*(A446+DesignSheet!C16)) - (DesignSheet!C6/2)*SIN(ATAN( SIN(DesignSheet!C11*(A446+DesignSheet!C16)) / ( COS(DesignSheet!C11*(A446+DesignSheet!C16)) + (DesignSheet!C11*DesignSheet!C13)/(DesignSheet!C7*(DesignSheet!C11+1)) ) )+(A446+DesignSheet!C16))</f>
        <v>-0.13096223545689092</v>
      </c>
    </row>
    <row r="447" spans="1:3" x14ac:dyDescent="0.3">
      <c r="A447" s="6">
        <f>2*PI()*445/(DesignSheet!C9-1)</f>
        <v>7.7667151713747655</v>
      </c>
      <c r="B447" s="6">
        <f>(DesignSheet!C11*DesignSheet!C13)*COS((A447+DesignSheet!C16)) + (DesignSheet!C7)*COS((DesignSheet!C11+1)*(A447+DesignSheet!C16)) - (DesignSheet!C6/2)*COS(ATAN( SIN(DesignSheet!C11*(A447+DesignSheet!C16)) / ( COS(DesignSheet!C11*(A447+DesignSheet!C16)) + (DesignSheet!C11*DesignSheet!C13)/(DesignSheet!C7*(DesignSheet!C11+1)) ) )+(A447+DesignSheet!C16))</f>
        <v>0.74065054775761219</v>
      </c>
      <c r="C447" s="6">
        <f>(DesignSheet!C11*DesignSheet!C13)*SIN((A447+DesignSheet!C16)) + (DesignSheet!C7)*SIN((DesignSheet!C11+1)*(A447+DesignSheet!C16)) - (DesignSheet!C6/2)*SIN(ATAN( SIN(DesignSheet!C11*(A447+DesignSheet!C16)) / ( COS(DesignSheet!C11*(A447+DesignSheet!C16)) + (DesignSheet!C11*DesignSheet!C13)/(DesignSheet!C7*(DesignSheet!C11+1)) ) )+(A447+DesignSheet!C16))</f>
        <v>-0.11805408127781558</v>
      </c>
    </row>
    <row r="448" spans="1:3" x14ac:dyDescent="0.3">
      <c r="A448" s="6">
        <f>2*PI()*446/(DesignSheet!C9-1)</f>
        <v>7.7841684638947095</v>
      </c>
      <c r="B448" s="6">
        <f>(DesignSheet!C11*DesignSheet!C13)*COS((A448+DesignSheet!C16)) + (DesignSheet!C7)*COS((DesignSheet!C11+1)*(A448+DesignSheet!C16)) - (DesignSheet!C6/2)*COS(ATAN( SIN(DesignSheet!C11*(A448+DesignSheet!C16)) / ( COS(DesignSheet!C11*(A448+DesignSheet!C16)) + (DesignSheet!C11*DesignSheet!C13)/(DesignSheet!C7*(DesignSheet!C11+1)) ) )+(A448+DesignSheet!C16))</f>
        <v>0.74259807089980767</v>
      </c>
      <c r="C448" s="6">
        <f>(DesignSheet!C11*DesignSheet!C13)*SIN((A448+DesignSheet!C16)) + (DesignSheet!C7)*SIN((DesignSheet!C11+1)*(A448+DesignSheet!C16)) - (DesignSheet!C6/2)*SIN(ATAN( SIN(DesignSheet!C11*(A448+DesignSheet!C16)) / ( COS(DesignSheet!C11*(A448+DesignSheet!C16)) + (DesignSheet!C11*DesignSheet!C13)/(DesignSheet!C7*(DesignSheet!C11+1)) ) )+(A448+DesignSheet!C16))</f>
        <v>-0.10510996668196751</v>
      </c>
    </row>
    <row r="449" spans="1:3" x14ac:dyDescent="0.3">
      <c r="A449" s="6">
        <f>2*PI()*447/(DesignSheet!C9-1)</f>
        <v>7.8016217564146526</v>
      </c>
      <c r="B449" s="6">
        <f>(DesignSheet!C11*DesignSheet!C13)*COS((A449+DesignSheet!C16)) + (DesignSheet!C7)*COS((DesignSheet!C11+1)*(A449+DesignSheet!C16)) - (DesignSheet!C6/2)*COS(ATAN( SIN(DesignSheet!C11*(A449+DesignSheet!C16)) / ( COS(DesignSheet!C11*(A449+DesignSheet!C16)) + (DesignSheet!C11*DesignSheet!C13)/(DesignSheet!C7*(DesignSheet!C11+1)) ) )+(A449+DesignSheet!C16))</f>
        <v>0.7443193914758981</v>
      </c>
      <c r="C449" s="6">
        <f>(DesignSheet!C11*DesignSheet!C13)*SIN((A449+DesignSheet!C16)) + (DesignSheet!C7)*SIN((DesignSheet!C11+1)*(A449+DesignSheet!C16)) - (DesignSheet!C6/2)*SIN(ATAN( SIN(DesignSheet!C11*(A449+DesignSheet!C16)) / ( COS(DesignSheet!C11*(A449+DesignSheet!C16)) + (DesignSheet!C11*DesignSheet!C13)/(DesignSheet!C7*(DesignSheet!C11+1)) ) )+(A449+DesignSheet!C16))</f>
        <v>-9.2133834572043646E-2</v>
      </c>
    </row>
    <row r="450" spans="1:3" x14ac:dyDescent="0.3">
      <c r="A450" s="6">
        <f>2*PI()*448/(DesignSheet!C9-1)</f>
        <v>7.8190750489345966</v>
      </c>
      <c r="B450" s="6">
        <f>(DesignSheet!C11*DesignSheet!C13)*COS((A450+DesignSheet!C16)) + (DesignSheet!C7)*COS((DesignSheet!C11+1)*(A450+DesignSheet!C16)) - (DesignSheet!C6/2)*COS(ATAN( SIN(DesignSheet!C11*(A450+DesignSheet!C16)) / ( COS(DesignSheet!C11*(A450+DesignSheet!C16)) + (DesignSheet!C11*DesignSheet!C13)/(DesignSheet!C7*(DesignSheet!C11+1)) ) )+(A450+DesignSheet!C16))</f>
        <v>0.74581398515496122</v>
      </c>
      <c r="C450" s="6">
        <f>(DesignSheet!C11*DesignSheet!C13)*SIN((A450+DesignSheet!C16)) + (DesignSheet!C7)*SIN((DesignSheet!C11+1)*(A450+DesignSheet!C16)) - (DesignSheet!C6/2)*SIN(ATAN( SIN(DesignSheet!C11*(A450+DesignSheet!C16)) / ( COS(DesignSheet!C11*(A450+DesignSheet!C16)) + (DesignSheet!C11*DesignSheet!C13)/(DesignSheet!C7*(DesignSheet!C11+1)) ) )+(A450+DesignSheet!C16))</f>
        <v>-7.9129637603588654E-2</v>
      </c>
    </row>
    <row r="451" spans="1:3" x14ac:dyDescent="0.3">
      <c r="A451" s="6">
        <f>2*PI()*449/(DesignSheet!C9-1)</f>
        <v>7.8365283414545397</v>
      </c>
      <c r="B451" s="6">
        <f>(DesignSheet!C11*DesignSheet!C13)*COS((A451+DesignSheet!C16)) + (DesignSheet!C7)*COS((DesignSheet!C11+1)*(A451+DesignSheet!C16)) - (DesignSheet!C6/2)*COS(ATAN( SIN(DesignSheet!C11*(A451+DesignSheet!C16)) / ( COS(DesignSheet!C11*(A451+DesignSheet!C16)) + (DesignSheet!C11*DesignSheet!C13)/(DesignSheet!C7*(DesignSheet!C11+1)) ) )+(A451+DesignSheet!C16))</f>
        <v>0.74708139666928364</v>
      </c>
      <c r="C451" s="6">
        <f>(DesignSheet!C11*DesignSheet!C13)*SIN((A451+DesignSheet!C16)) + (DesignSheet!C7)*SIN((DesignSheet!C11+1)*(A451+DesignSheet!C16)) - (DesignSheet!C6/2)*SIN(ATAN( SIN(DesignSheet!C11*(A451+DesignSheet!C16)) / ( COS(DesignSheet!C11*(A451+DesignSheet!C16)) + (DesignSheet!C11*DesignSheet!C13)/(DesignSheet!C7*(DesignSheet!C11+1)) ) )+(A451+DesignSheet!C16))</f>
        <v>-6.6101336980974909E-2</v>
      </c>
    </row>
    <row r="452" spans="1:3" x14ac:dyDescent="0.3">
      <c r="A452" s="6">
        <f>2*PI()*450/(DesignSheet!C9-1)</f>
        <v>7.8539816339744828</v>
      </c>
      <c r="B452" s="6">
        <f>(DesignSheet!C11*DesignSheet!C13)*COS((A452+DesignSheet!C16)) + (DesignSheet!C7)*COS((DesignSheet!C11+1)*(A452+DesignSheet!C16)) - (DesignSheet!C6/2)*COS(ATAN( SIN(DesignSheet!C11*(A452+DesignSheet!C16)) / ( COS(DesignSheet!C11*(A452+DesignSheet!C16)) + (DesignSheet!C11*DesignSheet!C13)/(DesignSheet!C7*(DesignSheet!C11+1)) ) )+(A452+DesignSheet!C16))</f>
        <v>0.74812123995304081</v>
      </c>
      <c r="C452" s="6">
        <f>(DesignSheet!C11*DesignSheet!C13)*SIN((A452+DesignSheet!C16)) + (DesignSheet!C7)*SIN((DesignSheet!C11+1)*(A452+DesignSheet!C16)) - (DesignSheet!C6/2)*SIN(ATAN( SIN(DesignSheet!C11*(A452+DesignSheet!C16)) / ( COS(DesignSheet!C11*(A452+DesignSheet!C16)) + (DesignSheet!C11*DesignSheet!C13)/(DesignSheet!C7*(DesignSheet!C11+1)) ) )+(A452+DesignSheet!C16))</f>
        <v>-5.3052901250777412E-2</v>
      </c>
    </row>
    <row r="453" spans="1:3" x14ac:dyDescent="0.3">
      <c r="A453" s="6">
        <f>2*PI()*451/(DesignSheet!C9-1)</f>
        <v>7.8714349264944268</v>
      </c>
      <c r="B453" s="6">
        <f>(DesignSheet!C11*DesignSheet!C13)*COS((A453+DesignSheet!C16)) + (DesignSheet!C7)*COS((DesignSheet!C11+1)*(A453+DesignSheet!C16)) - (DesignSheet!C6/2)*COS(ATAN( SIN(DesignSheet!C11*(A453+DesignSheet!C16)) / ( COS(DesignSheet!C11*(A453+DesignSheet!C16)) + (DesignSheet!C11*DesignSheet!C13)/(DesignSheet!C7*(DesignSheet!C11+1)) ) )+(A453+DesignSheet!C16))</f>
        <v>0.74893319825989502</v>
      </c>
      <c r="C453" s="6">
        <f>(DesignSheet!C11*DesignSheet!C13)*SIN((A453+DesignSheet!C16)) + (DesignSheet!C7)*SIN((DesignSheet!C11+1)*(A453+DesignSheet!C16)) - (DesignSheet!C6/2)*SIN(ATAN( SIN(DesignSheet!C11*(A453+DesignSheet!C16)) / ( COS(DesignSheet!C11*(A453+DesignSheet!C16)) + (DesignSheet!C11*DesignSheet!C13)/(DesignSheet!C7*(DesignSheet!C11+1)) ) )+(A453+DesignSheet!C16))</f>
        <v>-3.9988305092923934E-2</v>
      </c>
    </row>
    <row r="454" spans="1:3" x14ac:dyDescent="0.3">
      <c r="A454" s="6">
        <f>2*PI()*452/(DesignSheet!C9-1)</f>
        <v>7.888888219014369</v>
      </c>
      <c r="B454" s="6">
        <f>(DesignSheet!C11*DesignSheet!C13)*COS((A454+DesignSheet!C16)) + (DesignSheet!C7)*COS((DesignSheet!C11+1)*(A454+DesignSheet!C16)) - (DesignSheet!C6/2)*COS(ATAN( SIN(DesignSheet!C11*(A454+DesignSheet!C16)) / ( COS(DesignSheet!C11*(A454+DesignSheet!C16)) + (DesignSheet!C11*DesignSheet!C13)/(DesignSheet!C7*(DesignSheet!C11+1)) ) )+(A454+DesignSheet!C16))</f>
        <v>0.74951702425948041</v>
      </c>
      <c r="C454" s="6">
        <f>(DesignSheet!C11*DesignSheet!C13)*SIN((A454+DesignSheet!C16)) + (DesignSheet!C7)*SIN((DesignSheet!C11+1)*(A454+DesignSheet!C16)) - (DesignSheet!C6/2)*SIN(ATAN( SIN(DesignSheet!C11*(A454+DesignSheet!C16)) / ( COS(DesignSheet!C11*(A454+DesignSheet!C16)) + (DesignSheet!C11*DesignSheet!C13)/(DesignSheet!C7*(DesignSheet!C11+1)) ) )+(A454+DesignSheet!C16))</f>
        <v>-2.6911528109965069E-2</v>
      </c>
    </row>
    <row r="455" spans="1:3" x14ac:dyDescent="0.3">
      <c r="A455" s="6">
        <f>2*PI()*453/(DesignSheet!C9-1)</f>
        <v>7.906341511534313</v>
      </c>
      <c r="B455" s="6">
        <f>(DesignSheet!C11*DesignSheet!C13)*COS((A455+DesignSheet!C16)) + (DesignSheet!C7)*COS((DesignSheet!C11+1)*(A455+DesignSheet!C16)) - (DesignSheet!C6/2)*COS(ATAN( SIN(DesignSheet!C11*(A455+DesignSheet!C16)) / ( COS(DesignSheet!C11*(A455+DesignSheet!C16)) + (DesignSheet!C11*DesignSheet!C13)/(DesignSheet!C7*(DesignSheet!C11+1)) ) )+(A455+DesignSheet!C16))</f>
        <v>0.74987254011274196</v>
      </c>
      <c r="C455" s="6">
        <f>(DesignSheet!C11*DesignSheet!C13)*SIN((A455+DesignSheet!C16)) + (DesignSheet!C7)*SIN((DesignSheet!C11+1)*(A455+DesignSheet!C16)) - (DesignSheet!C6/2)*SIN(ATAN( SIN(DesignSheet!C11*(A455+DesignSheet!C16)) / ( COS(DesignSheet!C11*(A455+DesignSheet!C16)) + (DesignSheet!C11*DesignSheet!C13)/(DesignSheet!C7*(DesignSheet!C11+1)) ) )+(A455+DesignSheet!C16))</f>
        <v>-1.382655361484475E-2</v>
      </c>
    </row>
    <row r="456" spans="1:3" x14ac:dyDescent="0.3">
      <c r="A456" s="6">
        <f>2*PI()*454/(DesignSheet!C9-1)</f>
        <v>7.9237948040542552</v>
      </c>
      <c r="B456" s="6">
        <f>(DesignSheet!C11*DesignSheet!C13)*COS((A456+DesignSheet!C16)) + (DesignSheet!C7)*COS((DesignSheet!C11+1)*(A456+DesignSheet!C16)) - (DesignSheet!C6/2)*COS(ATAN( SIN(DesignSheet!C11*(A456+DesignSheet!C16)) / ( COS(DesignSheet!C11*(A456+DesignSheet!C16)) + (DesignSheet!C11*DesignSheet!C13)/(DesignSheet!C7*(DesignSheet!C11+1)) ) )+(A456+DesignSheet!C16))</f>
        <v>0.74999963752610677</v>
      </c>
      <c r="C456" s="6">
        <f>(DesignSheet!C11*DesignSheet!C13)*SIN((A456+DesignSheet!C16)) + (DesignSheet!C7)*SIN((DesignSheet!C11+1)*(A456+DesignSheet!C16)) - (DesignSheet!C6/2)*SIN(ATAN( SIN(DesignSheet!C11*(A456+DesignSheet!C16)) / ( COS(DesignSheet!C11*(A456+DesignSheet!C16)) + (DesignSheet!C11*DesignSheet!C13)/(DesignSheet!C7*(DesignSheet!C11+1)) ) )+(A456+DesignSheet!C16))</f>
        <v>-7.3736741755384973E-4</v>
      </c>
    </row>
    <row r="457" spans="1:3" x14ac:dyDescent="0.3">
      <c r="A457" s="6">
        <f>2*PI()*455/(DesignSheet!C9-1)</f>
        <v>7.9412480965741992</v>
      </c>
      <c r="B457" s="6">
        <f>(DesignSheet!C11*DesignSheet!C13)*COS((A457+DesignSheet!C16)) + (DesignSheet!C7)*COS((DesignSheet!C11+1)*(A457+DesignSheet!C16)) - (DesignSheet!C6/2)*COS(ATAN( SIN(DesignSheet!C11*(A457+DesignSheet!C16)) / ( COS(DesignSheet!C11*(A457+DesignSheet!C16)) + (DesignSheet!C11*DesignSheet!C13)/(DesignSheet!C7*(DesignSheet!C11+1)) ) )+(A457+DesignSheet!C16))</f>
        <v>0.74989827778447149</v>
      </c>
      <c r="C457" s="6">
        <f>(DesignSheet!C11*DesignSheet!C13)*SIN((A457+DesignSheet!C16)) + (DesignSheet!C7)*SIN((DesignSheet!C11+1)*(A457+DesignSheet!C16)) - (DesignSheet!C6/2)*SIN(ATAN( SIN(DesignSheet!C11*(A457+DesignSheet!C16)) / ( COS(DesignSheet!C11*(A457+DesignSheet!C16)) + (DesignSheet!C11*DesignSheet!C13)/(DesignSheet!C7*(DesignSheet!C11+1)) ) )+(A457+DesignSheet!C16))</f>
        <v>1.2352043388996807E-2</v>
      </c>
    </row>
    <row r="458" spans="1:3" x14ac:dyDescent="0.3">
      <c r="A458" s="6">
        <f>2*PI()*456/(DesignSheet!C9-1)</f>
        <v>7.9587013890941423</v>
      </c>
      <c r="B458" s="6">
        <f>(DesignSheet!C11*DesignSheet!C13)*COS((A458+DesignSheet!C16)) + (DesignSheet!C7)*COS((DesignSheet!C11+1)*(A458+DesignSheet!C16)) - (DesignSheet!C6/2)*COS(ATAN( SIN(DesignSheet!C11*(A458+DesignSheet!C16)) / ( COS(DesignSheet!C11*(A458+DesignSheet!C16)) + (DesignSheet!C11*DesignSheet!C13)/(DesignSheet!C7*(DesignSheet!C11+1)) ) )+(A458+DesignSheet!C16))</f>
        <v>0.74956849176299534</v>
      </c>
      <c r="C458" s="6">
        <f>(DesignSheet!C11*DesignSheet!C13)*SIN((A458+DesignSheet!C16)) + (DesignSheet!C7)*SIN((DesignSheet!C11+1)*(A458+DesignSheet!C16)) - (DesignSheet!C6/2)*SIN(ATAN( SIN(DesignSheet!C11*(A458+DesignSheet!C16)) / ( COS(DesignSheet!C11*(A458+DesignSheet!C16)) + (DesignSheet!C11*DesignSheet!C13)/(DesignSheet!C7*(DesignSheet!C11+1)) ) )+(A458+DesignSheet!C16))</f>
        <v>2.5437691643472912E-2</v>
      </c>
    </row>
    <row r="459" spans="1:3" x14ac:dyDescent="0.3">
      <c r="A459" s="6">
        <f>2*PI()*457/(DesignSheet!C9-1)</f>
        <v>7.9761546816140863</v>
      </c>
      <c r="B459" s="6">
        <f>(DesignSheet!C11*DesignSheet!C13)*COS((A459+DesignSheet!C16)) + (DesignSheet!C7)*COS((DesignSheet!C11+1)*(A459+DesignSheet!C16)) - (DesignSheet!C6/2)*COS(ATAN( SIN(DesignSheet!C11*(A459+DesignSheet!C16)) / ( COS(DesignSheet!C11*(A459+DesignSheet!C16)) + (DesignSheet!C11*DesignSheet!C13)/(DesignSheet!C7*(DesignSheet!C11+1)) ) )+(A459+DesignSheet!C16))</f>
        <v>0.74901037991769503</v>
      </c>
      <c r="C459" s="6">
        <f>(DesignSheet!C11*DesignSheet!C13)*SIN((A459+DesignSheet!C16)) + (DesignSheet!C7)*SIN((DesignSheet!C11+1)*(A459+DesignSheet!C16)) - (DesignSheet!C6/2)*SIN(ATAN( SIN(DesignSheet!C11*(A459+DesignSheet!C16)) / ( COS(DesignSheet!C11*(A459+DesignSheet!C16)) + (DesignSheet!C11*DesignSheet!C13)/(DesignSheet!C7*(DesignSheet!C11+1)) ) )+(A459+DesignSheet!C16))</f>
        <v>3.8515591330656629E-2</v>
      </c>
    </row>
    <row r="460" spans="1:3" x14ac:dyDescent="0.3">
      <c r="A460" s="6">
        <f>2*PI()*458/(DesignSheet!C9-1)</f>
        <v>7.9936079741340285</v>
      </c>
      <c r="B460" s="6">
        <f>(DesignSheet!C11*DesignSheet!C13)*COS((A460+DesignSheet!C16)) + (DesignSheet!C7)*COS((DesignSheet!C11+1)*(A460+DesignSheet!C16)) - (DesignSheet!C6/2)*COS(ATAN( SIN(DesignSheet!C11*(A460+DesignSheet!C16)) / ( COS(DesignSheet!C11*(A460+DesignSheet!C16)) + (DesignSheet!C11*DesignSheet!C13)/(DesignSheet!C7*(DesignSheet!C11+1)) ) )+(A460+DesignSheet!C16))</f>
        <v>0.74822411225484542</v>
      </c>
      <c r="C460" s="6">
        <f>(DesignSheet!C11*DesignSheet!C13)*SIN((A460+DesignSheet!C16)) + (DesignSheet!C7)*SIN((DesignSheet!C11+1)*(A460+DesignSheet!C16)) - (DesignSheet!C6/2)*SIN(ATAN( SIN(DesignSheet!C11*(A460+DesignSheet!C16)) / ( COS(DesignSheet!C11*(A460+DesignSheet!C16)) + (DesignSheet!C11*DesignSheet!C13)/(DesignSheet!C7*(DesignSheet!C11+1)) ) )+(A460+DesignSheet!C16))</f>
        <v>5.1581758795609445E-2</v>
      </c>
    </row>
    <row r="461" spans="1:3" x14ac:dyDescent="0.3">
      <c r="A461" s="6">
        <f>2*PI()*459/(DesignSheet!C9-1)</f>
        <v>8.0110612666539716</v>
      </c>
      <c r="B461" s="6">
        <f>(DesignSheet!C11*DesignSheet!C13)*COS((A461+DesignSheet!C16)) + (DesignSheet!C7)*COS((DesignSheet!C11+1)*(A461+DesignSheet!C16)) - (DesignSheet!C6/2)*COS(ATAN( SIN(DesignSheet!C11*(A461+DesignSheet!C16)) / ( COS(DesignSheet!C11*(A461+DesignSheet!C16)) + (DesignSheet!C11*DesignSheet!C13)/(DesignSheet!C7*(DesignSheet!C11+1)) ) )+(A461+DesignSheet!C16))</f>
        <v>0.7472099282791933</v>
      </c>
      <c r="C461" s="6">
        <f>(DesignSheet!C11*DesignSheet!C13)*SIN((A461+DesignSheet!C16)) + (DesignSheet!C7)*SIN((DesignSheet!C11+1)*(A461+DesignSheet!C16)) - (DesignSheet!C6/2)*SIN(ATAN( SIN(DesignSheet!C11*(A461+DesignSheet!C16)) / ( COS(DesignSheet!C11*(A461+DesignSheet!C16)) + (DesignSheet!C11*DesignSheet!C13)/(DesignSheet!C7*(DesignSheet!C11+1)) ) )+(A461+DesignSheet!C16))</f>
        <v>6.4632213957149409E-2</v>
      </c>
    </row>
    <row r="462" spans="1:3" x14ac:dyDescent="0.3">
      <c r="A462" s="6">
        <f>2*PI()*460/(DesignSheet!C9-1)</f>
        <v>8.0285145591739155</v>
      </c>
      <c r="B462" s="6">
        <f>(DesignSheet!C11*DesignSheet!C13)*COS((A462+DesignSheet!C16)) + (DesignSheet!C7)*COS((DesignSheet!C11+1)*(A462+DesignSheet!C16)) - (DesignSheet!C6/2)*COS(ATAN( SIN(DesignSheet!C11*(A462+DesignSheet!C16)) / ( COS(DesignSheet!C11*(A462+DesignSheet!C16)) + (DesignSheet!C11*DesignSheet!C13)/(DesignSheet!C7*(DesignSheet!C11+1)) ) )+(A462+DesignSheet!C16))</f>
        <v>0.74596813692100217</v>
      </c>
      <c r="C462" s="6">
        <f>(DesignSheet!C11*DesignSheet!C13)*SIN((A462+DesignSheet!C16)) + (DesignSheet!C7)*SIN((DesignSheet!C11+1)*(A462+DesignSheet!C16)) - (DesignSheet!C6/2)*SIN(ATAN( SIN(DesignSheet!C11*(A462+DesignSheet!C16)) / ( COS(DesignSheet!C11*(A462+DesignSheet!C16)) + (DesignSheet!C11*DesignSheet!C13)/(DesignSheet!C7*(DesignSheet!C11+1)) ) )+(A462+DesignSheet!C16))</f>
        <v>7.7662981520213045E-2</v>
      </c>
    </row>
    <row r="463" spans="1:3" x14ac:dyDescent="0.3">
      <c r="A463" s="6">
        <f>2*PI()*461/(DesignSheet!C9-1)</f>
        <v>8.0459678516938595</v>
      </c>
      <c r="B463" s="6">
        <f>(DesignSheet!C11*DesignSheet!C13)*COS((A463+DesignSheet!C16)) + (DesignSheet!C7)*COS((DesignSheet!C11+1)*(A463+DesignSheet!C16)) - (DesignSheet!C6/2)*COS(ATAN( SIN(DesignSheet!C11*(A463+DesignSheet!C16)) / ( COS(DesignSheet!C11*(A463+DesignSheet!C16)) + (DesignSheet!C11*DesignSheet!C13)/(DesignSheet!C7*(DesignSheet!C11+1)) ) )+(A463+DesignSheet!C16))</f>
        <v>0.74449911644194922</v>
      </c>
      <c r="C463" s="6">
        <f>(DesignSheet!C11*DesignSheet!C13)*SIN((A463+DesignSheet!C16)) + (DesignSheet!C7)*SIN((DesignSheet!C11+1)*(A463+DesignSheet!C16)) - (DesignSheet!C6/2)*SIN(ATAN( SIN(DesignSheet!C11*(A463+DesignSheet!C16)) / ( COS(DesignSheet!C11*(A463+DesignSheet!C16)) + (DesignSheet!C11*DesignSheet!C13)/(DesignSheet!C7*(DesignSheet!C11+1)) ) )+(A463+DesignSheet!C16))</f>
        <v>9.0670092186767415E-2</v>
      </c>
    </row>
    <row r="464" spans="1:3" x14ac:dyDescent="0.3">
      <c r="A464" s="6">
        <f>2*PI()*462/(DesignSheet!C9-1)</f>
        <v>8.0634211442138035</v>
      </c>
      <c r="B464" s="6">
        <f>(DesignSheet!C11*DesignSheet!C13)*COS((A464+DesignSheet!C16)) + (DesignSheet!C7)*COS((DesignSheet!C11+1)*(A464+DesignSheet!C16)) - (DesignSheet!C6/2)*COS(ATAN( SIN(DesignSheet!C11*(A464+DesignSheet!C16)) / ( COS(DesignSheet!C11*(A464+DesignSheet!C16)) + (DesignSheet!C11*DesignSheet!C13)/(DesignSheet!C7*(DesignSheet!C11+1)) ) )+(A464+DesignSheet!C16))</f>
        <v>0.7428033143199031</v>
      </c>
      <c r="C464" s="6">
        <f>(DesignSheet!C11*DesignSheet!C13)*SIN((A464+DesignSheet!C16)) + (DesignSheet!C7)*SIN((DesignSheet!C11+1)*(A464+DesignSheet!C16)) - (DesignSheet!C6/2)*SIN(ATAN( SIN(DesignSheet!C11*(A464+DesignSheet!C16)) / ( COS(DesignSheet!C11*(A464+DesignSheet!C16)) + (DesignSheet!C11*DesignSheet!C13)/(DesignSheet!C7*(DesignSheet!C11+1)) ) )+(A464+DesignSheet!C16))</f>
        <v>0.10364958386490081</v>
      </c>
    </row>
    <row r="465" spans="1:3" x14ac:dyDescent="0.3">
      <c r="A465" s="6">
        <f>2*PI()*463/(DesignSheet!C9-1)</f>
        <v>8.0808744367337457</v>
      </c>
      <c r="B465" s="6">
        <f>(DesignSheet!C11*DesignSheet!C13)*COS((A465+DesignSheet!C16)) + (DesignSheet!C7)*COS((DesignSheet!C11+1)*(A465+DesignSheet!C16)) - (DesignSheet!C6/2)*COS(ATAN( SIN(DesignSheet!C11*(A465+DesignSheet!C16)) / ( COS(DesignSheet!C11*(A465+DesignSheet!C16)) + (DesignSheet!C11*DesignSheet!C13)/(DesignSheet!C7*(DesignSheet!C11+1)) ) )+(A465+DesignSheet!C16))</f>
        <v>0.74088124711261827</v>
      </c>
      <c r="C465" s="6">
        <f>(DesignSheet!C11*DesignSheet!C13)*SIN((A465+DesignSheet!C16)) + (DesignSheet!C7)*SIN((DesignSheet!C11+1)*(A465+DesignSheet!C16)) - (DesignSheet!C6/2)*SIN(ATAN( SIN(DesignSheet!C11*(A465+DesignSheet!C16)) / ( COS(DesignSheet!C11*(A465+DesignSheet!C16)) + (DesignSheet!C11*DesignSheet!C13)/(DesignSheet!C7*(DesignSheet!C11+1)) ) )+(A465+DesignSheet!C16))</f>
        <v>0.11659750287571155</v>
      </c>
    </row>
    <row r="466" spans="1:3" x14ac:dyDescent="0.3">
      <c r="A466" s="6">
        <f>2*PI()*464/(DesignSheet!C9-1)</f>
        <v>8.0983277292536897</v>
      </c>
      <c r="B466" s="6">
        <f>(DesignSheet!C11*DesignSheet!C13)*COS((A466+DesignSheet!C16)) + (DesignSheet!C7)*COS((DesignSheet!C11+1)*(A466+DesignSheet!C16)) - (DesignSheet!C6/2)*COS(ATAN( SIN(DesignSheet!C11*(A466+DesignSheet!C16)) / ( COS(DesignSheet!C11*(A466+DesignSheet!C16)) + (DesignSheet!C11*DesignSheet!C13)/(DesignSheet!C7*(DesignSheet!C11+1)) ) )+(A466+DesignSheet!C16))</f>
        <v>0.73873350030038476</v>
      </c>
      <c r="C466" s="6">
        <f>(DesignSheet!C11*DesignSheet!C13)*SIN((A466+DesignSheet!C16)) + (DesignSheet!C7)*SIN((DesignSheet!C11+1)*(A466+DesignSheet!C16)) - (DesignSheet!C6/2)*SIN(ATAN( SIN(DesignSheet!C11*(A466+DesignSheet!C16)) / ( COS(DesignSheet!C11*(A466+DesignSheet!C16)) + (DesignSheet!C11*DesignSheet!C13)/(DesignSheet!C7*(DesignSheet!C11+1)) ) )+(A466+DesignSheet!C16))</f>
        <v>0.12950990515764227</v>
      </c>
    </row>
    <row r="467" spans="1:3" x14ac:dyDescent="0.3">
      <c r="A467" s="6">
        <f>2*PI()*465/(DesignSheet!C9-1)</f>
        <v>8.1157810217736319</v>
      </c>
      <c r="B467" s="6">
        <f>(DesignSheet!C11*DesignSheet!C13)*COS((A467+DesignSheet!C16)) + (DesignSheet!C7)*COS((DesignSheet!C11+1)*(A467+DesignSheet!C16)) - (DesignSheet!C6/2)*COS(ATAN( SIN(DesignSheet!C11*(A467+DesignSheet!C16)) / ( COS(DesignSheet!C11*(A467+DesignSheet!C16)) + (DesignSheet!C11*DesignSheet!C13)/(DesignSheet!C7*(DesignSheet!C11+1)) ) )+(A467+DesignSheet!C16))</f>
        <v>0.73636072810768782</v>
      </c>
      <c r="C467" s="6">
        <f>(DesignSheet!C11*DesignSheet!C13)*SIN((A467+DesignSheet!C16)) + (DesignSheet!C7)*SIN((DesignSheet!C11+1)*(A467+DesignSheet!C16)) - (DesignSheet!C6/2)*SIN(ATAN( SIN(DesignSheet!C11*(A467+DesignSheet!C16)) / ( COS(DesignSheet!C11*(A467+DesignSheet!C16)) + (DesignSheet!C11*DesignSheet!C13)/(DesignSheet!C7*(DesignSheet!C11+1)) ) )+(A467+DesignSheet!C16))</f>
        <v>0.14238285746787008</v>
      </c>
    </row>
    <row r="468" spans="1:3" x14ac:dyDescent="0.3">
      <c r="A468" s="6">
        <f>2*PI()*466/(DesignSheet!C9-1)</f>
        <v>8.1332343142935759</v>
      </c>
      <c r="B468" s="6">
        <f>(DesignSheet!C11*DesignSheet!C13)*COS((A468+DesignSheet!C16)) + (DesignSheet!C7)*COS((DesignSheet!C11+1)*(A468+DesignSheet!C16)) - (DesignSheet!C6/2)*COS(ATAN( SIN(DesignSheet!C11*(A468+DesignSheet!C16)) / ( COS(DesignSheet!C11*(A468+DesignSheet!C16)) + (DesignSheet!C11*DesignSheet!C13)/(DesignSheet!C7*(DesignSheet!C11+1)) ) )+(A468+DesignSheet!C16))</f>
        <v>0.73376365330392257</v>
      </c>
      <c r="C468" s="6">
        <f>(DesignSheet!C11*DesignSheet!C13)*SIN((A468+DesignSheet!C16)) + (DesignSheet!C7)*SIN((DesignSheet!C11+1)*(A468+DesignSheet!C16)) - (DesignSheet!C6/2)*SIN(ATAN( SIN(DesignSheet!C11*(A468+DesignSheet!C16)) / ( COS(DesignSheet!C11*(A468+DesignSheet!C16)) + (DesignSheet!C11*DesignSheet!C13)/(DesignSheet!C7*(DesignSheet!C11+1)) ) )+(A468+DesignSheet!C16))</f>
        <v>0.15521243858042078</v>
      </c>
    </row>
    <row r="469" spans="1:3" x14ac:dyDescent="0.3">
      <c r="A469" s="6">
        <f>2*PI()*467/(DesignSheet!C9-1)</f>
        <v>8.1506876068135181</v>
      </c>
      <c r="B469" s="6">
        <f>(DesignSheet!C11*DesignSheet!C13)*COS((A469+DesignSheet!C16)) + (DesignSheet!C7)*COS((DesignSheet!C11+1)*(A469+DesignSheet!C16)) - (DesignSheet!C6/2)*COS(ATAN( SIN(DesignSheet!C11*(A469+DesignSheet!C16)) / ( COS(DesignSheet!C11*(A469+DesignSheet!C16)) + (DesignSheet!C11*DesignSheet!C13)/(DesignSheet!C7*(DesignSheet!C11+1)) ) )+(A469+DesignSheet!C16))</f>
        <v>0.73094306698323308</v>
      </c>
      <c r="C469" s="6">
        <f>(DesignSheet!C11*DesignSheet!C13)*SIN((A469+DesignSheet!C16)) + (DesignSheet!C7)*SIN((DesignSheet!C11+1)*(A469+DesignSheet!C16)) - (DesignSheet!C6/2)*SIN(ATAN( SIN(DesignSheet!C11*(A469+DesignSheet!C16)) / ( COS(DesignSheet!C11*(A469+DesignSheet!C16)) + (DesignSheet!C11*DesignSheet!C13)/(DesignSheet!C7*(DesignSheet!C11+1)) ) )+(A469+DesignSheet!C16))</f>
        <v>0.1679947404806019</v>
      </c>
    </row>
    <row r="470" spans="1:3" x14ac:dyDescent="0.3">
      <c r="A470" s="6">
        <f>2*PI()*468/(DesignSheet!C9-1)</f>
        <v>8.1681408993334621</v>
      </c>
      <c r="B470" s="6">
        <f>(DesignSheet!C11*DesignSheet!C13)*COS((A470+DesignSheet!C16)) + (DesignSheet!C7)*COS((DesignSheet!C11+1)*(A470+DesignSheet!C16)) - (DesignSheet!C6/2)*COS(ATAN( SIN(DesignSheet!C11*(A470+DesignSheet!C16)) / ( COS(DesignSheet!C11*(A470+DesignSheet!C16)) + (DesignSheet!C11*DesignSheet!C13)/(DesignSheet!C7*(DesignSheet!C11+1)) ) )+(A470+DesignSheet!C16))</f>
        <v>0.72789982832353584</v>
      </c>
      <c r="C470" s="6">
        <f>(DesignSheet!C11*DesignSheet!C13)*SIN((A470+DesignSheet!C16)) + (DesignSheet!C7)*SIN((DesignSheet!C11+1)*(A470+DesignSheet!C16)) - (DesignSheet!C6/2)*SIN(ATAN( SIN(DesignSheet!C11*(A470+DesignSheet!C16)) / ( COS(DesignSheet!C11*(A470+DesignSheet!C16)) + (DesignSheet!C11*DesignSheet!C13)/(DesignSheet!C7*(DesignSheet!C11+1)) ) )+(A470+DesignSheet!C16))</f>
        <v>0.18072586955543235</v>
      </c>
    </row>
    <row r="471" spans="1:3" x14ac:dyDescent="0.3">
      <c r="A471" s="6">
        <f>2*PI()*469/(DesignSheet!C9-1)</f>
        <v>8.1855941918534043</v>
      </c>
      <c r="B471" s="6">
        <f>(DesignSheet!C11*DesignSheet!C13)*COS((A471+DesignSheet!C16)) + (DesignSheet!C7)*COS((DesignSheet!C11+1)*(A471+DesignSheet!C16)) - (DesignSheet!C6/2)*COS(ATAN( SIN(DesignSheet!C11*(A471+DesignSheet!C16)) / ( COS(DesignSheet!C11*(A471+DesignSheet!C16)) + (DesignSheet!C11*DesignSheet!C13)/(DesignSheet!C7*(DesignSheet!C11+1)) ) )+(A471+DesignSheet!C16))</f>
        <v>0.7246348643248075</v>
      </c>
      <c r="C471" s="6">
        <f>(DesignSheet!C11*DesignSheet!C13)*SIN((A471+DesignSheet!C16)) + (DesignSheet!C7)*SIN((DesignSheet!C11+1)*(A471+DesignSheet!C16)) - (DesignSheet!C6/2)*SIN(ATAN( SIN(DesignSheet!C11*(A471+DesignSheet!C16)) / ( COS(DesignSheet!C11*(A471+DesignSheet!C16)) + (DesignSheet!C11*DesignSheet!C13)/(DesignSheet!C7*(DesignSheet!C11+1)) ) )+(A471+DesignSheet!C16))</f>
        <v>0.19340194777966407</v>
      </c>
    </row>
    <row r="472" spans="1:3" x14ac:dyDescent="0.3">
      <c r="A472" s="6">
        <f>2*PI()*470/(DesignSheet!C9-1)</f>
        <v>8.2030474843733483</v>
      </c>
      <c r="B472" s="6">
        <f>(DesignSheet!C11*DesignSheet!C13)*COS((A472+DesignSheet!C16)) + (DesignSheet!C7)*COS((DesignSheet!C11+1)*(A472+DesignSheet!C16)) - (DesignSheet!C6/2)*COS(ATAN( SIN(DesignSheet!C11*(A472+DesignSheet!C16)) / ( COS(DesignSheet!C11*(A472+DesignSheet!C16)) + (DesignSheet!C11*DesignSheet!C13)/(DesignSheet!C7*(DesignSheet!C11+1)) ) )+(A472+DesignSheet!C16))</f>
        <v>0.72114916952670982</v>
      </c>
      <c r="C472" s="6">
        <f>(DesignSheet!C11*DesignSheet!C13)*SIN((A472+DesignSheet!C16)) + (DesignSheet!C7)*SIN((DesignSheet!C11+1)*(A472+DesignSheet!C16)) - (DesignSheet!C6/2)*SIN(ATAN( SIN(DesignSheet!C11*(A472+DesignSheet!C16)) / ( COS(DesignSheet!C11*(A472+DesignSheet!C16)) + (DesignSheet!C11*DesignSheet!C13)/(DesignSheet!C7*(DesignSheet!C11+1)) ) )+(A472+DesignSheet!C16))</f>
        <v>0.20601911389707672</v>
      </c>
    </row>
    <row r="473" spans="1:3" x14ac:dyDescent="0.3">
      <c r="A473" s="6">
        <f>2*PI()*471/(DesignSheet!C9-1)</f>
        <v>8.2205007768932923</v>
      </c>
      <c r="B473" s="6">
        <f>(DesignSheet!C11*DesignSheet!C13)*COS((A473+DesignSheet!C16)) + (DesignSheet!C7)*COS((DesignSheet!C11+1)*(A473+DesignSheet!C16)) - (DesignSheet!C6/2)*COS(ATAN( SIN(DesignSheet!C11*(A473+DesignSheet!C16)) / ( COS(DesignSheet!C11*(A473+DesignSheet!C16)) + (DesignSheet!C11*DesignSheet!C13)/(DesignSheet!C7*(DesignSheet!C11+1)) ) )+(A473+DesignSheet!C16))</f>
        <v>0.71744380570564559</v>
      </c>
      <c r="C473" s="6">
        <f>(DesignSheet!C11*DesignSheet!C13)*SIN((A473+DesignSheet!C16)) + (DesignSheet!C7)*SIN((DesignSheet!C11+1)*(A473+DesignSheet!C16)) - (DesignSheet!C6/2)*SIN(ATAN( SIN(DesignSheet!C11*(A473+DesignSheet!C16)) / ( COS(DesignSheet!C11*(A473+DesignSheet!C16)) + (DesignSheet!C11*DesignSheet!C13)/(DesignSheet!C7*(DesignSheet!C11+1)) ) )+(A473+DesignSheet!C16))</f>
        <v>0.21857352459664431</v>
      </c>
    </row>
    <row r="474" spans="1:3" x14ac:dyDescent="0.3">
      <c r="A474" s="6">
        <f>2*PI()*472/(DesignSheet!C9-1)</f>
        <v>8.2379540694132345</v>
      </c>
      <c r="B474" s="6">
        <f>(DesignSheet!C11*DesignSheet!C13)*COS((A474+DesignSheet!C16)) + (DesignSheet!C7)*COS((DesignSheet!C11+1)*(A474+DesignSheet!C16)) - (DesignSheet!C6/2)*COS(ATAN( SIN(DesignSheet!C11*(A474+DesignSheet!C16)) / ( COS(DesignSheet!C11*(A474+DesignSheet!C16)) + (DesignSheet!C11*DesignSheet!C13)/(DesignSheet!C7*(DesignSheet!C11+1)) ) )+(A474+DesignSheet!C16))</f>
        <v>0.71351990155132949</v>
      </c>
      <c r="C474" s="6">
        <f>(DesignSheet!C11*DesignSheet!C13)*SIN((A474+DesignSheet!C16)) + (DesignSheet!C7)*SIN((DesignSheet!C11+1)*(A474+DesignSheet!C16)) - (DesignSheet!C6/2)*SIN(ATAN( SIN(DesignSheet!C11*(A474+DesignSheet!C16)) / ( COS(DesignSheet!C11*(A474+DesignSheet!C16)) + (DesignSheet!C11*DesignSheet!C13)/(DesignSheet!C7*(DesignSheet!C11+1)) ) )+(A474+DesignSheet!C16))</f>
        <v>0.2310613556832492</v>
      </c>
    </row>
    <row r="475" spans="1:3" x14ac:dyDescent="0.3">
      <c r="A475" s="6">
        <f>2*PI()*473/(DesignSheet!C9-1)</f>
        <v>8.2554073619331785</v>
      </c>
      <c r="B475" s="6">
        <f>(DesignSheet!C11*DesignSheet!C13)*COS((A475+DesignSheet!C16)) + (DesignSheet!C7)*COS((DesignSheet!C11+1)*(A475+DesignSheet!C16)) - (DesignSheet!C6/2)*COS(ATAN( SIN(DesignSheet!C11*(A475+DesignSheet!C16)) / ( COS(DesignSheet!C11*(A475+DesignSheet!C16)) + (DesignSheet!C11*DesignSheet!C13)/(DesignSheet!C7*(DesignSheet!C11+1)) ) )+(A475+DesignSheet!C16))</f>
        <v>0.70937865232297803</v>
      </c>
      <c r="C475" s="6">
        <f>(DesignSheet!C11*DesignSheet!C13)*SIN((A475+DesignSheet!C16)) + (DesignSheet!C7)*SIN((DesignSheet!C11+1)*(A475+DesignSheet!C16)) - (DesignSheet!C6/2)*SIN(ATAN( SIN(DesignSheet!C11*(A475+DesignSheet!C16)) / ( COS(DesignSheet!C11*(A475+DesignSheet!C16)) + (DesignSheet!C11*DesignSheet!C13)/(DesignSheet!C7*(DesignSheet!C11+1)) ) )+(A475+DesignSheet!C16))</f>
        <v>0.24347880324257265</v>
      </c>
    </row>
    <row r="476" spans="1:3" x14ac:dyDescent="0.3">
      <c r="A476" s="6">
        <f>2*PI()*474/(DesignSheet!C9-1)</f>
        <v>8.2728606544531225</v>
      </c>
      <c r="B476" s="6">
        <f>(DesignSheet!C11*DesignSheet!C13)*COS((A476+DesignSheet!C16)) + (DesignSheet!C7)*COS((DesignSheet!C11+1)*(A476+DesignSheet!C16)) - (DesignSheet!C6/2)*COS(ATAN( SIN(DesignSheet!C11*(A476+DesignSheet!C16)) / ( COS(DesignSheet!C11*(A476+DesignSheet!C16)) + (DesignSheet!C11*DesignSheet!C13)/(DesignSheet!C7*(DesignSheet!C11+1)) ) )+(A476+DesignSheet!C16))</f>
        <v>0.70502131948522373</v>
      </c>
      <c r="C476" s="6">
        <f>(DesignSheet!C11*DesignSheet!C13)*SIN((A476+DesignSheet!C16)) + (DesignSheet!C7)*SIN((DesignSheet!C11+1)*(A476+DesignSheet!C16)) - (DesignSheet!C6/2)*SIN(ATAN( SIN(DesignSheet!C11*(A476+DesignSheet!C16)) / ( COS(DesignSheet!C11*(A476+DesignSheet!C16)) + (DesignSheet!C11*DesignSheet!C13)/(DesignSheet!C7*(DesignSheet!C11+1)) ) )+(A476+DesignSheet!C16))</f>
        <v>0.25582208479979629</v>
      </c>
    </row>
    <row r="477" spans="1:3" x14ac:dyDescent="0.3">
      <c r="A477" s="6">
        <f>2*PI()*475/(DesignSheet!C9-1)</f>
        <v>8.2903139469730647</v>
      </c>
      <c r="B477" s="6">
        <f>(DesignSheet!C11*DesignSheet!C13)*COS((A477+DesignSheet!C16)) + (DesignSheet!C7)*COS((DesignSheet!C11+1)*(A477+DesignSheet!C16)) - (DesignSheet!C6/2)*COS(ATAN( SIN(DesignSheet!C11*(A477+DesignSheet!C16)) / ( COS(DesignSheet!C11*(A477+DesignSheet!C16)) + (DesignSheet!C11*DesignSheet!C13)/(DesignSheet!C7*(DesignSheet!C11+1)) ) )+(A477+DesignSheet!C16))</f>
        <v>0.70044923032385964</v>
      </c>
      <c r="C477" s="6">
        <f>(DesignSheet!C11*DesignSheet!C13)*SIN((A477+DesignSheet!C16)) + (DesignSheet!C7)*SIN((DesignSheet!C11+1)*(A477+DesignSheet!C16)) - (DesignSheet!C6/2)*SIN(ATAN( SIN(DesignSheet!C11*(A477+DesignSheet!C16)) / ( COS(DesignSheet!C11*(A477+DesignSheet!C16)) + (DesignSheet!C11*DesignSheet!C13)/(DesignSheet!C7*(DesignSheet!C11+1)) ) )+(A477+DesignSheet!C16))</f>
        <v>0.26808744047178446</v>
      </c>
    </row>
    <row r="478" spans="1:3" x14ac:dyDescent="0.3">
      <c r="A478" s="6">
        <f>2*PI()*476/(DesignSheet!C9-1)</f>
        <v>8.3077672394930087</v>
      </c>
      <c r="B478" s="6">
        <f>(DesignSheet!C11*DesignSheet!C13)*COS((A478+DesignSheet!C16)) + (DesignSheet!C7)*COS((DesignSheet!C11+1)*(A478+DesignSheet!C16)) - (DesignSheet!C6/2)*COS(ATAN( SIN(DesignSheet!C11*(A478+DesignSheet!C16)) / ( COS(DesignSheet!C11*(A478+DesignSheet!C16)) + (DesignSheet!C11*DesignSheet!C13)/(DesignSheet!C7*(DesignSheet!C11+1)) ) )+(A478+DesignSheet!C16))</f>
        <v>0.69566377754153441</v>
      </c>
      <c r="C478" s="6">
        <f>(DesignSheet!C11*DesignSheet!C13)*SIN((A478+DesignSheet!C16)) + (DesignSheet!C7)*SIN((DesignSheet!C11+1)*(A478+DesignSheet!C16)) - (DesignSheet!C6/2)*SIN(ATAN( SIN(DesignSheet!C11*(A478+DesignSheet!C16)) / ( COS(DesignSheet!C11*(A478+DesignSheet!C16)) + (DesignSheet!C11*DesignSheet!C13)/(DesignSheet!C7*(DesignSheet!C11+1)) ) )+(A478+DesignSheet!C16))</f>
        <v>0.2802711341123848</v>
      </c>
    </row>
    <row r="479" spans="1:3" x14ac:dyDescent="0.3">
      <c r="A479" s="6">
        <f>2*PI()*477/(DesignSheet!C9-1)</f>
        <v>8.3252205320129526</v>
      </c>
      <c r="B479" s="6">
        <f>(DesignSheet!C11*DesignSheet!C13)*COS((A479+DesignSheet!C16)) + (DesignSheet!C7)*COS((DesignSheet!C11+1)*(A479+DesignSheet!C16)) - (DesignSheet!C6/2)*COS(ATAN( SIN(DesignSheet!C11*(A479+DesignSheet!C16)) / ( COS(DesignSheet!C11*(A479+DesignSheet!C16)) + (DesignSheet!C11*DesignSheet!C13)/(DesignSheet!C7*(DesignSheet!C11+1)) ) )+(A479+DesignSheet!C16))</f>
        <v>0.69066641883352387</v>
      </c>
      <c r="C479" s="6">
        <f>(DesignSheet!C11*DesignSheet!C13)*SIN((A479+DesignSheet!C16)) + (DesignSheet!C7)*SIN((DesignSheet!C11+1)*(A479+DesignSheet!C16)) - (DesignSheet!C6/2)*SIN(ATAN( SIN(DesignSheet!C11*(A479+DesignSheet!C16)) / ( COS(DesignSheet!C11*(A479+DesignSheet!C16)) + (DesignSheet!C11*DesignSheet!C13)/(DesignSheet!C7*(DesignSheet!C11+1)) ) )+(A479+DesignSheet!C16))</f>
        <v>0.29236945445048712</v>
      </c>
    </row>
    <row r="480" spans="1:3" x14ac:dyDescent="0.3">
      <c r="A480" s="6">
        <f>2*PI()*478/(DesignSheet!C9-1)</f>
        <v>8.3426738245328949</v>
      </c>
      <c r="B480" s="6">
        <f>(DesignSheet!C11*DesignSheet!C13)*COS((A480+DesignSheet!C16)) + (DesignSheet!C7)*COS((DesignSheet!C11+1)*(A480+DesignSheet!C16)) - (DesignSheet!C6/2)*COS(ATAN( SIN(DesignSheet!C11*(A480+DesignSheet!C16)) / ( COS(DesignSheet!C11*(A480+DesignSheet!C16)) + (DesignSheet!C11*DesignSheet!C13)/(DesignSheet!C7*(DesignSheet!C11+1)) ) )+(A480+DesignSheet!C16))</f>
        <v>0.68545867644370118</v>
      </c>
      <c r="C480" s="6">
        <f>(DesignSheet!C11*DesignSheet!C13)*SIN((A480+DesignSheet!C16)) + (DesignSheet!C7)*SIN((DesignSheet!C11+1)*(A480+DesignSheet!C16)) - (DesignSheet!C6/2)*SIN(ATAN( SIN(DesignSheet!C11*(A480+DesignSheet!C16)) / ( COS(DesignSheet!C11*(A480+DesignSheet!C16)) + (DesignSheet!C11*DesignSheet!C13)/(DesignSheet!C7*(DesignSheet!C11+1)) ) )+(A480+DesignSheet!C16))</f>
        <v>0.30437871622051604</v>
      </c>
    </row>
    <row r="481" spans="1:3" x14ac:dyDescent="0.3">
      <c r="A481" s="6">
        <f>2*PI()*479/(DesignSheet!C9-1)</f>
        <v>8.3601271170528388</v>
      </c>
      <c r="B481" s="6">
        <f>(DesignSheet!C11*DesignSheet!C13)*COS((A481+DesignSheet!C16)) + (DesignSheet!C7)*COS((DesignSheet!C11+1)*(A481+DesignSheet!C16)) - (DesignSheet!C6/2)*COS(ATAN( SIN(DesignSheet!C11*(A481+DesignSheet!C16)) / ( COS(DesignSheet!C11*(A481+DesignSheet!C16)) + (DesignSheet!C11*DesignSheet!C13)/(DesignSheet!C7*(DesignSheet!C11+1)) ) )+(A481+DesignSheet!C16))</f>
        <v>0.6800421367008459</v>
      </c>
      <c r="C481" s="6">
        <f>(DesignSheet!C11*DesignSheet!C13)*SIN((A481+DesignSheet!C16)) + (DesignSheet!C7)*SIN((DesignSheet!C11+1)*(A481+DesignSheet!C16)) - (DesignSheet!C6/2)*SIN(ATAN( SIN(DesignSheet!C11*(A481+DesignSheet!C16)) / ( COS(DesignSheet!C11*(A481+DesignSheet!C16)) + (DesignSheet!C11*DesignSheet!C13)/(DesignSheet!C7*(DesignSheet!C11+1)) ) )+(A481+DesignSheet!C16))</f>
        <v>0.31629526128500263</v>
      </c>
    </row>
    <row r="482" spans="1:3" x14ac:dyDescent="0.3">
      <c r="A482" s="6">
        <f>2*PI()*480/(DesignSheet!C9-1)</f>
        <v>8.3775804095727811</v>
      </c>
      <c r="B482" s="6">
        <f>(DesignSheet!C11*DesignSheet!C13)*COS((A482+DesignSheet!C16)) + (DesignSheet!C7)*COS((DesignSheet!C11+1)*(A482+DesignSheet!C16)) - (DesignSheet!C6/2)*COS(ATAN( SIN(DesignSheet!C11*(A482+DesignSheet!C16)) / ( COS(DesignSheet!C11*(A482+DesignSheet!C16)) + (DesignSheet!C11*DesignSheet!C13)/(DesignSheet!C7*(DesignSheet!C11+1)) ) )+(A482+DesignSheet!C16))</f>
        <v>0.67441844953543595</v>
      </c>
      <c r="C482" s="6">
        <f>(DesignSheet!C11*DesignSheet!C13)*SIN((A482+DesignSheet!C16)) + (DesignSheet!C7)*SIN((DesignSheet!C11+1)*(A482+DesignSheet!C16)) - (DesignSheet!C6/2)*SIN(ATAN( SIN(DesignSheet!C11*(A482+DesignSheet!C16)) / ( COS(DesignSheet!C11*(A482+DesignSheet!C16)) + (DesignSheet!C11*DesignSheet!C13)/(DesignSheet!C7*(DesignSheet!C11+1)) ) )+(A482+DesignSheet!C16))</f>
        <v>0.32811545974887951</v>
      </c>
    </row>
    <row r="483" spans="1:3" x14ac:dyDescent="0.3">
      <c r="A483" s="6">
        <f>2*PI()*481/(DesignSheet!C9-1)</f>
        <v>8.395033702092725</v>
      </c>
      <c r="B483" s="6">
        <f>(DesignSheet!C11*DesignSheet!C13)*COS((A483+DesignSheet!C16)) + (DesignSheet!C7)*COS((DesignSheet!C11+1)*(A483+DesignSheet!C16)) - (DesignSheet!C6/2)*COS(ATAN( SIN(DesignSheet!C11*(A483+DesignSheet!C16)) / ( COS(DesignSheet!C11*(A483+DesignSheet!C16)) + (DesignSheet!C11*DesignSheet!C13)/(DesignSheet!C7*(DesignSheet!C11+1)) ) )+(A483+DesignSheet!C16))</f>
        <v>0.66858932797705872</v>
      </c>
      <c r="C483" s="6">
        <f>(DesignSheet!C11*DesignSheet!C13)*SIN((A483+DesignSheet!C16)) + (DesignSheet!C7)*SIN((DesignSheet!C11+1)*(A483+DesignSheet!C16)) - (DesignSheet!C6/2)*SIN(ATAN( SIN(DesignSheet!C11*(A483+DesignSheet!C16)) / ( COS(DesignSheet!C11*(A483+DesignSheet!C16)) + (DesignSheet!C11*DesignSheet!C13)/(DesignSheet!C7*(DesignSheet!C11+1)) ) )+(A483+DesignSheet!C16))</f>
        <v>0.33983571106519234</v>
      </c>
    </row>
    <row r="484" spans="1:3" x14ac:dyDescent="0.3">
      <c r="A484" s="6">
        <f>2*PI()*482/(DesignSheet!C9-1)</f>
        <v>8.412486994612669</v>
      </c>
      <c r="B484" s="6">
        <f>(DesignSheet!C11*DesignSheet!C13)*COS((A484+DesignSheet!C16)) + (DesignSheet!C7)*COS((DesignSheet!C11+1)*(A484+DesignSheet!C16)) - (DesignSheet!C6/2)*COS(ATAN( SIN(DesignSheet!C11*(A484+DesignSheet!C16)) / ( COS(DesignSheet!C11*(A484+DesignSheet!C16)) + (DesignSheet!C11*DesignSheet!C13)/(DesignSheet!C7*(DesignSheet!C11+1)) ) )+(A484+DesignSheet!C16))</f>
        <v>0.66255654763260963</v>
      </c>
      <c r="C484" s="6">
        <f>(DesignSheet!C11*DesignSheet!C13)*SIN((A484+DesignSheet!C16)) + (DesignSheet!C7)*SIN((DesignSheet!C11+1)*(A484+DesignSheet!C16)) - (DesignSheet!C6/2)*SIN(ATAN( SIN(DesignSheet!C11*(A484+DesignSheet!C16)) / ( COS(DesignSheet!C11*(A484+DesignSheet!C16)) + (DesignSheet!C11*DesignSheet!C13)/(DesignSheet!C7*(DesignSheet!C11+1)) ) )+(A484+DesignSheet!C16))</f>
        <v>0.3514524451318522</v>
      </c>
    </row>
    <row r="485" spans="1:3" x14ac:dyDescent="0.3">
      <c r="A485" s="6">
        <f>2*PI()*483/(DesignSheet!C9-1)</f>
        <v>8.4299402871326112</v>
      </c>
      <c r="B485" s="6">
        <f>(DesignSheet!C11*DesignSheet!C13)*COS((A485+DesignSheet!C16)) + (DesignSheet!C7)*COS((DesignSheet!C11+1)*(A485+DesignSheet!C16)) - (DesignSheet!C6/2)*COS(ATAN( SIN(DesignSheet!C11*(A485+DesignSheet!C16)) / ( COS(DesignSheet!C11*(A485+DesignSheet!C16)) + (DesignSheet!C11*DesignSheet!C13)/(DesignSheet!C7*(DesignSheet!C11+1)) ) )+(A485+DesignSheet!C16))</f>
        <v>0.65632194614542261</v>
      </c>
      <c r="C485" s="6">
        <f>(DesignSheet!C11*DesignSheet!C13)*SIN((A485+DesignSheet!C16)) + (DesignSheet!C7)*SIN((DesignSheet!C11+1)*(A485+DesignSheet!C16)) - (DesignSheet!C6/2)*SIN(ATAN( SIN(DesignSheet!C11*(A485+DesignSheet!C16)) / ( COS(DesignSheet!C11*(A485+DesignSheet!C16)) + (DesignSheet!C11*DesignSheet!C13)/(DesignSheet!C7*(DesignSheet!C11+1)) ) )+(A485+DesignSheet!C16))</f>
        <v>0.36296212337912748</v>
      </c>
    </row>
    <row r="486" spans="1:3" x14ac:dyDescent="0.3">
      <c r="A486" s="6">
        <f>2*PI()*484/(DesignSheet!C9-1)</f>
        <v>8.4473935796525552</v>
      </c>
      <c r="B486" s="6">
        <f>(DesignSheet!C11*DesignSheet!C13)*COS((A486+DesignSheet!C16)) + (DesignSheet!C7)*COS((DesignSheet!C11+1)*(A486+DesignSheet!C16)) - (DesignSheet!C6/2)*COS(ATAN( SIN(DesignSheet!C11*(A486+DesignSheet!C16)) / ( COS(DesignSheet!C11*(A486+DesignSheet!C16)) + (DesignSheet!C11*DesignSheet!C13)/(DesignSheet!C7*(DesignSheet!C11+1)) ) )+(A486+DesignSheet!C16))</f>
        <v>0.6498874226355057</v>
      </c>
      <c r="C486" s="6">
        <f>(DesignSheet!C11*DesignSheet!C13)*SIN((A486+DesignSheet!C16)) + (DesignSheet!C7)*SIN((DesignSheet!C11+1)*(A486+DesignSheet!C16)) - (DesignSheet!C6/2)*SIN(ATAN( SIN(DesignSheet!C11*(A486+DesignSheet!C16)) / ( COS(DesignSheet!C11*(A486+DesignSheet!C16)) + (DesignSheet!C11*DesignSheet!C13)/(DesignSheet!C7*(DesignSheet!C11+1)) ) )+(A486+DesignSheet!C16))</f>
        <v>0.37436123984752956</v>
      </c>
    </row>
    <row r="487" spans="1:3" x14ac:dyDescent="0.3">
      <c r="A487" s="6">
        <f>2*PI()*485/(DesignSheet!C9-1)</f>
        <v>8.4648468721724974</v>
      </c>
      <c r="B487" s="6">
        <f>(DesignSheet!C11*DesignSheet!C13)*COS((A487+DesignSheet!C16)) + (DesignSheet!C7)*COS((DesignSheet!C11+1)*(A487+DesignSheet!C16)) - (DesignSheet!C6/2)*COS(ATAN( SIN(DesignSheet!C11*(A487+DesignSheet!C16)) / ( COS(DesignSheet!C11*(A487+DesignSheet!C16)) + (DesignSheet!C11*DesignSheet!C13)/(DesignSheet!C7*(DesignSheet!C11+1)) ) )+(A487+DesignSheet!C16))</f>
        <v>0.64325493712105386</v>
      </c>
      <c r="C487" s="6">
        <f>(DesignSheet!C11*DesignSheet!C13)*SIN((A487+DesignSheet!C16)) + (DesignSheet!C7)*SIN((DesignSheet!C11+1)*(A487+DesignSheet!C16)) - (DesignSheet!C6/2)*SIN(ATAN( SIN(DesignSheet!C11*(A487+DesignSheet!C16)) / ( COS(DesignSheet!C11*(A487+DesignSheet!C16)) + (DesignSheet!C11*DesignSheet!C13)/(DesignSheet!C7*(DesignSheet!C11+1)) ) )+(A487+DesignSheet!C16))</f>
        <v>0.38564632225575418</v>
      </c>
    </row>
    <row r="488" spans="1:3" x14ac:dyDescent="0.3">
      <c r="A488" s="6">
        <f>2*PI()*486/(DesignSheet!C9-1)</f>
        <v>8.4823001646924414</v>
      </c>
      <c r="B488" s="6">
        <f>(DesignSheet!C11*DesignSheet!C13)*COS((A488+DesignSheet!C16)) + (DesignSheet!C7)*COS((DesignSheet!C11+1)*(A488+DesignSheet!C16)) - (DesignSheet!C6/2)*COS(ATAN( SIN(DesignSheet!C11*(A488+DesignSheet!C16)) / ( COS(DesignSheet!C11*(A488+DesignSheet!C16)) + (DesignSheet!C11*DesignSheet!C13)/(DesignSheet!C7*(DesignSheet!C11+1)) ) )+(A488+DesignSheet!C16))</f>
        <v>0.6364265099214037</v>
      </c>
      <c r="C488" s="6">
        <f>(DesignSheet!C11*DesignSheet!C13)*SIN((A488+DesignSheet!C16)) + (DesignSheet!C7)*SIN((DesignSheet!C11+1)*(A488+DesignSheet!C16)) - (DesignSheet!C6/2)*SIN(ATAN( SIN(DesignSheet!C11*(A488+DesignSheet!C16)) / ( COS(DesignSheet!C11*(A488+DesignSheet!C16)) + (DesignSheet!C11*DesignSheet!C13)/(DesignSheet!C7*(DesignSheet!C11+1)) ) )+(A488+DesignSheet!C16))</f>
        <v>0.39681393305838109</v>
      </c>
    </row>
    <row r="489" spans="1:3" x14ac:dyDescent="0.3">
      <c r="A489" s="6">
        <f>2*PI()*487/(DesignSheet!C9-1)</f>
        <v>8.4997534572123836</v>
      </c>
      <c r="B489" s="6">
        <f>(DesignSheet!C11*DesignSheet!C13)*COS((A489+DesignSheet!C16)) + (DesignSheet!C7)*COS((DesignSheet!C11+1)*(A489+DesignSheet!C16)) - (DesignSheet!C6/2)*COS(ATAN( SIN(DesignSheet!C11*(A489+DesignSheet!C16)) / ( COS(DesignSheet!C11*(A489+DesignSheet!C16)) + (DesignSheet!C11*DesignSheet!C13)/(DesignSheet!C7*(DesignSheet!C11+1)) ) )+(A489+DesignSheet!C16))</f>
        <v>0.6294042210416303</v>
      </c>
      <c r="C489" s="6">
        <f>(DesignSheet!C11*DesignSheet!C13)*SIN((A489+DesignSheet!C16)) + (DesignSheet!C7)*SIN((DesignSheet!C11+1)*(A489+DesignSheet!C16)) - (DesignSheet!C6/2)*SIN(ATAN( SIN(DesignSheet!C11*(A489+DesignSheet!C16)) / ( COS(DesignSheet!C11*(A489+DesignSheet!C16)) + (DesignSheet!C11*DesignSheet!C13)/(DesignSheet!C7*(DesignSheet!C11+1)) ) )+(A489+DesignSheet!C16))</f>
        <v>0.40786067049297436</v>
      </c>
    </row>
    <row r="490" spans="1:3" x14ac:dyDescent="0.3">
      <c r="A490" s="6">
        <f>2*PI()*488/(DesignSheet!C9-1)</f>
        <v>8.5172067497323276</v>
      </c>
      <c r="B490" s="6">
        <f>(DesignSheet!C11*DesignSheet!C13)*COS((A490+DesignSheet!C16)) + (DesignSheet!C7)*COS((DesignSheet!C11+1)*(A490+DesignSheet!C16)) - (DesignSheet!C6/2)*COS(ATAN( SIN(DesignSheet!C11*(A490+DesignSheet!C16)) / ( COS(DesignSheet!C11*(A490+DesignSheet!C16)) + (DesignSheet!C11*DesignSheet!C13)/(DesignSheet!C7*(DesignSheet!C11+1)) ) )+(A490+DesignSheet!C16))</f>
        <v>0.62219020953895121</v>
      </c>
      <c r="C490" s="6">
        <f>(DesignSheet!C11*DesignSheet!C13)*SIN((A490+DesignSheet!C16)) + (DesignSheet!C7)*SIN((DesignSheet!C11+1)*(A490+DesignSheet!C16)) - (DesignSheet!C6/2)*SIN(ATAN( SIN(DesignSheet!C11*(A490+DesignSheet!C16)) / ( COS(DesignSheet!C11*(A490+DesignSheet!C16)) + (DesignSheet!C11*DesignSheet!C13)/(DesignSheet!C7*(DesignSheet!C11+1)) ) )+(A490+DesignSheet!C16))</f>
        <v>0.41878316961630158</v>
      </c>
    </row>
    <row r="491" spans="1:3" x14ac:dyDescent="0.3">
      <c r="A491" s="6">
        <f>2*PI()*489/(DesignSheet!C9-1)</f>
        <v>8.5346600422522716</v>
      </c>
      <c r="B491" s="6">
        <f>(DesignSheet!C11*DesignSheet!C13)*COS((A491+DesignSheet!C16)) + (DesignSheet!C7)*COS((DesignSheet!C11+1)*(A491+DesignSheet!C16)) - (DesignSheet!C6/2)*COS(ATAN( SIN(DesignSheet!C11*(A491+DesignSheet!C16)) / ( COS(DesignSheet!C11*(A491+DesignSheet!C16)) + (DesignSheet!C11*DesignSheet!C13)/(DesignSheet!C7*(DesignSheet!C11+1)) ) )+(A491+DesignSheet!C16))</f>
        <v>0.61478667287115463</v>
      </c>
      <c r="C491" s="6">
        <f>(DesignSheet!C11*DesignSheet!C13)*SIN((A491+DesignSheet!C16)) + (DesignSheet!C7)*SIN((DesignSheet!C11+1)*(A491+DesignSheet!C16)) - (DesignSheet!C6/2)*SIN(ATAN( SIN(DesignSheet!C11*(A491+DesignSheet!C16)) / ( COS(DesignSheet!C11*(A491+DesignSheet!C16)) + (DesignSheet!C11*DesignSheet!C13)/(DesignSheet!C7*(DesignSheet!C11+1)) ) )+(A491+DesignSheet!C16))</f>
        <v>0.42957810332931989</v>
      </c>
    </row>
    <row r="492" spans="1:3" x14ac:dyDescent="0.3">
      <c r="A492" s="6">
        <f>2*PI()*490/(DesignSheet!C9-1)</f>
        <v>8.5521133347722138</v>
      </c>
      <c r="B492" s="6">
        <f>(DesignSheet!C11*DesignSheet!C13)*COS((A492+DesignSheet!C16)) + (DesignSheet!C7)*COS((DesignSheet!C11+1)*(A492+DesignSheet!C16)) - (DesignSheet!C6/2)*COS(ATAN( SIN(DesignSheet!C11*(A492+DesignSheet!C16)) / ( COS(DesignSheet!C11*(A492+DesignSheet!C16)) + (DesignSheet!C11*DesignSheet!C13)/(DesignSheet!C7*(DesignSheet!C11+1)) ) )+(A492+DesignSheet!C16))</f>
        <v>0.6071958662272301</v>
      </c>
      <c r="C492" s="6">
        <f>(DesignSheet!C11*DesignSheet!C13)*SIN((A492+DesignSheet!C16)) + (DesignSheet!C7)*SIN((DesignSheet!C11+1)*(A492+DesignSheet!C16)) - (DesignSheet!C6/2)*SIN(ATAN( SIN(DesignSheet!C11*(A492+DesignSheet!C16)) / ( COS(DesignSheet!C11*(A492+DesignSheet!C16)) + (DesignSheet!C11*DesignSheet!C13)/(DesignSheet!C7*(DesignSheet!C11+1)) ) )+(A492+DesignSheet!C16))</f>
        <v>0.44024218339064658</v>
      </c>
    </row>
    <row r="493" spans="1:3" x14ac:dyDescent="0.3">
      <c r="A493" s="6">
        <f>2*PI()*491/(DesignSheet!C9-1)</f>
        <v>8.5695666272921578</v>
      </c>
      <c r="B493" s="6">
        <f>(DesignSheet!C11*DesignSheet!C13)*COS((A493+DesignSheet!C16)) + (DesignSheet!C7)*COS((DesignSheet!C11+1)*(A493+DesignSheet!C16)) - (DesignSheet!C6/2)*COS(ATAN( SIN(DesignSheet!C11*(A493+DesignSheet!C16)) / ( COS(DesignSheet!C11*(A493+DesignSheet!C16)) + (DesignSheet!C11*DesignSheet!C13)/(DesignSheet!C7*(DesignSheet!C11+1)) ) )+(A493+DesignSheet!C16))</f>
        <v>0.5994201018404135</v>
      </c>
      <c r="C493" s="6">
        <f>(DesignSheet!C11*DesignSheet!C13)*SIN((A493+DesignSheet!C16)) + (DesignSheet!C7)*SIN((DesignSheet!C11+1)*(A493+DesignSheet!C16)) - (DesignSheet!C6/2)*SIN(ATAN( SIN(DesignSheet!C11*(A493+DesignSheet!C16)) / ( COS(DesignSheet!C11*(A493+DesignSheet!C16)) + (DesignSheet!C11*DesignSheet!C13)/(DesignSheet!C7*(DesignSheet!C11+1)) ) )+(A493+DesignSheet!C16))</f>
        <v>0.45077216141819176</v>
      </c>
    </row>
    <row r="494" spans="1:3" x14ac:dyDescent="0.3">
      <c r="A494" s="6">
        <f>2*PI()*492/(DesignSheet!C9-1)</f>
        <v>8.5870199198121018</v>
      </c>
      <c r="B494" s="6">
        <f>(DesignSheet!C11*DesignSheet!C13)*COS((A494+DesignSheet!C16)) + (DesignSheet!C7)*COS((DesignSheet!C11+1)*(A494+DesignSheet!C16)) - (DesignSheet!C6/2)*COS(ATAN( SIN(DesignSheet!C11*(A494+DesignSheet!C16)) / ( COS(DesignSheet!C11*(A494+DesignSheet!C16)) + (DesignSheet!C11*DesignSheet!C13)/(DesignSheet!C7*(DesignSheet!C11+1)) ) )+(A494+DesignSheet!C16))</f>
        <v>0.59146174828386333</v>
      </c>
      <c r="C494" s="6">
        <f>(DesignSheet!C11*DesignSheet!C13)*SIN((A494+DesignSheet!C16)) + (DesignSheet!C7)*SIN((DesignSheet!C11+1)*(A494+DesignSheet!C16)) - (DesignSheet!C6/2)*SIN(ATAN( SIN(DesignSheet!C11*(A494+DesignSheet!C16)) / ( COS(DesignSheet!C11*(A494+DesignSheet!C16)) + (DesignSheet!C11*DesignSheet!C13)/(DesignSheet!C7*(DesignSheet!C11+1)) ) )+(A494+DesignSheet!C16))</f>
        <v>0.46116482987864105</v>
      </c>
    </row>
    <row r="495" spans="1:3" x14ac:dyDescent="0.3">
      <c r="A495" s="6">
        <f>2*PI()*493/(DesignSheet!C9-1)</f>
        <v>8.6044732123320458</v>
      </c>
      <c r="B495" s="6">
        <f>(DesignSheet!C11*DesignSheet!C13)*COS((A495+DesignSheet!C16)) + (DesignSheet!C7)*COS((DesignSheet!C11+1)*(A495+DesignSheet!C16)) - (DesignSheet!C6/2)*COS(ATAN( SIN(DesignSheet!C11*(A495+DesignSheet!C16)) / ( COS(DesignSheet!C11*(A495+DesignSheet!C16)) + (DesignSheet!C11*DesignSheet!C13)/(DesignSheet!C7*(DesignSheet!C11+1)) ) )+(A495+DesignSheet!C16))</f>
        <v>0.58332322974916739</v>
      </c>
      <c r="C495" s="6">
        <f>(DesignSheet!C11*DesignSheet!C13)*SIN((A495+DesignSheet!C16)) + (DesignSheet!C7)*SIN((DesignSheet!C11+1)*(A495+DesignSheet!C16)) - (DesignSheet!C6/2)*SIN(ATAN( SIN(DesignSheet!C11*(A495+DesignSheet!C16)) / ( COS(DesignSheet!C11*(A495+DesignSheet!C16)) + (DesignSheet!C11*DesignSheet!C13)/(DesignSheet!C7*(DesignSheet!C11+1)) ) )+(A495+DesignSheet!C16))</f>
        <v>0.47141702306450517</v>
      </c>
    </row>
    <row r="496" spans="1:3" x14ac:dyDescent="0.3">
      <c r="A496" s="6">
        <f>2*PI()*494/(DesignSheet!C9-1)</f>
        <v>8.621926504851988</v>
      </c>
      <c r="B496" s="6">
        <f>(DesignSheet!C11*DesignSheet!C13)*COS((A496+DesignSheet!C16)) + (DesignSheet!C7)*COS((DesignSheet!C11+1)*(A496+DesignSheet!C16)) - (DesignSheet!C6/2)*COS(ATAN( SIN(DesignSheet!C11*(A496+DesignSheet!C16)) / ( COS(DesignSheet!C11*(A496+DesignSheet!C16)) + (DesignSheet!C11*DesignSheet!C13)/(DesignSheet!C7*(DesignSheet!C11+1)) ) )+(A496+DesignSheet!C16))</f>
        <v>0.57500702530791159</v>
      </c>
      <c r="C496" s="6">
        <f>(DesignSheet!C11*DesignSheet!C13)*SIN((A496+DesignSheet!C16)) + (DesignSheet!C7)*SIN((DesignSheet!C11+1)*(A496+DesignSheet!C16)) - (DesignSheet!C6/2)*SIN(ATAN( SIN(DesignSheet!C11*(A496+DesignSheet!C16)) / ( COS(DesignSheet!C11*(A496+DesignSheet!C16)) + (DesignSheet!C11*DesignSheet!C13)/(DesignSheet!C7*(DesignSheet!C11+1)) ) )+(A496+DesignSheet!C16))</f>
        <v>0.48152561805842353</v>
      </c>
    </row>
    <row r="497" spans="1:3" x14ac:dyDescent="0.3">
      <c r="A497" s="6">
        <f>2*PI()*495/(DesignSheet!C9-1)</f>
        <v>8.639379797371932</v>
      </c>
      <c r="B497" s="6">
        <f>(DesignSheet!C11*DesignSheet!C13)*COS((A497+DesignSheet!C16)) + (DesignSheet!C7)*COS((DesignSheet!C11+1)*(A497+DesignSheet!C16)) - (DesignSheet!C6/2)*COS(ATAN( SIN(DesignSheet!C11*(A497+DesignSheet!C16)) / ( COS(DesignSheet!C11*(A497+DesignSheet!C16)) + (DesignSheet!C11*DesignSheet!C13)/(DesignSheet!C7*(DesignSheet!C11+1)) ) )+(A497+DesignSheet!C16))</f>
        <v>0.56651566815652799</v>
      </c>
      <c r="C497" s="6">
        <f>(DesignSheet!C11*DesignSheet!C13)*SIN((A497+DesignSheet!C16)) + (DesignSheet!C7)*SIN((DesignSheet!C11+1)*(A497+DesignSheet!C16)) - (DesignSheet!C6/2)*SIN(ATAN( SIN(DesignSheet!C11*(A497+DesignSheet!C16)) / ( COS(DesignSheet!C11*(A497+DesignSheet!C16)) + (DesignSheet!C11*DesignSheet!C13)/(DesignSheet!C7*(DesignSheet!C11+1)) ) )+(A497+DesignSheet!C16))</f>
        <v>0.49148753568443898</v>
      </c>
    </row>
    <row r="498" spans="1:3" x14ac:dyDescent="0.3">
      <c r="A498" s="6">
        <f>2*PI()*496/(DesignSheet!C9-1)</f>
        <v>8.6568330898918742</v>
      </c>
      <c r="B498" s="6">
        <f>(DesignSheet!C11*DesignSheet!C13)*COS((A498+DesignSheet!C16)) + (DesignSheet!C7)*COS((DesignSheet!C11+1)*(A498+DesignSheet!C16)) - (DesignSheet!C6/2)*COS(ATAN( SIN(DesignSheet!C11*(A498+DesignSheet!C16)) / ( COS(DesignSheet!C11*(A498+DesignSheet!C16)) + (DesignSheet!C11*DesignSheet!C13)/(DesignSheet!C7*(DesignSheet!C11+1)) ) )+(A498+DesignSheet!C16))</f>
        <v>0.55785174484466438</v>
      </c>
      <c r="C498" s="6">
        <f>(DesignSheet!C11*DesignSheet!C13)*SIN((A498+DesignSheet!C16)) + (DesignSheet!C7)*SIN((DesignSheet!C11+1)*(A498+DesignSheet!C16)) - (DesignSheet!C6/2)*SIN(ATAN( SIN(DesignSheet!C11*(A498+DesignSheet!C16)) / ( COS(DesignSheet!C11*(A498+DesignSheet!C16)) + (DesignSheet!C11*DesignSheet!C13)/(DesignSheet!C7*(DesignSheet!C11+1)) ) )+(A498+DesignSheet!C16))</f>
        <v>0.50129974144593725</v>
      </c>
    </row>
    <row r="499" spans="1:3" x14ac:dyDescent="0.3">
      <c r="A499" s="6">
        <f>2*PI()*497/(DesignSheet!C9-1)</f>
        <v>8.6742863824118182</v>
      </c>
      <c r="B499" s="6">
        <f>(DesignSheet!C11*DesignSheet!C13)*COS((A499+DesignSheet!C16)) + (DesignSheet!C7)*COS((DesignSheet!C11+1)*(A499+DesignSheet!C16)) - (DesignSheet!C6/2)*COS(ATAN( SIN(DesignSheet!C11*(A499+DesignSheet!C16)) / ( COS(DesignSheet!C11*(A499+DesignSheet!C16)) + (DesignSheet!C11*DesignSheet!C13)/(DesignSheet!C7*(DesignSheet!C11+1)) ) )+(A499+DesignSheet!C16))</f>
        <v>0.54901789448728899</v>
      </c>
      <c r="C499" s="6">
        <f>(DesignSheet!C11*DesignSheet!C13)*SIN((A499+DesignSheet!C16)) + (DesignSheet!C7)*SIN((DesignSheet!C11+1)*(A499+DesignSheet!C16)) - (DesignSheet!C6/2)*SIN(ATAN( SIN(DesignSheet!C11*(A499+DesignSheet!C16)) / ( COS(DesignSheet!C11*(A499+DesignSheet!C16)) + (DesignSheet!C11*DesignSheet!C13)/(DesignSheet!C7*(DesignSheet!C11+1)) ) )+(A499+DesignSheet!C16))</f>
        <v>0.51095924644999247</v>
      </c>
    </row>
    <row r="500" spans="1:3" x14ac:dyDescent="0.3">
      <c r="A500" s="6">
        <f>2*PI()*498/(DesignSheet!C9-1)</f>
        <v>8.6917396749317604</v>
      </c>
      <c r="B500" s="6">
        <f>(DesignSheet!C11*DesignSheet!C13)*COS((A500+DesignSheet!C16)) + (DesignSheet!C7)*COS((DesignSheet!C11+1)*(A500+DesignSheet!C16)) - (DesignSheet!C6/2)*COS(ATAN( SIN(DesignSheet!C11*(A500+DesignSheet!C16)) / ( COS(DesignSheet!C11*(A500+DesignSheet!C16)) + (DesignSheet!C11*DesignSheet!C13)/(DesignSheet!C7*(DesignSheet!C11+1)) ) )+(A500+DesignSheet!C16))</f>
        <v>0.54001680796079787</v>
      </c>
      <c r="C500" s="6">
        <f>(DesignSheet!C11*DesignSheet!C13)*SIN((A500+DesignSheet!C16)) + (DesignSheet!C7)*SIN((DesignSheet!C11+1)*(A500+DesignSheet!C16)) - (DesignSheet!C6/2)*SIN(ATAN( SIN(DesignSheet!C11*(A500+DesignSheet!C16)) / ( COS(DesignSheet!C11*(A500+DesignSheet!C16)) + (DesignSheet!C11*DesignSheet!C13)/(DesignSheet!C7*(DesignSheet!C11+1)) ) )+(A500+DesignSheet!C16))</f>
        <v>0.52046310831780462</v>
      </c>
    </row>
    <row r="501" spans="1:3" x14ac:dyDescent="0.3">
      <c r="A501" s="6">
        <f>2*PI()*499/(DesignSheet!C9-1)</f>
        <v>8.7091929674517043</v>
      </c>
      <c r="B501" s="6">
        <f>(DesignSheet!C11*DesignSheet!C13)*COS((A501+DesignSheet!C16)) + (DesignSheet!C7)*COS((DesignSheet!C11+1)*(A501+DesignSheet!C16)) - (DesignSheet!C6/2)*COS(ATAN( SIN(DesignSheet!C11*(A501+DesignSheet!C16)) / ( COS(DesignSheet!C11*(A501+DesignSheet!C16)) + (DesignSheet!C11*DesignSheet!C13)/(DesignSheet!C7*(DesignSheet!C11+1)) ) )+(A501+DesignSheet!C16))</f>
        <v>0.53085122708334054</v>
      </c>
      <c r="C501" s="6">
        <f>(DesignSheet!C11*DesignSheet!C13)*SIN((A501+DesignSheet!C16)) + (DesignSheet!C7)*SIN((DesignSheet!C11+1)*(A501+DesignSheet!C16)) - (DesignSheet!C6/2)*SIN(ATAN( SIN(DesignSheet!C11*(A501+DesignSheet!C16)) / ( COS(DesignSheet!C11*(A501+DesignSheet!C16)) + (DesignSheet!C11*DesignSheet!C13)/(DesignSheet!C7*(DesignSheet!C11+1)) ) )+(A501+DesignSheet!C16))</f>
        <v>0.52980843208098483</v>
      </c>
    </row>
    <row r="502" spans="1:3" x14ac:dyDescent="0.3">
      <c r="A502" s="6">
        <f>2*PI()*500/(DesignSheet!C9-1)</f>
        <v>8.7266462599716466</v>
      </c>
      <c r="B502" s="6">
        <f>(DesignSheet!C11*DesignSheet!C13)*COS((A502+DesignSheet!C16)) + (DesignSheet!C7)*COS((DesignSheet!C11+1)*(A502+DesignSheet!C16)) - (DesignSheet!C6/2)*COS(ATAN( SIN(DesignSheet!C11*(A502+DesignSheet!C16)) / ( COS(DesignSheet!C11*(A502+DesignSheet!C16)) + (DesignSheet!C11*DesignSheet!C13)/(DesignSheet!C7*(DesignSheet!C11+1)) ) )+(A502+DesignSheet!C16))</f>
        <v>0.52152394377964351</v>
      </c>
      <c r="C502" s="6">
        <f>(DesignSheet!C11*DesignSheet!C13)*SIN((A502+DesignSheet!C16)) + (DesignSheet!C7)*SIN((DesignSheet!C11+1)*(A502+DesignSheet!C16)) - (DesignSheet!C6/2)*SIN(ATAN( SIN(DesignSheet!C11*(A502+DesignSheet!C16)) / ( COS(DesignSheet!C11*(A502+DesignSheet!C16)) + (DesignSheet!C11*DesignSheet!C13)/(DesignSheet!C7*(DesignSheet!C11+1)) ) )+(A502+DesignSheet!C16))</f>
        <v>0.53899237106338271</v>
      </c>
    </row>
    <row r="503" spans="1:3" x14ac:dyDescent="0.3">
      <c r="A503" s="6">
        <f>2*PI()*501/(DesignSheet!C9-1)</f>
        <v>8.7440995524915905</v>
      </c>
      <c r="B503" s="6">
        <f>(DesignSheet!C11*DesignSheet!C13)*COS((A503+DesignSheet!C16)) + (DesignSheet!C7)*COS((DesignSheet!C11+1)*(A503+DesignSheet!C16)) - (DesignSheet!C6/2)*COS(ATAN( SIN(DesignSheet!C11*(A503+DesignSheet!C16)) / ( COS(DesignSheet!C11*(A503+DesignSheet!C16)) + (DesignSheet!C11*DesignSheet!C13)/(DesignSheet!C7*(DesignSheet!C11+1)) ) )+(A503+DesignSheet!C16))</f>
        <v>0.51203779923055426</v>
      </c>
      <c r="C503" s="6">
        <f>(DesignSheet!C11*DesignSheet!C13)*SIN((A503+DesignSheet!C16)) + (DesignSheet!C7)*SIN((DesignSheet!C11+1)*(A503+DesignSheet!C16)) - (DesignSheet!C6/2)*SIN(ATAN( SIN(DesignSheet!C11*(A503+DesignSheet!C16)) / ( COS(DesignSheet!C11*(A503+DesignSheet!C16)) + (DesignSheet!C11*DesignSheet!C13)/(DesignSheet!C7*(DesignSheet!C11+1)) ) )+(A503+DesignSheet!C16))</f>
        <v>0.54801212774821928</v>
      </c>
    </row>
    <row r="504" spans="1:3" x14ac:dyDescent="0.3">
      <c r="A504" s="6">
        <f>2*PI()*502/(DesignSheet!C9-1)</f>
        <v>8.7615528450115345</v>
      </c>
      <c r="B504" s="6">
        <f>(DesignSheet!C11*DesignSheet!C13)*COS((A504+DesignSheet!C16)) + (DesignSheet!C7)*COS((DesignSheet!C11+1)*(A504+DesignSheet!C16)) - (DesignSheet!C6/2)*COS(ATAN( SIN(DesignSheet!C11*(A504+DesignSheet!C16)) / ( COS(DesignSheet!C11*(A504+DesignSheet!C16)) + (DesignSheet!C11*DesignSheet!C13)/(DesignSheet!C7*(DesignSheet!C11+1)) ) )+(A504+DesignSheet!C16))</f>
        <v>0.50239568300759785</v>
      </c>
      <c r="C504" s="6">
        <f>(DesignSheet!C11*DesignSheet!C13)*SIN((A504+DesignSheet!C16)) + (DesignSheet!C7)*SIN((DesignSheet!C11+1)*(A504+DesignSheet!C16)) - (DesignSheet!C6/2)*SIN(ATAN( SIN(DesignSheet!C11*(A504+DesignSheet!C16)) / ( COS(DesignSheet!C11*(A504+DesignSheet!C16)) + (DesignSheet!C11*DesignSheet!C13)/(DesignSheet!C7*(DesignSheet!C11+1)) ) )+(A504+DesignSheet!C16))</f>
        <v>0.556864954630231</v>
      </c>
    </row>
    <row r="505" spans="1:3" x14ac:dyDescent="0.3">
      <c r="A505" s="6">
        <f>2*PI()*503/(DesignSheet!C9-1)</f>
        <v>8.7790061375314767</v>
      </c>
      <c r="B505" s="6">
        <f>(DesignSheet!C11*DesignSheet!C13)*COS((A505+DesignSheet!C16)) + (DesignSheet!C7)*COS((DesignSheet!C11+1)*(A505+DesignSheet!C16)) - (DesignSheet!C6/2)*COS(ATAN( SIN(DesignSheet!C11*(A505+DesignSheet!C16)) / ( COS(DesignSheet!C11*(A505+DesignSheet!C16)) + (DesignSheet!C11*DesignSheet!C13)/(DesignSheet!C7*(DesignSheet!C11+1)) ) )+(A505+DesignSheet!C16))</f>
        <v>0.49260053219278205</v>
      </c>
      <c r="C505" s="6">
        <f>(DesignSheet!C11*DesignSheet!C13)*SIN((A505+DesignSheet!C16)) + (DesignSheet!C7)*SIN((DesignSheet!C11+1)*(A505+DesignSheet!C16)) - (DesignSheet!C6/2)*SIN(ATAN( SIN(DesignSheet!C11*(A505+DesignSheet!C16)) / ( COS(DesignSheet!C11*(A505+DesignSheet!C16)) + (DesignSheet!C11*DesignSheet!C13)/(DesignSheet!C7*(DesignSheet!C11+1)) ) )+(A505+DesignSheet!C16))</f>
        <v>0.5655481550525896</v>
      </c>
    </row>
    <row r="506" spans="1:3" x14ac:dyDescent="0.3">
      <c r="A506" s="6">
        <f>2*PI()*504/(DesignSheet!C9-1)</f>
        <v>8.7964594300514207</v>
      </c>
      <c r="B506" s="6">
        <f>(DesignSheet!C11*DesignSheet!C13)*COS((A506+DesignSheet!C16)) + (DesignSheet!C7)*COS((DesignSheet!C11+1)*(A506+DesignSheet!C16)) - (DesignSheet!C6/2)*COS(ATAN( SIN(DesignSheet!C11*(A506+DesignSheet!C16)) / ( COS(DesignSheet!C11*(A506+DesignSheet!C16)) + (DesignSheet!C11*DesignSheet!C13)/(DesignSheet!C7*(DesignSheet!C11+1)) ) )+(A506+DesignSheet!C16))</f>
        <v>0.48265533048393083</v>
      </c>
      <c r="C506" s="6">
        <f>(DesignSheet!C11*DesignSheet!C13)*SIN((A506+DesignSheet!C16)) + (DesignSheet!C7)*SIN((DesignSheet!C11+1)*(A506+DesignSheet!C16)) - (DesignSheet!C6/2)*SIN(ATAN( SIN(DesignSheet!C11*(A506+DesignSheet!C16)) / ( COS(DesignSheet!C11*(A506+DesignSheet!C16)) + (DesignSheet!C11*DesignSheet!C13)/(DesignSheet!C7*(DesignSheet!C11+1)) ) )+(A506+DesignSheet!C16))</f>
        <v>0.57405908402833206</v>
      </c>
    </row>
    <row r="507" spans="1:3" x14ac:dyDescent="0.3">
      <c r="A507" s="6">
        <f>2*PI()*505/(DesignSheet!C9-1)</f>
        <v>8.8139127225713629</v>
      </c>
      <c r="B507" s="6">
        <f>(DesignSheet!C11*DesignSheet!C13)*COS((A507+DesignSheet!C16)) + (DesignSheet!C7)*COS((DesignSheet!C11+1)*(A507+DesignSheet!C16)) - (DesignSheet!C6/2)*COS(ATAN( SIN(DesignSheet!C11*(A507+DesignSheet!C16)) / ( COS(DesignSheet!C11*(A507+DesignSheet!C16)) + (DesignSheet!C11*DesignSheet!C13)/(DesignSheet!C7*(DesignSheet!C11+1)) ) )+(A507+DesignSheet!C16))</f>
        <v>0.47256310728582795</v>
      </c>
      <c r="C507" s="6">
        <f>(DesignSheet!C11*DesignSheet!C13)*SIN((A507+DesignSheet!C16)) + (DesignSheet!C7)*SIN((DesignSheet!C11+1)*(A507+DesignSheet!C16)) - (DesignSheet!C6/2)*SIN(ATAN( SIN(DesignSheet!C11*(A507+DesignSheet!C16)) / ( COS(DesignSheet!C11*(A507+DesignSheet!C16)) + (DesignSheet!C11*DesignSheet!C13)/(DesignSheet!C7*(DesignSheet!C11+1)) ) )+(A507+DesignSheet!C16))</f>
        <v>0.58239514904604339</v>
      </c>
    </row>
    <row r="508" spans="1:3" x14ac:dyDescent="0.3">
      <c r="A508" s="6">
        <f>2*PI()*506/(DesignSheet!C9-1)</f>
        <v>8.8313660150913069</v>
      </c>
      <c r="B508" s="6">
        <f>(DesignSheet!C11*DesignSheet!C13)*COS((A508+DesignSheet!C16)) + (DesignSheet!C7)*COS((DesignSheet!C11+1)*(A508+DesignSheet!C16)) - (DesignSheet!C6/2)*COS(ATAN( SIN(DesignSheet!C11*(A508+DesignSheet!C16)) / ( COS(DesignSheet!C11*(A508+DesignSheet!C16)) + (DesignSheet!C11*DesignSheet!C13)/(DesignSheet!C7*(DesignSheet!C11+1)) ) )+(A508+DesignSheet!C16))</f>
        <v>0.4623269367874232</v>
      </c>
      <c r="C508" s="6">
        <f>(DesignSheet!C11*DesignSheet!C13)*SIN((A508+DesignSheet!C16)) + (DesignSheet!C7)*SIN((DesignSheet!C11+1)*(A508+DesignSheet!C16)) - (DesignSheet!C6/2)*SIN(ATAN( SIN(DesignSheet!C11*(A508+DesignSheet!C16)) / ( COS(DesignSheet!C11*(A508+DesignSheet!C16)) + (DesignSheet!C11*DesignSheet!C13)/(DesignSheet!C7*(DesignSheet!C11+1)) ) )+(A508+DesignSheet!C16))</f>
        <v>0.5905538108595676</v>
      </c>
    </row>
    <row r="509" spans="1:3" x14ac:dyDescent="0.3">
      <c r="A509" s="6">
        <f>2*PI()*507/(DesignSheet!C9-1)</f>
        <v>8.8488193076112509</v>
      </c>
      <c r="B509" s="6">
        <f>(DesignSheet!C11*DesignSheet!C13)*COS((A509+DesignSheet!C16)) + (DesignSheet!C7)*COS((DesignSheet!C11+1)*(A509+DesignSheet!C16)) - (DesignSheet!C6/2)*COS(ATAN( SIN(DesignSheet!C11*(A509+DesignSheet!C16)) / ( COS(DesignSheet!C11*(A509+DesignSheet!C16)) + (DesignSheet!C11*DesignSheet!C13)/(DesignSheet!C7*(DesignSheet!C11+1)) ) )+(A509+DesignSheet!C16))</f>
        <v>0.45194993702541147</v>
      </c>
      <c r="C509" s="6">
        <f>(DesignSheet!C11*DesignSheet!C13)*SIN((A509+DesignSheet!C16)) + (DesignSheet!C7)*SIN((DesignSheet!C11+1)*(A509+DesignSheet!C16)) - (DesignSheet!C6/2)*SIN(ATAN( SIN(DesignSheet!C11*(A509+DesignSheet!C16)) / ( COS(DesignSheet!C11*(A509+DesignSheet!C16)) + (DesignSheet!C11*DesignSheet!C13)/(DesignSheet!C7*(DesignSheet!C11+1)) ) )+(A509+DesignSheet!C16))</f>
        <v>0.59853258426148082</v>
      </c>
    </row>
    <row r="510" spans="1:3" x14ac:dyDescent="0.3">
      <c r="A510" s="6">
        <f>2*PI()*508/(DesignSheet!C9-1)</f>
        <v>8.8662726001311949</v>
      </c>
      <c r="B510" s="6">
        <f>(DesignSheet!C11*DesignSheet!C13)*COS((A510+DesignSheet!C16)) + (DesignSheet!C7)*COS((DesignSheet!C11+1)*(A510+DesignSheet!C16)) - (DesignSheet!C6/2)*COS(ATAN( SIN(DesignSheet!C11*(A510+DesignSheet!C16)) / ( COS(DesignSheet!C11*(A510+DesignSheet!C16)) + (DesignSheet!C11*DesignSheet!C13)/(DesignSheet!C7*(DesignSheet!C11+1)) ) )+(A510+DesignSheet!C16))</f>
        <v>0.44143526893444446</v>
      </c>
      <c r="C510" s="6">
        <f>(DesignSheet!C11*DesignSheet!C13)*SIN((A510+DesignSheet!C16)) + (DesignSheet!C7)*SIN((DesignSheet!C11+1)*(A510+DesignSheet!C16)) - (DesignSheet!C6/2)*SIN(ATAN( SIN(DesignSheet!C11*(A510+DesignSheet!C16)) / ( COS(DesignSheet!C11*(A510+DesignSheet!C16)) + (DesignSheet!C11*DesignSheet!C13)/(DesignSheet!C7*(DesignSheet!C11+1)) ) )+(A510+DesignSheet!C16))</f>
        <v>0.60632903884011258</v>
      </c>
    </row>
    <row r="511" spans="1:3" x14ac:dyDescent="0.3">
      <c r="A511" s="6">
        <f>2*PI()*509/(DesignSheet!C9-1)</f>
        <v>8.8837258926511371</v>
      </c>
      <c r="B511" s="6">
        <f>(DesignSheet!C11*DesignSheet!C13)*COS((A511+DesignSheet!C16)) + (DesignSheet!C7)*COS((DesignSheet!C11+1)*(A511+DesignSheet!C16)) - (DesignSheet!C6/2)*COS(ATAN( SIN(DesignSheet!C11*(A511+DesignSheet!C16)) / ( COS(DesignSheet!C11*(A511+DesignSheet!C16)) + (DesignSheet!C11*DesignSheet!C13)/(DesignSheet!C7*(DesignSheet!C11+1)) ) )+(A511+DesignSheet!C16))</f>
        <v>0.43078613538428151</v>
      </c>
      <c r="C511" s="6">
        <f>(DesignSheet!C11*DesignSheet!C13)*SIN((A511+DesignSheet!C16)) + (DesignSheet!C7)*SIN((DesignSheet!C11+1)*(A511+DesignSheet!C16)) - (DesignSheet!C6/2)*SIN(ATAN( SIN(DesignSheet!C11*(A511+DesignSheet!C16)) / ( COS(DesignSheet!C11*(A511+DesignSheet!C16)) + (DesignSheet!C11*DesignSheet!C13)/(DesignSheet!C7*(DesignSheet!C11+1)) ) )+(A511+DesignSheet!C16))</f>
        <v>0.61394079971987159</v>
      </c>
    </row>
    <row r="512" spans="1:3" x14ac:dyDescent="0.3">
      <c r="A512" s="6">
        <f>2*PI()*510/(DesignSheet!C9-1)</f>
        <v>8.9011791851710811</v>
      </c>
      <c r="B512" s="6">
        <f>(DesignSheet!C11*DesignSheet!C13)*COS((A512+DesignSheet!C16)) + (DesignSheet!C7)*COS((DesignSheet!C11+1)*(A512+DesignSheet!C16)) - (DesignSheet!C6/2)*COS(ATAN( SIN(DesignSheet!C11*(A512+DesignSheet!C16)) / ( COS(DesignSheet!C11*(A512+DesignSheet!C16)) + (DesignSheet!C11*DesignSheet!C13)/(DesignSheet!C7*(DesignSheet!C11+1)) ) )+(A512+DesignSheet!C16))</f>
        <v>0.42000578020416052</v>
      </c>
      <c r="C512" s="6">
        <f>(DesignSheet!C11*DesignSheet!C13)*SIN((A512+DesignSheet!C16)) + (DesignSheet!C7)*SIN((DesignSheet!C11+1)*(A512+DesignSheet!C16)) - (DesignSheet!C6/2)*SIN(ATAN( SIN(DesignSheet!C11*(A512+DesignSheet!C16)) / ( COS(DesignSheet!C11*(A512+DesignSheet!C16)) + (DesignSheet!C11*DesignSheet!C13)/(DesignSheet!C7*(DesignSheet!C11+1)) ) )+(A512+DesignSheet!C16))</f>
        <v>0.62136554828465862</v>
      </c>
    </row>
    <row r="513" spans="1:3" x14ac:dyDescent="0.3">
      <c r="A513" s="6">
        <f>2*PI()*511/(DesignSheet!C9-1)</f>
        <v>8.9186324776910233</v>
      </c>
      <c r="B513" s="6">
        <f>(DesignSheet!C11*DesignSheet!C13)*COS((A513+DesignSheet!C16)) + (DesignSheet!C7)*COS((DesignSheet!C11+1)*(A513+DesignSheet!C16)) - (DesignSheet!C6/2)*COS(ATAN( SIN(DesignSheet!C11*(A513+DesignSheet!C16)) / ( COS(DesignSheet!C11*(A513+DesignSheet!C16)) + (DesignSheet!C11*DesignSheet!C13)/(DesignSheet!C7*(DesignSheet!C11+1)) ) )+(A513+DesignSheet!C16))</f>
        <v>0.40909748719470307</v>
      </c>
      <c r="C513" s="6">
        <f>(DesignSheet!C11*DesignSheet!C13)*SIN((A513+DesignSheet!C16)) + (DesignSheet!C7)*SIN((DesignSheet!C11+1)*(A513+DesignSheet!C16)) - (DesignSheet!C6/2)*SIN(ATAN( SIN(DesignSheet!C11*(A513+DesignSheet!C16)) / ( COS(DesignSheet!C11*(A513+DesignSheet!C16)) + (DesignSheet!C11*DesignSheet!C13)/(DesignSheet!C7*(DesignSheet!C11+1)) ) )+(A513+DesignSheet!C16))</f>
        <v>0.62860102288413422</v>
      </c>
    </row>
    <row r="514" spans="1:3" x14ac:dyDescent="0.3">
      <c r="A514" s="6">
        <f>2*PI()*512/(DesignSheet!C9-1)</f>
        <v>8.9360857702109673</v>
      </c>
      <c r="B514" s="6">
        <f>(DesignSheet!C11*DesignSheet!C13)*COS((A514+DesignSheet!C16)) + (DesignSheet!C7)*COS((DesignSheet!C11+1)*(A514+DesignSheet!C16)) - (DesignSheet!C6/2)*COS(ATAN( SIN(DesignSheet!C11*(A514+DesignSheet!C16)) / ( COS(DesignSheet!C11*(A514+DesignSheet!C16)) + (DesignSheet!C11*DesignSheet!C13)/(DesignSheet!C7*(DesignSheet!C11+1)) ) )+(A514+DesignSheet!C16))</f>
        <v>0.3980645791276286</v>
      </c>
      <c r="C514" s="6">
        <f>(DesignSheet!C11*DesignSheet!C13)*SIN((A514+DesignSheet!C16)) + (DesignSheet!C7)*SIN((DesignSheet!C11+1)*(A514+DesignSheet!C16)) - (DesignSheet!C6/2)*SIN(ATAN( SIN(DesignSheet!C11*(A514+DesignSheet!C16)) / ( COS(DesignSheet!C11*(A514+DesignSheet!C16)) + (DesignSheet!C11*DesignSheet!C13)/(DesignSheet!C7*(DesignSheet!C11+1)) ) )+(A514+DesignSheet!C16))</f>
        <v>0.63564501952264507</v>
      </c>
    </row>
    <row r="515" spans="1:3" x14ac:dyDescent="0.3">
      <c r="A515" s="6">
        <f>2*PI()*513/(DesignSheet!C9-1)</f>
        <v>8.9535390627309113</v>
      </c>
      <c r="B515" s="6">
        <f>(DesignSheet!C11*DesignSheet!C13)*COS((A515+DesignSheet!C16)) + (DesignSheet!C7)*COS((DesignSheet!C11+1)*(A515+DesignSheet!C16)) - (DesignSheet!C6/2)*COS(ATAN( SIN(DesignSheet!C11*(A515+DesignSheet!C16)) / ( COS(DesignSheet!C11*(A515+DesignSheet!C16)) + (DesignSheet!C11*DesignSheet!C13)/(DesignSheet!C7*(DesignSheet!C11+1)) ) )+(A515+DesignSheet!C16))</f>
        <v>0.38691041673361382</v>
      </c>
      <c r="C515" s="6">
        <f>(DesignSheet!C11*DesignSheet!C13)*SIN((A515+DesignSheet!C16)) + (DesignSheet!C7)*SIN((DesignSheet!C11+1)*(A515+DesignSheet!C16)) - (DesignSheet!C6/2)*SIN(ATAN( SIN(DesignSheet!C11*(A515+DesignSheet!C16)) / ( COS(DesignSheet!C11*(A515+DesignSheet!C16)) + (DesignSheet!C11*DesignSheet!C13)/(DesignSheet!C7*(DesignSheet!C11+1)) ) )+(A515+DesignSheet!C16))</f>
        <v>0.64249539253057786</v>
      </c>
    </row>
    <row r="516" spans="1:3" x14ac:dyDescent="0.3">
      <c r="A516" s="6">
        <f>2*PI()*514/(DesignSheet!C9-1)</f>
        <v>8.9709923552508535</v>
      </c>
      <c r="B516" s="6">
        <f>(DesignSheet!C11*DesignSheet!C13)*COS((A516+DesignSheet!C16)) + (DesignSheet!C7)*COS((DesignSheet!C11+1)*(A516+DesignSheet!C16)) - (DesignSheet!C6/2)*COS(ATAN( SIN(DesignSheet!C11*(A516+DesignSheet!C16)) / ( COS(DesignSheet!C11*(A516+DesignSheet!C16)) + (DesignSheet!C11*DesignSheet!C13)/(DesignSheet!C7*(DesignSheet!C11+1)) ) )+(A516+DesignSheet!C16))</f>
        <v>0.37563839767857754</v>
      </c>
      <c r="C516" s="6">
        <f>(DesignSheet!C11*DesignSheet!C13)*SIN((A516+DesignSheet!C16)) + (DesignSheet!C7)*SIN((DesignSheet!C11+1)*(A516+DesignSheet!C16)) - (DesignSheet!C6/2)*SIN(ATAN( SIN(DesignSheet!C11*(A516+DesignSheet!C16)) / ( COS(DesignSheet!C11*(A516+DesignSheet!C16)) + (DesignSheet!C11*DesignSheet!C13)/(DesignSheet!C7*(DesignSheet!C11+1)) ) )+(A516+DesignSheet!C16))</f>
        <v>0.64915005521795255</v>
      </c>
    </row>
    <row r="517" spans="1:3" x14ac:dyDescent="0.3">
      <c r="A517" s="6">
        <f>2*PI()*515/(DesignSheet!C9-1)</f>
        <v>8.9884456477707975</v>
      </c>
      <c r="B517" s="6">
        <f>(DesignSheet!C11*DesignSheet!C13)*COS((A517+DesignSheet!C16)) + (DesignSheet!C7)*COS((DesignSheet!C11+1)*(A517+DesignSheet!C16)) - (DesignSheet!C6/2)*COS(ATAN( SIN(DesignSheet!C11*(A517+DesignSheet!C16)) / ( COS(DesignSheet!C11*(A517+DesignSheet!C16)) + (DesignSheet!C11*DesignSheet!C13)/(DesignSheet!C7*(DesignSheet!C11+1)) ) )+(A517+DesignSheet!C16))</f>
        <v>0.36425195552871653</v>
      </c>
      <c r="C517" s="6">
        <f>(DesignSheet!C11*DesignSheet!C13)*SIN((A517+DesignSheet!C16)) + (DesignSheet!C7)*SIN((DesignSheet!C11+1)*(A517+DesignSheet!C16)) - (DesignSheet!C6/2)*SIN(ATAN( SIN(DesignSheet!C11*(A517+DesignSheet!C16)) / ( COS(DesignSheet!C11*(A517+DesignSheet!C16)) + (DesignSheet!C11*DesignSheet!C13)/(DesignSheet!C7*(DesignSheet!C11+1)) ) )+(A517+DesignSheet!C16))</f>
        <v>0.65560698051005062</v>
      </c>
    </row>
    <row r="518" spans="1:3" x14ac:dyDescent="0.3">
      <c r="A518" s="6">
        <f>2*PI()*516/(DesignSheet!C9-1)</f>
        <v>9.0058989402907397</v>
      </c>
      <c r="B518" s="6">
        <f>(DesignSheet!C11*DesignSheet!C13)*COS((A518+DesignSheet!C16)) + (DesignSheet!C7)*COS((DesignSheet!C11+1)*(A518+DesignSheet!C16)) - (DesignSheet!C6/2)*COS(ATAN( SIN(DesignSheet!C11*(A518+DesignSheet!C16)) / ( COS(DesignSheet!C11*(A518+DesignSheet!C16)) + (DesignSheet!C11*DesignSheet!C13)/(DesignSheet!C7*(DesignSheet!C11+1)) ) )+(A518+DesignSheet!C16))</f>
        <v>0.35275455870461464</v>
      </c>
      <c r="C518" s="6">
        <f>(DesignSheet!C11*DesignSheet!C13)*SIN((A518+DesignSheet!C16)) + (DesignSheet!C7)*SIN((DesignSheet!C11+1)*(A518+DesignSheet!C16)) - (DesignSheet!C6/2)*SIN(ATAN( SIN(DesignSheet!C11*(A518+DesignSheet!C16)) / ( COS(DesignSheet!C11*(A518+DesignSheet!C16)) + (DesignSheet!C11*DesignSheet!C13)/(DesignSheet!C7*(DesignSheet!C11+1)) ) )+(A518+DesignSheet!C16))</f>
        <v>0.66186420156487735</v>
      </c>
    </row>
    <row r="519" spans="1:3" x14ac:dyDescent="0.3">
      <c r="A519" s="6">
        <f>2*PI()*517/(DesignSheet!C9-1)</f>
        <v>9.0233522328106837</v>
      </c>
      <c r="B519" s="6">
        <f>(DesignSheet!C11*DesignSheet!C13)*COS((A519+DesignSheet!C16)) + (DesignSheet!C7)*COS((DesignSheet!C11+1)*(A519+DesignSheet!C16)) - (DesignSheet!C6/2)*COS(ATAN( SIN(DesignSheet!C11*(A519+DesignSheet!C16)) / ( COS(DesignSheet!C11*(A519+DesignSheet!C16)) + (DesignSheet!C11*DesignSheet!C13)/(DesignSheet!C7*(DesignSheet!C11+1)) ) )+(A519+DesignSheet!C16))</f>
        <v>0.34114970942472</v>
      </c>
      <c r="C519" s="6">
        <f>(DesignSheet!C11*DesignSheet!C13)*SIN((A519+DesignSheet!C16)) + (DesignSheet!C7)*SIN((DesignSheet!C11+1)*(A519+DesignSheet!C16)) - (DesignSheet!C6/2)*SIN(ATAN( SIN(DesignSheet!C11*(A519+DesignSheet!C16)) / ( COS(DesignSheet!C11*(A519+DesignSheet!C16)) + (DesignSheet!C11*DesignSheet!C13)/(DesignSheet!C7*(DesignSheet!C11+1)) ) )+(A519+DesignSheet!C16))</f>
        <v>0.66791981237228559</v>
      </c>
    </row>
    <row r="520" spans="1:3" x14ac:dyDescent="0.3">
      <c r="A520" s="6">
        <f>2*PI()*518/(DesignSheet!C9-1)</f>
        <v>9.0408055253306259</v>
      </c>
      <c r="B520" s="6">
        <f>(DesignSheet!C11*DesignSheet!C13)*COS((A520+DesignSheet!C16)) + (DesignSheet!C7)*COS((DesignSheet!C11+1)*(A520+DesignSheet!C16)) - (DesignSheet!C6/2)*COS(ATAN( SIN(DesignSheet!C11*(A520+DesignSheet!C16)) / ( COS(DesignSheet!C11*(A520+DesignSheet!C16)) + (DesignSheet!C11*DesignSheet!C13)/(DesignSheet!C7*(DesignSheet!C11+1)) ) )+(A520+DesignSheet!C16))</f>
        <v>0.32944094263854434</v>
      </c>
      <c r="C520" s="6">
        <f>(DesignSheet!C11*DesignSheet!C13)*SIN((A520+DesignSheet!C16)) + (DesignSheet!C7)*SIN((DesignSheet!C11+1)*(A520+DesignSheet!C16)) - (DesignSheet!C6/2)*SIN(ATAN( SIN(DesignSheet!C11*(A520+DesignSheet!C16)) / ( COS(DesignSheet!C11*(A520+DesignSheet!C16)) + (DesignSheet!C11*DesignSheet!C13)/(DesignSheet!C7*(DesignSheet!C11+1)) ) )+(A520+DesignSheet!C16))</f>
        <v>0.67377196833455999</v>
      </c>
    </row>
    <row r="521" spans="1:3" x14ac:dyDescent="0.3">
      <c r="A521" s="6">
        <f>2*PI()*519/(DesignSheet!C9-1)</f>
        <v>9.0582588178505699</v>
      </c>
      <c r="B521" s="6">
        <f>(DesignSheet!C11*DesignSheet!C13)*COS((A521+DesignSheet!C16)) + (DesignSheet!C7)*COS((DesignSheet!C11+1)*(A521+DesignSheet!C16)) - (DesignSheet!C6/2)*COS(ATAN( SIN(DesignSheet!C11*(A521+DesignSheet!C16)) / ( COS(DesignSheet!C11*(A521+DesignSheet!C16)) + (DesignSheet!C11*DesignSheet!C13)/(DesignSheet!C7*(DesignSheet!C11+1)) ) )+(A521+DesignSheet!C16))</f>
        <v>0.31763182494987374</v>
      </c>
      <c r="C521" s="6">
        <f>(DesignSheet!C11*DesignSheet!C13)*SIN((A521+DesignSheet!C16)) + (DesignSheet!C7)*SIN((DesignSheet!C11+1)*(A521+DesignSheet!C16)) - (DesignSheet!C6/2)*SIN(ATAN( SIN(DesignSheet!C11*(A521+DesignSheet!C16)) / ( COS(DesignSheet!C11*(A521+DesignSheet!C16)) + (DesignSheet!C11*DesignSheet!C13)/(DesignSheet!C7*(DesignSheet!C11+1)) ) )+(A521+DesignSheet!C16))</f>
        <v>0.67941888682830476</v>
      </c>
    </row>
    <row r="522" spans="1:3" x14ac:dyDescent="0.3">
      <c r="A522" s="6">
        <f>2*PI()*520/(DesignSheet!C9-1)</f>
        <v>9.0757121103705138</v>
      </c>
      <c r="B522" s="6">
        <f>(DesignSheet!C11*DesignSheet!C13)*COS((A522+DesignSheet!C16)) + (DesignSheet!C7)*COS((DesignSheet!C11+1)*(A522+DesignSheet!C16)) - (DesignSheet!C6/2)*COS(ATAN( SIN(DesignSheet!C11*(A522+DesignSheet!C16)) / ( COS(DesignSheet!C11*(A522+DesignSheet!C16)) + (DesignSheet!C11*DesignSheet!C13)/(DesignSheet!C7*(DesignSheet!C11+1)) ) )+(A522+DesignSheet!C16))</f>
        <v>0.30572595353035481</v>
      </c>
      <c r="C522" s="6">
        <f>(DesignSheet!C11*DesignSheet!C13)*SIN((A522+DesignSheet!C16)) + (DesignSheet!C7)*SIN((DesignSheet!C11+1)*(A522+DesignSheet!C16)) - (DesignSheet!C6/2)*SIN(ATAN( SIN(DesignSheet!C11*(A522+DesignSheet!C16)) / ( COS(DesignSheet!C11*(A522+DesignSheet!C16)) + (DesignSheet!C11*DesignSheet!C13)/(DesignSheet!C7*(DesignSheet!C11+1)) ) )+(A522+DesignSheet!C16))</f>
        <v>0.6848588477474431</v>
      </c>
    </row>
    <row r="523" spans="1:3" x14ac:dyDescent="0.3">
      <c r="A523" s="6">
        <f>2*PI()*521/(DesignSheet!C9-1)</f>
        <v>9.0931654028904561</v>
      </c>
      <c r="B523" s="6">
        <f>(DesignSheet!C11*DesignSheet!C13)*COS((A523+DesignSheet!C16)) + (DesignSheet!C7)*COS((DesignSheet!C11+1)*(A523+DesignSheet!C16)) - (DesignSheet!C6/2)*COS(ATAN( SIN(DesignSheet!C11*(A523+DesignSheet!C16)) / ( COS(DesignSheet!C11*(A523+DesignSheet!C16)) + (DesignSheet!C11*DesignSheet!C13)/(DesignSheet!C7*(DesignSheet!C11+1)) ) )+(A523+DesignSheet!C16))</f>
        <v>0.2937269550237579</v>
      </c>
      <c r="C523" s="6">
        <f>(DesignSheet!C11*DesignSheet!C13)*SIN((A523+DesignSheet!C16)) + (DesignSheet!C7)*SIN((DesignSheet!C11+1)*(A523+DesignSheet!C16)) - (DesignSheet!C6/2)*SIN(ATAN( SIN(DesignSheet!C11*(A523+DesignSheet!C16)) / ( COS(DesignSheet!C11*(A523+DesignSheet!C16)) + (DesignSheet!C11*DesignSheet!C13)/(DesignSheet!C7*(DesignSheet!C11+1)) ) )+(A523+DesignSheet!C16))</f>
        <v>0.6900901940271803</v>
      </c>
    </row>
    <row r="524" spans="1:3" x14ac:dyDescent="0.3">
      <c r="A524" s="6">
        <f>2*PI()*522/(DesignSheet!C9-1)</f>
        <v>9.1106186954104</v>
      </c>
      <c r="B524" s="6">
        <f>(DesignSheet!C11*DesignSheet!C13)*COS((A524+DesignSheet!C16)) + (DesignSheet!C7)*COS((DesignSheet!C11+1)*(A524+DesignSheet!C16)) - (DesignSheet!C6/2)*COS(ATAN( SIN(DesignSheet!C11*(A524+DesignSheet!C16)) / ( COS(DesignSheet!C11*(A524+DesignSheet!C16)) + (DesignSheet!C11*DesignSheet!C13)/(DesignSheet!C7*(DesignSheet!C11+1)) ) )+(A524+DesignSheet!C16))</f>
        <v>0.28163848444126272</v>
      </c>
      <c r="C524" s="6">
        <f>(DesignSheet!C11*DesignSheet!C13)*SIN((A524+DesignSheet!C16)) + (DesignSheet!C7)*SIN((DesignSheet!C11+1)*(A524+DesignSheet!C16)) - (DesignSheet!C6/2)*SIN(ATAN( SIN(DesignSheet!C11*(A524+DesignSheet!C16)) / ( COS(DesignSheet!C11*(A524+DesignSheet!C16)) + (DesignSheet!C11*DesignSheet!C13)/(DesignSheet!C7*(DesignSheet!C11+1)) ) )+(A524+DesignSheet!C16))</f>
        <v>0.69511133214876353</v>
      </c>
    </row>
    <row r="525" spans="1:3" x14ac:dyDescent="0.3">
      <c r="A525" s="6">
        <f>2*PI()*523/(DesignSheet!C9-1)</f>
        <v>9.128071987930344</v>
      </c>
      <c r="B525" s="6">
        <f>(DesignSheet!C11*DesignSheet!C13)*COS((A525+DesignSheet!C16)) + (DesignSheet!C7)*COS((DesignSheet!C11+1)*(A525+DesignSheet!C16)) - (DesignSheet!C6/2)*COS(ATAN( SIN(DesignSheet!C11*(A525+DesignSheet!C16)) / ( COS(DesignSheet!C11*(A525+DesignSheet!C16)) + (DesignSheet!C11*DesignSheet!C13)/(DesignSheet!C7*(DesignSheet!C11+1)) ) )+(A525+DesignSheet!C16))</f>
        <v>0.26946422404811338</v>
      </c>
      <c r="C525" s="6">
        <f>(DesignSheet!C11*DesignSheet!C13)*SIN((A525+DesignSheet!C16)) + (DesignSheet!C7)*SIN((DesignSheet!C11+1)*(A525+DesignSheet!C16)) - (DesignSheet!C6/2)*SIN(ATAN( SIN(DesignSheet!C11*(A525+DesignSheet!C16)) / ( COS(DesignSheet!C11*(A525+DesignSheet!C16)) + (DesignSheet!C11*DesignSheet!C13)/(DesignSheet!C7*(DesignSheet!C11+1)) ) )+(A525+DesignSheet!C16))</f>
        <v>0.69992073262487953</v>
      </c>
    </row>
    <row r="526" spans="1:3" x14ac:dyDescent="0.3">
      <c r="A526" s="6">
        <f>2*PI()*524/(DesignSheet!C9-1)</f>
        <v>9.145525280450288</v>
      </c>
      <c r="B526" s="6">
        <f>(DesignSheet!C11*DesignSheet!C13)*COS((A526+DesignSheet!C16)) + (DesignSheet!C7)*COS((DesignSheet!C11+1)*(A526+DesignSheet!C16)) - (DesignSheet!C6/2)*COS(ATAN( SIN(DesignSheet!C11*(A526+DesignSheet!C16)) / ( COS(DesignSheet!C11*(A526+DesignSheet!C16)) + (DesignSheet!C11*DesignSheet!C13)/(DesignSheet!C7*(DesignSheet!C11+1)) ) )+(A526+DesignSheet!C16))</f>
        <v>0.25720788224196045</v>
      </c>
      <c r="C526" s="6">
        <f>(DesignSheet!C11*DesignSheet!C13)*SIN((A526+DesignSheet!C16)) + (DesignSheet!C7)*SIN((DesignSheet!C11+1)*(A526+DesignSheet!C16)) - (DesignSheet!C6/2)*SIN(ATAN( SIN(DesignSheet!C11*(A526+DesignSheet!C16)) / ( COS(DesignSheet!C11*(A526+DesignSheet!C16)) + (DesignSheet!C11*DesignSheet!C13)/(DesignSheet!C7*(DesignSheet!C11+1)) ) )+(A526+DesignSheet!C16))</f>
        <v>0.70451693046555364</v>
      </c>
    </row>
    <row r="527" spans="1:3" x14ac:dyDescent="0.3">
      <c r="A527" s="6">
        <f>2*PI()*525/(DesignSheet!C9-1)</f>
        <v>9.1629785729702302</v>
      </c>
      <c r="B527" s="6">
        <f>(DesignSheet!C11*DesignSheet!C13)*COS((A527+DesignSheet!C16)) + (DesignSheet!C7)*COS((DesignSheet!C11+1)*(A527+DesignSheet!C16)) - (DesignSheet!C6/2)*COS(ATAN( SIN(DesignSheet!C11*(A527+DesignSheet!C16)) / ( COS(DesignSheet!C11*(A527+DesignSheet!C16)) + (DesignSheet!C11*DesignSheet!C13)/(DesignSheet!C7*(DesignSheet!C11+1)) ) )+(A527+DesignSheet!C16))</f>
        <v>0.24487319242324918</v>
      </c>
      <c r="C527" s="6">
        <f>(DesignSheet!C11*DesignSheet!C13)*SIN((A527+DesignSheet!C16)) + (DesignSheet!C7)*SIN((DesignSheet!C11+1)*(A527+DesignSheet!C16)) - (DesignSheet!C6/2)*SIN(ATAN( SIN(DesignSheet!C11*(A527+DesignSheet!C16)) / ( COS(DesignSheet!C11*(A527+DesignSheet!C16)) + (DesignSheet!C11*DesignSheet!C13)/(DesignSheet!C7*(DesignSheet!C11+1)) ) )+(A527+DesignSheet!C16))</f>
        <v>0.7088985256243987</v>
      </c>
    </row>
    <row r="528" spans="1:3" x14ac:dyDescent="0.3">
      <c r="A528" s="6">
        <f>2*PI()*526/(DesignSheet!C9-1)</f>
        <v>9.1804318654901742</v>
      </c>
      <c r="B528" s="6">
        <f>(DesignSheet!C11*DesignSheet!C13)*COS((A528+DesignSheet!C16)) + (DesignSheet!C7)*COS((DesignSheet!C11+1)*(A528+DesignSheet!C16)) - (DesignSheet!C6/2)*COS(ATAN( SIN(DesignSheet!C11*(A528+DesignSheet!C16)) / ( COS(DesignSheet!C11*(A528+DesignSheet!C16)) + (DesignSheet!C11*DesignSheet!C13)/(DesignSheet!C7*(DesignSheet!C11+1)) ) )+(A528+DesignSheet!C16))</f>
        <v>0.2324639118579846</v>
      </c>
      <c r="C528" s="6">
        <f>(DesignSheet!C11*DesignSheet!C13)*SIN((A528+DesignSheet!C16)) + (DesignSheet!C7)*SIN((DesignSheet!C11+1)*(A528+DesignSheet!C16)) - (DesignSheet!C6/2)*SIN(ATAN( SIN(DesignSheet!C11*(A528+DesignSheet!C16)) / ( COS(DesignSheet!C11*(A528+DesignSheet!C16)) + (DesignSheet!C11*DesignSheet!C13)/(DesignSheet!C7*(DesignSheet!C11+1)) ) )+(A528+DesignSheet!C16))</f>
        <v>0.71306418342508493</v>
      </c>
    </row>
    <row r="529" spans="1:3" x14ac:dyDescent="0.3">
      <c r="A529" s="6">
        <f>2*PI()*527/(DesignSheet!C9-1)</f>
        <v>9.1978851580101164</v>
      </c>
      <c r="B529" s="6">
        <f>(DesignSheet!C11*DesignSheet!C13)*COS((A529+DesignSheet!C16)) + (DesignSheet!C7)*COS((DesignSheet!C11+1)*(A529+DesignSheet!C16)) - (DesignSheet!C6/2)*COS(ATAN( SIN(DesignSheet!C11*(A529+DesignSheet!C16)) / ( COS(DesignSheet!C11*(A529+DesignSheet!C16)) + (DesignSheet!C11*DesignSheet!C13)/(DesignSheet!C7*(DesignSheet!C11+1)) ) )+(A529+DesignSheet!C16))</f>
        <v>0.21998382053324095</v>
      </c>
      <c r="C529" s="6">
        <f>(DesignSheet!C11*DesignSheet!C13)*SIN((A529+DesignSheet!C16)) + (DesignSheet!C7)*SIN((DesignSheet!C11+1)*(A529+DesignSheet!C16)) - (DesignSheet!C6/2)*SIN(ATAN( SIN(DesignSheet!C11*(A529+DesignSheet!C16)) / ( COS(DesignSheet!C11*(A529+DesignSheet!C16)) + (DesignSheet!C11*DesignSheet!C13)/(DesignSheet!C7*(DesignSheet!C11+1)) ) )+(A529+DesignSheet!C16))</f>
        <v>0.71701263496789147</v>
      </c>
    </row>
    <row r="530" spans="1:3" x14ac:dyDescent="0.3">
      <c r="A530" s="6">
        <f>2*PI()*528/(DesignSheet!C9-1)</f>
        <v>9.2153384505300604</v>
      </c>
      <c r="B530" s="6">
        <f>(DesignSheet!C11*DesignSheet!C13)*COS((A530+DesignSheet!C16)) + (DesignSheet!C7)*COS((DesignSheet!C11+1)*(A530+DesignSheet!C16)) - (DesignSheet!C6/2)*COS(ATAN( SIN(DesignSheet!C11*(A530+DesignSheet!C16)) / ( COS(DesignSheet!C11*(A530+DesignSheet!C16)) + (DesignSheet!C11*DesignSheet!C13)/(DesignSheet!C7*(DesignSheet!C11+1)) ) )+(A530+DesignSheet!C16))</f>
        <v>0.20743672000573044</v>
      </c>
      <c r="C530" s="6">
        <f>(DesignSheet!C11*DesignSheet!C13)*SIN((A530+DesignSheet!C16)) + (DesignSheet!C7)*SIN((DesignSheet!C11+1)*(A530+DesignSheet!C16)) - (DesignSheet!C6/2)*SIN(ATAN( SIN(DesignSheet!C11*(A530+DesignSheet!C16)) / ( COS(DesignSheet!C11*(A530+DesignSheet!C16)) + (DesignSheet!C11*DesignSheet!C13)/(DesignSheet!C7*(DesignSheet!C11+1)) ) )+(A530+DesignSheet!C16))</f>
        <v>0.72074267751622989</v>
      </c>
    </row>
    <row r="531" spans="1:3" x14ac:dyDescent="0.3">
      <c r="A531" s="6">
        <f>2*PI()*529/(DesignSheet!C9-1)</f>
        <v>9.2327917430500026</v>
      </c>
      <c r="B531" s="6">
        <f>(DesignSheet!C11*DesignSheet!C13)*COS((A531+DesignSheet!C16)) + (DesignSheet!C7)*COS((DesignSheet!C11+1)*(A531+DesignSheet!C16)) - (DesignSheet!C6/2)*COS(ATAN( SIN(DesignSheet!C11*(A531+DesignSheet!C16)) / ( COS(DesignSheet!C11*(A531+DesignSheet!C16)) + (DesignSheet!C11*DesignSheet!C13)/(DesignSheet!C7*(DesignSheet!C11+1)) ) )+(A531+DesignSheet!C16))</f>
        <v>0.19482643224382282</v>
      </c>
      <c r="C531" s="6">
        <f>(DesignSheet!C11*DesignSheet!C13)*SIN((A531+DesignSheet!C16)) + (DesignSheet!C7)*SIN((DesignSheet!C11+1)*(A531+DesignSheet!C16)) - (DesignSheet!C6/2)*SIN(ATAN( SIN(DesignSheet!C11*(A531+DesignSheet!C16)) / ( COS(DesignSheet!C11*(A531+DesignSheet!C16)) + (DesignSheet!C11*DesignSheet!C13)/(DesignSheet!C7*(DesignSheet!C11+1)) ) )+(A531+DesignSheet!C16))</f>
        <v>0.72425317486300544</v>
      </c>
    </row>
    <row r="532" spans="1:3" x14ac:dyDescent="0.3">
      <c r="A532" s="6">
        <f>2*PI()*530/(DesignSheet!C9-1)</f>
        <v>9.2502450355699466</v>
      </c>
      <c r="B532" s="6">
        <f>(DesignSheet!C11*DesignSheet!C13)*COS((A532+DesignSheet!C16)) + (DesignSheet!C7)*COS((DesignSheet!C11+1)*(A532+DesignSheet!C16)) - (DesignSheet!C6/2)*COS(ATAN( SIN(DesignSheet!C11*(A532+DesignSheet!C16)) / ( COS(DesignSheet!C11*(A532+DesignSheet!C16)) + (DesignSheet!C11*DesignSheet!C13)/(DesignSheet!C7*(DesignSheet!C11+1)) ) )+(A532+DesignSheet!C16))</f>
        <v>0.18215679846332644</v>
      </c>
      <c r="C532" s="6">
        <f>(DesignSheet!C11*DesignSheet!C13)*SIN((A532+DesignSheet!C16)) + (DesignSheet!C7)*SIN((DesignSheet!C11+1)*(A532+DesignSheet!C16)) - (DesignSheet!C6/2)*SIN(ATAN( SIN(DesignSheet!C11*(A532+DesignSheet!C16)) / ( COS(DesignSheet!C11*(A532+DesignSheet!C16)) + (DesignSheet!C11*DesignSheet!C13)/(DesignSheet!C7*(DesignSheet!C11+1)) ) )+(A532+DesignSheet!C16))</f>
        <v>0.72754305767672001</v>
      </c>
    </row>
    <row r="533" spans="1:3" x14ac:dyDescent="0.3">
      <c r="A533" s="6">
        <f>2*PI()*531/(DesignSheet!C9-1)</f>
        <v>9.2676983280898888</v>
      </c>
      <c r="B533" s="6">
        <f>(DesignSheet!C11*DesignSheet!C13)*COS((A533+DesignSheet!C16)) + (DesignSheet!C7)*COS((DesignSheet!C11+1)*(A533+DesignSheet!C16)) - (DesignSheet!C6/2)*COS(ATAN( SIN(DesignSheet!C11*(A533+DesignSheet!C16)) / ( COS(DesignSheet!C11*(A533+DesignSheet!C16)) + (DesignSheet!C11*DesignSheet!C13)/(DesignSheet!C7*(DesignSheet!C11+1)) ) )+(A533+DesignSheet!C16))</f>
        <v>0.16943167795742686</v>
      </c>
      <c r="C533" s="6">
        <f>(DesignSheet!C11*DesignSheet!C13)*SIN((A533+DesignSheet!C16)) + (DesignSheet!C7)*SIN((DesignSheet!C11+1)*(A533+DesignSheet!C16)) - (DesignSheet!C6/2)*SIN(ATAN( SIN(DesignSheet!C11*(A533+DesignSheet!C16)) / ( COS(DesignSheet!C11*(A533+DesignSheet!C16)) + (DesignSheet!C11*DesignSheet!C13)/(DesignSheet!C7*(DesignSheet!C11+1)) ) )+(A533+DesignSheet!C16))</f>
        <v>0.73061132382719796</v>
      </c>
    </row>
    <row r="534" spans="1:3" x14ac:dyDescent="0.3">
      <c r="A534" s="6">
        <f>2*PI()*532/(DesignSheet!C9-1)</f>
        <v>9.2851516206098328</v>
      </c>
      <c r="B534" s="6">
        <f>(DesignSheet!C11*DesignSheet!C13)*COS((A534+DesignSheet!C16)) + (DesignSheet!C7)*COS((DesignSheet!C11+1)*(A534+DesignSheet!C16)) - (DesignSheet!C6/2)*COS(ATAN( SIN(DesignSheet!C11*(A534+DesignSheet!C16)) / ( COS(DesignSheet!C11*(A534+DesignSheet!C16)) + (DesignSheet!C11*DesignSheet!C13)/(DesignSheet!C7*(DesignSheet!C11+1)) ) )+(A534+DesignSheet!C16))</f>
        <v>0.15665494692109866</v>
      </c>
      <c r="C534" s="6">
        <f>(DesignSheet!C11*DesignSheet!C13)*SIN((A534+DesignSheet!C16)) + (DesignSheet!C7)*SIN((DesignSheet!C11+1)*(A534+DesignSheet!C16)) - (DesignSheet!C6/2)*SIN(ATAN( SIN(DesignSheet!C11*(A534+DesignSheet!C16)) / ( COS(DesignSheet!C11*(A534+DesignSheet!C16)) + (DesignSheet!C11*DesignSheet!C13)/(DesignSheet!C7*(DesignSheet!C11+1)) ) )+(A534+DesignSheet!C16))</f>
        <v>0.73345703869084777</v>
      </c>
    </row>
    <row r="535" spans="1:3" x14ac:dyDescent="0.3">
      <c r="A535" s="6">
        <f>2*PI()*533/(DesignSheet!C9-1)</f>
        <v>9.302604913129775</v>
      </c>
      <c r="B535" s="6">
        <f>(DesignSheet!C11*DesignSheet!C13)*COS((A535+DesignSheet!C16)) + (DesignSheet!C7)*COS((DesignSheet!C11+1)*(A535+DesignSheet!C16)) - (DesignSheet!C6/2)*COS(ATAN( SIN(DesignSheet!C11*(A535+DesignSheet!C16)) / ( COS(DesignSheet!C11*(A535+DesignSheet!C16)) + (DesignSheet!C11*DesignSheet!C13)/(DesignSheet!C7*(DesignSheet!C11+1)) ) )+(A535+DesignSheet!C16))</f>
        <v>0.14383049727038905</v>
      </c>
      <c r="C535" s="6">
        <f>(DesignSheet!C11*DesignSheet!C13)*SIN((A535+DesignSheet!C16)) + (DesignSheet!C7)*SIN((DesignSheet!C11+1)*(A535+DesignSheet!C16)) - (DesignSheet!C6/2)*SIN(ATAN( SIN(DesignSheet!C11*(A535+DesignSheet!C16)) / ( COS(DesignSheet!C11*(A535+DesignSheet!C16)) + (DesignSheet!C11*DesignSheet!C13)/(DesignSheet!C7*(DesignSheet!C11+1)) ) )+(A535+DesignSheet!C16))</f>
        <v>0.7360793354353542</v>
      </c>
    </row>
    <row r="536" spans="1:3" x14ac:dyDescent="0.3">
      <c r="A536" s="6">
        <f>2*PI()*534/(DesignSheet!C9-1)</f>
        <v>9.320058205649719</v>
      </c>
      <c r="B536" s="6">
        <f>(DesignSheet!C11*DesignSheet!C13)*COS((A536+DesignSheet!C16)) + (DesignSheet!C7)*COS((DesignSheet!C11+1)*(A536+DesignSheet!C16)) - (DesignSheet!C6/2)*COS(ATAN( SIN(DesignSheet!C11*(A536+DesignSheet!C16)) / ( COS(DesignSheet!C11*(A536+DesignSheet!C16)) + (DesignSheet!C11*DesignSheet!C13)/(DesignSheet!C7*(DesignSheet!C11+1)) ) )+(A536+DesignSheet!C16))</f>
        <v>0.13096223545689228</v>
      </c>
      <c r="C536" s="6">
        <f>(DesignSheet!C11*DesignSheet!C13)*SIN((A536+DesignSheet!C16)) + (DesignSheet!C7)*SIN((DesignSheet!C11+1)*(A536+DesignSheet!C16)) - (DesignSheet!C6/2)*SIN(ATAN( SIN(DesignSheet!C11*(A536+DesignSheet!C16)) / ( COS(DesignSheet!C11*(A536+DesignSheet!C16)) + (DesignSheet!C11*DesignSheet!C13)/(DesignSheet!C7*(DesignSheet!C11+1)) ) )+(A536+DesignSheet!C16))</f>
        <v>0.73847741528372657</v>
      </c>
    </row>
    <row r="537" spans="1:3" x14ac:dyDescent="0.3">
      <c r="A537" s="6">
        <f>2*PI()*535/(DesignSheet!C9-1)</f>
        <v>9.337511498169663</v>
      </c>
      <c r="B537" s="6">
        <f>(DesignSheet!C11*DesignSheet!C13)*COS((A537+DesignSheet!C16)) + (DesignSheet!C7)*COS((DesignSheet!C11+1)*(A537+DesignSheet!C16)) - (DesignSheet!C6/2)*COS(ATAN( SIN(DesignSheet!C11*(A537+DesignSheet!C16)) / ( COS(DesignSheet!C11*(A537+DesignSheet!C16)) + (DesignSheet!C11*DesignSheet!C13)/(DesignSheet!C7*(DesignSheet!C11+1)) ) )+(A537+DesignSheet!C16))</f>
        <v>0.11805408127781564</v>
      </c>
      <c r="C537" s="6">
        <f>(DesignSheet!C11*DesignSheet!C13)*SIN((A537+DesignSheet!C16)) + (DesignSheet!C7)*SIN((DesignSheet!C11+1)*(A537+DesignSheet!C16)) - (DesignSheet!C6/2)*SIN(ATAN( SIN(DesignSheet!C11*(A537+DesignSheet!C16)) / ( COS(DesignSheet!C11*(A537+DesignSheet!C16)) + (DesignSheet!C11*DesignSheet!C13)/(DesignSheet!C7*(DesignSheet!C11+1)) ) )+(A537+DesignSheet!C16))</f>
        <v>0.74065054775761219</v>
      </c>
    </row>
    <row r="538" spans="1:3" x14ac:dyDescent="0.3">
      <c r="A538" s="6">
        <f>2*PI()*536/(DesignSheet!C9-1)</f>
        <v>9.3549647906896052</v>
      </c>
      <c r="B538" s="6">
        <f>(DesignSheet!C11*DesignSheet!C13)*COS((A538+DesignSheet!C16)) + (DesignSheet!C7)*COS((DesignSheet!C11+1)*(A538+DesignSheet!C16)) - (DesignSheet!C6/2)*COS(ATAN( SIN(DesignSheet!C11*(A538+DesignSheet!C16)) / ( COS(DesignSheet!C11*(A538+DesignSheet!C16)) + (DesignSheet!C11*DesignSheet!C13)/(DesignSheet!C7*(DesignSheet!C11+1)) ) )+(A538+DesignSheet!C16))</f>
        <v>0.10510996668196754</v>
      </c>
      <c r="C538" s="6">
        <f>(DesignSheet!C11*DesignSheet!C13)*SIN((A538+DesignSheet!C16)) + (DesignSheet!C7)*SIN((DesignSheet!C11+1)*(A538+DesignSheet!C16)) - (DesignSheet!C6/2)*SIN(ATAN( SIN(DesignSheet!C11*(A538+DesignSheet!C16)) / ( COS(DesignSheet!C11*(A538+DesignSheet!C16)) + (DesignSheet!C11*DesignSheet!C13)/(DesignSheet!C7*(DesignSheet!C11+1)) ) )+(A538+DesignSheet!C16))</f>
        <v>0.74259807089980756</v>
      </c>
    </row>
    <row r="539" spans="1:3" x14ac:dyDescent="0.3">
      <c r="A539" s="6">
        <f>2*PI()*537/(DesignSheet!C9-1)</f>
        <v>9.3724180832095492</v>
      </c>
      <c r="B539" s="6">
        <f>(DesignSheet!C11*DesignSheet!C13)*COS((A539+DesignSheet!C16)) + (DesignSheet!C7)*COS((DesignSheet!C11+1)*(A539+DesignSheet!C16)) - (DesignSheet!C6/2)*COS(ATAN( SIN(DesignSheet!C11*(A539+DesignSheet!C16)) / ( COS(DesignSheet!C11*(A539+DesignSheet!C16)) + (DesignSheet!C11*DesignSheet!C13)/(DesignSheet!C7*(DesignSheet!C11+1)) ) )+(A539+DesignSheet!C16))</f>
        <v>9.2133834572043688E-2</v>
      </c>
      <c r="C539" s="6">
        <f>(DesignSheet!C11*DesignSheet!C13)*SIN((A539+DesignSheet!C16)) + (DesignSheet!C7)*SIN((DesignSheet!C11+1)*(A539+DesignSheet!C16)) - (DesignSheet!C6/2)*SIN(ATAN( SIN(DesignSheet!C11*(A539+DesignSheet!C16)) / ( COS(DesignSheet!C11*(A539+DesignSheet!C16)) + (DesignSheet!C11*DesignSheet!C13)/(DesignSheet!C7*(DesignSheet!C11+1)) ) )+(A539+DesignSheet!C16))</f>
        <v>0.7443193914758981</v>
      </c>
    </row>
    <row r="540" spans="1:3" x14ac:dyDescent="0.3">
      <c r="A540" s="6">
        <f>2*PI()*538/(DesignSheet!C9-1)</f>
        <v>9.3898713757294932</v>
      </c>
      <c r="B540" s="6">
        <f>(DesignSheet!C11*DesignSheet!C13)*COS((A540+DesignSheet!C16)) + (DesignSheet!C7)*COS((DesignSheet!C11+1)*(A540+DesignSheet!C16)) - (DesignSheet!C6/2)*COS(ATAN( SIN(DesignSheet!C11*(A540+DesignSheet!C16)) / ( COS(DesignSheet!C11*(A540+DesignSheet!C16)) + (DesignSheet!C11*DesignSheet!C13)/(DesignSheet!C7*(DesignSheet!C11+1)) ) )+(A540+DesignSheet!C16))</f>
        <v>7.9129637603588696E-2</v>
      </c>
      <c r="C540" s="6">
        <f>(DesignSheet!C11*DesignSheet!C13)*SIN((A540+DesignSheet!C16)) + (DesignSheet!C7)*SIN((DesignSheet!C11+1)*(A540+DesignSheet!C16)) - (DesignSheet!C6/2)*SIN(ATAN( SIN(DesignSheet!C11*(A540+DesignSheet!C16)) / ( COS(DesignSheet!C11*(A540+DesignSheet!C16)) + (DesignSheet!C11*DesignSheet!C13)/(DesignSheet!C7*(DesignSheet!C11+1)) ) )+(A540+DesignSheet!C16))</f>
        <v>0.74581398515496122</v>
      </c>
    </row>
    <row r="541" spans="1:3" x14ac:dyDescent="0.3">
      <c r="A541" s="6">
        <f>2*PI()*539/(DesignSheet!C9-1)</f>
        <v>9.4073246682494371</v>
      </c>
      <c r="B541" s="6">
        <f>(DesignSheet!C11*DesignSheet!C13)*COS((A541+DesignSheet!C16)) + (DesignSheet!C7)*COS((DesignSheet!C11+1)*(A541+DesignSheet!C16)) - (DesignSheet!C6/2)*COS(ATAN( SIN(DesignSheet!C11*(A541+DesignSheet!C16)) / ( COS(DesignSheet!C11*(A541+DesignSheet!C16)) + (DesignSheet!C11*DesignSheet!C13)/(DesignSheet!C7*(DesignSheet!C11+1)) ) )+(A541+DesignSheet!C16))</f>
        <v>6.6101336980973618E-2</v>
      </c>
      <c r="C541" s="6">
        <f>(DesignSheet!C11*DesignSheet!C13)*SIN((A541+DesignSheet!C16)) + (DesignSheet!C7)*SIN((DesignSheet!C11+1)*(A541+DesignSheet!C16)) - (DesignSheet!C6/2)*SIN(ATAN( SIN(DesignSheet!C11*(A541+DesignSheet!C16)) / ( COS(DesignSheet!C11*(A541+DesignSheet!C16)) + (DesignSheet!C11*DesignSheet!C13)/(DesignSheet!C7*(DesignSheet!C11+1)) ) )+(A541+DesignSheet!C16))</f>
        <v>0.74708139666928386</v>
      </c>
    </row>
    <row r="542" spans="1:3" x14ac:dyDescent="0.3">
      <c r="A542" s="6">
        <f>2*PI()*540/(DesignSheet!C9-1)</f>
        <v>9.4247779607693793</v>
      </c>
      <c r="B542" s="6">
        <f>(DesignSheet!C11*DesignSheet!C13)*COS((A542+DesignSheet!C16)) + (DesignSheet!C7)*COS((DesignSheet!C11+1)*(A542+DesignSheet!C16)) - (DesignSheet!C6/2)*COS(ATAN( SIN(DesignSheet!C11*(A542+DesignSheet!C16)) / ( COS(DesignSheet!C11*(A542+DesignSheet!C16)) + (DesignSheet!C11*DesignSheet!C13)/(DesignSheet!C7*(DesignSheet!C11+1)) ) )+(A542+DesignSheet!C16))</f>
        <v>5.3052901250777461E-2</v>
      </c>
      <c r="C542" s="6">
        <f>(DesignSheet!C11*DesignSheet!C13)*SIN((A542+DesignSheet!C16)) + (DesignSheet!C7)*SIN((DesignSheet!C11+1)*(A542+DesignSheet!C16)) - (DesignSheet!C6/2)*SIN(ATAN( SIN(DesignSheet!C11*(A542+DesignSheet!C16)) / ( COS(DesignSheet!C11*(A542+DesignSheet!C16)) + (DesignSheet!C11*DesignSheet!C13)/(DesignSheet!C7*(DesignSheet!C11+1)) ) )+(A542+DesignSheet!C16))</f>
        <v>0.74812123995304081</v>
      </c>
    </row>
    <row r="543" spans="1:3" x14ac:dyDescent="0.3">
      <c r="A543" s="6">
        <f>2*PI()*541/(DesignSheet!C9-1)</f>
        <v>9.4422312532893233</v>
      </c>
      <c r="B543" s="6">
        <f>(DesignSheet!C11*DesignSheet!C13)*COS((A543+DesignSheet!C16)) + (DesignSheet!C7)*COS((DesignSheet!C11+1)*(A543+DesignSheet!C16)) - (DesignSheet!C6/2)*COS(ATAN( SIN(DesignSheet!C11*(A543+DesignSheet!C16)) / ( COS(DesignSheet!C11*(A543+DesignSheet!C16)) + (DesignSheet!C11*DesignSheet!C13)/(DesignSheet!C7*(DesignSheet!C11+1)) ) )+(A543+DesignSheet!C16))</f>
        <v>3.9988305092923976E-2</v>
      </c>
      <c r="C543" s="6">
        <f>(DesignSheet!C11*DesignSheet!C13)*SIN((A543+DesignSheet!C16)) + (DesignSheet!C7)*SIN((DesignSheet!C11+1)*(A543+DesignSheet!C16)) - (DesignSheet!C6/2)*SIN(ATAN( SIN(DesignSheet!C11*(A543+DesignSheet!C16)) / ( COS(DesignSheet!C11*(A543+DesignSheet!C16)) + (DesignSheet!C11*DesignSheet!C13)/(DesignSheet!C7*(DesignSheet!C11+1)) ) )+(A543+DesignSheet!C16))</f>
        <v>0.74893319825989502</v>
      </c>
    </row>
    <row r="544" spans="1:3" x14ac:dyDescent="0.3">
      <c r="A544" s="6">
        <f>2*PI()*542/(DesignSheet!C9-1)</f>
        <v>9.4596845458092655</v>
      </c>
      <c r="B544" s="6">
        <f>(DesignSheet!C11*DesignSheet!C13)*COS((A544+DesignSheet!C16)) + (DesignSheet!C7)*COS((DesignSheet!C11+1)*(A544+DesignSheet!C16)) - (DesignSheet!C6/2)*COS(ATAN( SIN(DesignSheet!C11*(A544+DesignSheet!C16)) / ( COS(DesignSheet!C11*(A544+DesignSheet!C16)) + (DesignSheet!C11*DesignSheet!C13)/(DesignSheet!C7*(DesignSheet!C11+1)) ) )+(A544+DesignSheet!C16))</f>
        <v>2.6911528109965114E-2</v>
      </c>
      <c r="C544" s="6">
        <f>(DesignSheet!C11*DesignSheet!C13)*SIN((A544+DesignSheet!C16)) + (DesignSheet!C7)*SIN((DesignSheet!C11+1)*(A544+DesignSheet!C16)) - (DesignSheet!C6/2)*SIN(ATAN( SIN(DesignSheet!C11*(A544+DesignSheet!C16)) / ( COS(DesignSheet!C11*(A544+DesignSheet!C16)) + (DesignSheet!C11*DesignSheet!C13)/(DesignSheet!C7*(DesignSheet!C11+1)) ) )+(A544+DesignSheet!C16))</f>
        <v>0.74951702425948041</v>
      </c>
    </row>
    <row r="545" spans="1:3" x14ac:dyDescent="0.3">
      <c r="A545" s="6">
        <f>2*PI()*543/(DesignSheet!C9-1)</f>
        <v>9.4771378383292095</v>
      </c>
      <c r="B545" s="6">
        <f>(DesignSheet!C11*DesignSheet!C13)*COS((A545+DesignSheet!C16)) + (DesignSheet!C7)*COS((DesignSheet!C11+1)*(A545+DesignSheet!C16)) - (DesignSheet!C6/2)*COS(ATAN( SIN(DesignSheet!C11*(A545+DesignSheet!C16)) / ( COS(DesignSheet!C11*(A545+DesignSheet!C16)) + (DesignSheet!C11*DesignSheet!C13)/(DesignSheet!C7*(DesignSheet!C11+1)) ) )+(A545+DesignSheet!C16))</f>
        <v>1.3826553614844795E-2</v>
      </c>
      <c r="C545" s="6">
        <f>(DesignSheet!C11*DesignSheet!C13)*SIN((A545+DesignSheet!C16)) + (DesignSheet!C7)*SIN((DesignSheet!C11+1)*(A545+DesignSheet!C16)) - (DesignSheet!C6/2)*SIN(ATAN( SIN(DesignSheet!C11*(A545+DesignSheet!C16)) / ( COS(DesignSheet!C11*(A545+DesignSheet!C16)) + (DesignSheet!C11*DesignSheet!C13)/(DesignSheet!C7*(DesignSheet!C11+1)) ) )+(A545+DesignSheet!C16))</f>
        <v>0.74987254011274196</v>
      </c>
    </row>
    <row r="546" spans="1:3" x14ac:dyDescent="0.3">
      <c r="A546" s="6">
        <f>2*PI()*544/(DesignSheet!C9-1)</f>
        <v>9.4945911308491535</v>
      </c>
      <c r="B546" s="6">
        <f>(DesignSheet!C11*DesignSheet!C13)*COS((A546+DesignSheet!C16)) + (DesignSheet!C7)*COS((DesignSheet!C11+1)*(A546+DesignSheet!C16)) - (DesignSheet!C6/2)*COS(ATAN( SIN(DesignSheet!C11*(A546+DesignSheet!C16)) / ( COS(DesignSheet!C11*(A546+DesignSheet!C16)) + (DesignSheet!C11*DesignSheet!C13)/(DesignSheet!C7*(DesignSheet!C11+1)) ) )+(A546+DesignSheet!C16))</f>
        <v>7.3736741755256355E-4</v>
      </c>
      <c r="C546" s="6">
        <f>(DesignSheet!C11*DesignSheet!C13)*SIN((A546+DesignSheet!C16)) + (DesignSheet!C7)*SIN((DesignSheet!C11+1)*(A546+DesignSheet!C16)) - (DesignSheet!C6/2)*SIN(ATAN( SIN(DesignSheet!C11*(A546+DesignSheet!C16)) / ( COS(DesignSheet!C11*(A546+DesignSheet!C16)) + (DesignSheet!C11*DesignSheet!C13)/(DesignSheet!C7*(DesignSheet!C11+1)) ) )+(A546+DesignSheet!C16))</f>
        <v>0.74999963752610677</v>
      </c>
    </row>
    <row r="547" spans="1:3" x14ac:dyDescent="0.3">
      <c r="A547" s="6">
        <f>2*PI()*545/(DesignSheet!C9-1)</f>
        <v>9.5120444233690957</v>
      </c>
      <c r="B547" s="6">
        <f>(DesignSheet!C11*DesignSheet!C13)*COS((A547+DesignSheet!C16)) + (DesignSheet!C7)*COS((DesignSheet!C11+1)*(A547+DesignSheet!C16)) - (DesignSheet!C6/2)*COS(ATAN( SIN(DesignSheet!C11*(A547+DesignSheet!C16)) / ( COS(DesignSheet!C11*(A547+DesignSheet!C16)) + (DesignSheet!C11*DesignSheet!C13)/(DesignSheet!C7*(DesignSheet!C11+1)) ) )+(A547+DesignSheet!C16))</f>
        <v>-1.2352043388996762E-2</v>
      </c>
      <c r="C547" s="6">
        <f>(DesignSheet!C11*DesignSheet!C13)*SIN((A547+DesignSheet!C16)) + (DesignSheet!C7)*SIN((DesignSheet!C11+1)*(A547+DesignSheet!C16)) - (DesignSheet!C6/2)*SIN(ATAN( SIN(DesignSheet!C11*(A547+DesignSheet!C16)) / ( COS(DesignSheet!C11*(A547+DesignSheet!C16)) + (DesignSheet!C11*DesignSheet!C13)/(DesignSheet!C7*(DesignSheet!C11+1)) ) )+(A547+DesignSheet!C16))</f>
        <v>0.74989827778447149</v>
      </c>
    </row>
    <row r="548" spans="1:3" x14ac:dyDescent="0.3">
      <c r="A548" s="6">
        <f>2*PI()*546/(DesignSheet!C9-1)</f>
        <v>9.5294977158890397</v>
      </c>
      <c r="B548" s="6">
        <f>(DesignSheet!C11*DesignSheet!C13)*COS((A548+DesignSheet!C16)) + (DesignSheet!C7)*COS((DesignSheet!C11+1)*(A548+DesignSheet!C16)) - (DesignSheet!C6/2)*COS(ATAN( SIN(DesignSheet!C11*(A548+DesignSheet!C16)) / ( COS(DesignSheet!C11*(A548+DesignSheet!C16)) + (DesignSheet!C11*DesignSheet!C13)/(DesignSheet!C7*(DesignSheet!C11+1)) ) )+(A548+DesignSheet!C16))</f>
        <v>-2.5437691643474196E-2</v>
      </c>
      <c r="C548" s="6">
        <f>(DesignSheet!C11*DesignSheet!C13)*SIN((A548+DesignSheet!C16)) + (DesignSheet!C7)*SIN((DesignSheet!C11+1)*(A548+DesignSheet!C16)) - (DesignSheet!C6/2)*SIN(ATAN( SIN(DesignSheet!C11*(A548+DesignSheet!C16)) / ( COS(DesignSheet!C11*(A548+DesignSheet!C16)) + (DesignSheet!C11*DesignSheet!C13)/(DesignSheet!C7*(DesignSheet!C11+1)) ) )+(A548+DesignSheet!C16))</f>
        <v>0.74956849176299534</v>
      </c>
    </row>
    <row r="549" spans="1:3" x14ac:dyDescent="0.3">
      <c r="A549" s="6">
        <f>2*PI()*547/(DesignSheet!C9-1)</f>
        <v>9.5469510084089819</v>
      </c>
      <c r="B549" s="6">
        <f>(DesignSheet!C11*DesignSheet!C13)*COS((A549+DesignSheet!C16)) + (DesignSheet!C7)*COS((DesignSheet!C11+1)*(A549+DesignSheet!C16)) - (DesignSheet!C6/2)*COS(ATAN( SIN(DesignSheet!C11*(A549+DesignSheet!C16)) / ( COS(DesignSheet!C11*(A549+DesignSheet!C16)) + (DesignSheet!C11*DesignSheet!C13)/(DesignSheet!C7*(DesignSheet!C11+1)) ) )+(A549+DesignSheet!C16))</f>
        <v>-3.8515591330655248E-2</v>
      </c>
      <c r="C549" s="6">
        <f>(DesignSheet!C11*DesignSheet!C13)*SIN((A549+DesignSheet!C16)) + (DesignSheet!C7)*SIN((DesignSheet!C11+1)*(A549+DesignSheet!C16)) - (DesignSheet!C6/2)*SIN(ATAN( SIN(DesignSheet!C11*(A549+DesignSheet!C16)) / ( COS(DesignSheet!C11*(A549+DesignSheet!C16)) + (DesignSheet!C11*DesignSheet!C13)/(DesignSheet!C7*(DesignSheet!C11+1)) ) )+(A549+DesignSheet!C16))</f>
        <v>0.74901037991769503</v>
      </c>
    </row>
    <row r="550" spans="1:3" x14ac:dyDescent="0.3">
      <c r="A550" s="6">
        <f>2*PI()*548/(DesignSheet!C9-1)</f>
        <v>9.5644043009289259</v>
      </c>
      <c r="B550" s="6">
        <f>(DesignSheet!C11*DesignSheet!C13)*COS((A550+DesignSheet!C16)) + (DesignSheet!C7)*COS((DesignSheet!C11+1)*(A550+DesignSheet!C16)) - (DesignSheet!C6/2)*COS(ATAN( SIN(DesignSheet!C11*(A550+DesignSheet!C16)) / ( COS(DesignSheet!C11*(A550+DesignSheet!C16)) + (DesignSheet!C11*DesignSheet!C13)/(DesignSheet!C7*(DesignSheet!C11+1)) ) )+(A550+DesignSheet!C16))</f>
        <v>-5.1581758795609403E-2</v>
      </c>
      <c r="C550" s="6">
        <f>(DesignSheet!C11*DesignSheet!C13)*SIN((A550+DesignSheet!C16)) + (DesignSheet!C7)*SIN((DesignSheet!C11+1)*(A550+DesignSheet!C16)) - (DesignSheet!C6/2)*SIN(ATAN( SIN(DesignSheet!C11*(A550+DesignSheet!C16)) / ( COS(DesignSheet!C11*(A550+DesignSheet!C16)) + (DesignSheet!C11*DesignSheet!C13)/(DesignSheet!C7*(DesignSheet!C11+1)) ) )+(A550+DesignSheet!C16))</f>
        <v>0.74822411225484542</v>
      </c>
    </row>
    <row r="551" spans="1:3" x14ac:dyDescent="0.3">
      <c r="A551" s="6">
        <f>2*PI()*549/(DesignSheet!C9-1)</f>
        <v>9.5818575934488681</v>
      </c>
      <c r="B551" s="6">
        <f>(DesignSheet!C11*DesignSheet!C13)*COS((A551+DesignSheet!C16)) + (DesignSheet!C7)*COS((DesignSheet!C11+1)*(A551+DesignSheet!C16)) - (DesignSheet!C6/2)*COS(ATAN( SIN(DesignSheet!C11*(A551+DesignSheet!C16)) / ( COS(DesignSheet!C11*(A551+DesignSheet!C16)) + (DesignSheet!C11*DesignSheet!C13)/(DesignSheet!C7*(DesignSheet!C11+1)) ) )+(A551+DesignSheet!C16))</f>
        <v>-6.4632213957149368E-2</v>
      </c>
      <c r="C551" s="6">
        <f>(DesignSheet!C11*DesignSheet!C13)*SIN((A551+DesignSheet!C16)) + (DesignSheet!C7)*SIN((DesignSheet!C11+1)*(A551+DesignSheet!C16)) - (DesignSheet!C6/2)*SIN(ATAN( SIN(DesignSheet!C11*(A551+DesignSheet!C16)) / ( COS(DesignSheet!C11*(A551+DesignSheet!C16)) + (DesignSheet!C11*DesignSheet!C13)/(DesignSheet!C7*(DesignSheet!C11+1)) ) )+(A551+DesignSheet!C16))</f>
        <v>0.7472099282791933</v>
      </c>
    </row>
    <row r="552" spans="1:3" x14ac:dyDescent="0.3">
      <c r="A552" s="6">
        <f>2*PI()*550/(DesignSheet!C9-1)</f>
        <v>9.5993108859688121</v>
      </c>
      <c r="B552" s="6">
        <f>(DesignSheet!C11*DesignSheet!C13)*COS((A552+DesignSheet!C16)) + (DesignSheet!C7)*COS((DesignSheet!C11+1)*(A552+DesignSheet!C16)) - (DesignSheet!C6/2)*COS(ATAN( SIN(DesignSheet!C11*(A552+DesignSheet!C16)) / ( COS(DesignSheet!C11*(A552+DesignSheet!C16)) + (DesignSheet!C11*DesignSheet!C13)/(DesignSheet!C7*(DesignSheet!C11+1)) ) )+(A552+DesignSheet!C16))</f>
        <v>-7.7662981520213004E-2</v>
      </c>
      <c r="C552" s="6">
        <f>(DesignSheet!C11*DesignSheet!C13)*SIN((A552+DesignSheet!C16)) + (DesignSheet!C7)*SIN((DesignSheet!C11+1)*(A552+DesignSheet!C16)) - (DesignSheet!C6/2)*SIN(ATAN( SIN(DesignSheet!C11*(A552+DesignSheet!C16)) / ( COS(DesignSheet!C11*(A552+DesignSheet!C16)) + (DesignSheet!C11*DesignSheet!C13)/(DesignSheet!C7*(DesignSheet!C11+1)) ) )+(A552+DesignSheet!C16))</f>
        <v>0.74596813692100217</v>
      </c>
    </row>
    <row r="553" spans="1:3" x14ac:dyDescent="0.3">
      <c r="A553" s="6">
        <f>2*PI()*551/(DesignSheet!C9-1)</f>
        <v>9.6167641784887543</v>
      </c>
      <c r="B553" s="6">
        <f>(DesignSheet!C11*DesignSheet!C13)*COS((A553+DesignSheet!C16)) + (DesignSheet!C7)*COS((DesignSheet!C11+1)*(A553+DesignSheet!C16)) - (DesignSheet!C6/2)*COS(ATAN( SIN(DesignSheet!C11*(A553+DesignSheet!C16)) / ( COS(DesignSheet!C11*(A553+DesignSheet!C16)) + (DesignSheet!C11*DesignSheet!C13)/(DesignSheet!C7*(DesignSheet!C11+1)) ) )+(A553+DesignSheet!C16))</f>
        <v>-9.0670092186766055E-2</v>
      </c>
      <c r="C553" s="6">
        <f>(DesignSheet!C11*DesignSheet!C13)*SIN((A553+DesignSheet!C16)) + (DesignSheet!C7)*SIN((DesignSheet!C11+1)*(A553+DesignSheet!C16)) - (DesignSheet!C6/2)*SIN(ATAN( SIN(DesignSheet!C11*(A553+DesignSheet!C16)) / ( COS(DesignSheet!C11*(A553+DesignSheet!C16)) + (DesignSheet!C11*DesignSheet!C13)/(DesignSheet!C7*(DesignSheet!C11+1)) ) )+(A553+DesignSheet!C16))</f>
        <v>0.74449911644194944</v>
      </c>
    </row>
    <row r="554" spans="1:3" x14ac:dyDescent="0.3">
      <c r="A554" s="6">
        <f>2*PI()*552/(DesignSheet!C9-1)</f>
        <v>9.6342174710086983</v>
      </c>
      <c r="B554" s="6">
        <f>(DesignSheet!C11*DesignSheet!C13)*COS((A554+DesignSheet!C16)) + (DesignSheet!C7)*COS((DesignSheet!C11+1)*(A554+DesignSheet!C16)) - (DesignSheet!C6/2)*COS(ATAN( SIN(DesignSheet!C11*(A554+DesignSheet!C16)) / ( COS(DesignSheet!C11*(A554+DesignSheet!C16)) + (DesignSheet!C11*DesignSheet!C13)/(DesignSheet!C7*(DesignSheet!C11+1)) ) )+(A554+DesignSheet!C16))</f>
        <v>-0.10364958386489942</v>
      </c>
      <c r="C554" s="6">
        <f>(DesignSheet!C11*DesignSheet!C13)*SIN((A554+DesignSheet!C16)) + (DesignSheet!C7)*SIN((DesignSheet!C11+1)*(A554+DesignSheet!C16)) - (DesignSheet!C6/2)*SIN(ATAN( SIN(DesignSheet!C11*(A554+DesignSheet!C16)) / ( COS(DesignSheet!C11*(A554+DesignSheet!C16)) + (DesignSheet!C11*DesignSheet!C13)/(DesignSheet!C7*(DesignSheet!C11+1)) ) )+(A554+DesignSheet!C16))</f>
        <v>0.74280331431990343</v>
      </c>
    </row>
    <row r="555" spans="1:3" x14ac:dyDescent="0.3">
      <c r="A555" s="6">
        <f>2*PI()*553/(DesignSheet!C9-1)</f>
        <v>9.6516707635286423</v>
      </c>
      <c r="B555" s="6">
        <f>(DesignSheet!C11*DesignSheet!C13)*COS((A555+DesignSheet!C16)) + (DesignSheet!C7)*COS((DesignSheet!C11+1)*(A555+DesignSheet!C16)) - (DesignSheet!C6/2)*COS(ATAN( SIN(DesignSheet!C11*(A555+DesignSheet!C16)) / ( COS(DesignSheet!C11*(A555+DesignSheet!C16)) + (DesignSheet!C11*DesignSheet!C13)/(DesignSheet!C7*(DesignSheet!C11+1)) ) )+(A555+DesignSheet!C16))</f>
        <v>-0.1165975028757115</v>
      </c>
      <c r="C555" s="6">
        <f>(DesignSheet!C11*DesignSheet!C13)*SIN((A555+DesignSheet!C16)) + (DesignSheet!C7)*SIN((DesignSheet!C11+1)*(A555+DesignSheet!C16)) - (DesignSheet!C6/2)*SIN(ATAN( SIN(DesignSheet!C11*(A555+DesignSheet!C16)) / ( COS(DesignSheet!C11*(A555+DesignSheet!C16)) + (DesignSheet!C11*DesignSheet!C13)/(DesignSheet!C7*(DesignSheet!C11+1)) ) )+(A555+DesignSheet!C16))</f>
        <v>0.74088124711261827</v>
      </c>
    </row>
    <row r="556" spans="1:3" x14ac:dyDescent="0.3">
      <c r="A556" s="6">
        <f>2*PI()*554/(DesignSheet!C9-1)</f>
        <v>9.6691240560485863</v>
      </c>
      <c r="B556" s="6">
        <f>(DesignSheet!C11*DesignSheet!C13)*COS((A556+DesignSheet!C16)) + (DesignSheet!C7)*COS((DesignSheet!C11+1)*(A556+DesignSheet!C16)) - (DesignSheet!C6/2)*COS(ATAN( SIN(DesignSheet!C11*(A556+DesignSheet!C16)) / ( COS(DesignSheet!C11*(A556+DesignSheet!C16)) + (DesignSheet!C11*DesignSheet!C13)/(DesignSheet!C7*(DesignSheet!C11+1)) ) )+(A556+DesignSheet!C16))</f>
        <v>-0.12950990515764224</v>
      </c>
      <c r="C556" s="6">
        <f>(DesignSheet!C11*DesignSheet!C13)*SIN((A556+DesignSheet!C16)) + (DesignSheet!C7)*SIN((DesignSheet!C11+1)*(A556+DesignSheet!C16)) - (DesignSheet!C6/2)*SIN(ATAN( SIN(DesignSheet!C11*(A556+DesignSheet!C16)) / ( COS(DesignSheet!C11*(A556+DesignSheet!C16)) + (DesignSheet!C11*DesignSheet!C13)/(DesignSheet!C7*(DesignSheet!C11+1)) ) )+(A556+DesignSheet!C16))</f>
        <v>0.73873350030038476</v>
      </c>
    </row>
    <row r="557" spans="1:3" x14ac:dyDescent="0.3">
      <c r="A557" s="6">
        <f>2*PI()*555/(DesignSheet!C9-1)</f>
        <v>9.6865773485685303</v>
      </c>
      <c r="B557" s="6">
        <f>(DesignSheet!C11*DesignSheet!C13)*COS((A557+DesignSheet!C16)) + (DesignSheet!C7)*COS((DesignSheet!C11+1)*(A557+DesignSheet!C16)) - (DesignSheet!C6/2)*COS(ATAN( SIN(DesignSheet!C11*(A557+DesignSheet!C16)) / ( COS(DesignSheet!C11*(A557+DesignSheet!C16)) + (DesignSheet!C11*DesignSheet!C13)/(DesignSheet!C7*(DesignSheet!C11+1)) ) )+(A557+DesignSheet!C16))</f>
        <v>-0.14238285746787135</v>
      </c>
      <c r="C557" s="6">
        <f>(DesignSheet!C11*DesignSheet!C13)*SIN((A557+DesignSheet!C16)) + (DesignSheet!C7)*SIN((DesignSheet!C11+1)*(A557+DesignSheet!C16)) - (DesignSheet!C6/2)*SIN(ATAN( SIN(DesignSheet!C11*(A557+DesignSheet!C16)) / ( COS(DesignSheet!C11*(A557+DesignSheet!C16)) + (DesignSheet!C11*DesignSheet!C13)/(DesignSheet!C7*(DesignSheet!C11+1)) ) )+(A557+DesignSheet!C16))</f>
        <v>0.7363607281076876</v>
      </c>
    </row>
    <row r="558" spans="1:3" x14ac:dyDescent="0.3">
      <c r="A558" s="6">
        <f>2*PI()*556/(DesignSheet!C9-1)</f>
        <v>9.7040306410884725</v>
      </c>
      <c r="B558" s="6">
        <f>(DesignSheet!C11*DesignSheet!C13)*COS((A558+DesignSheet!C16)) + (DesignSheet!C7)*COS((DesignSheet!C11+1)*(A558+DesignSheet!C16)) - (DesignSheet!C6/2)*COS(ATAN( SIN(DesignSheet!C11*(A558+DesignSheet!C16)) / ( COS(DesignSheet!C11*(A558+DesignSheet!C16)) + (DesignSheet!C11*DesignSheet!C13)/(DesignSheet!C7*(DesignSheet!C11+1)) ) )+(A558+DesignSheet!C16))</f>
        <v>-0.15521243858042072</v>
      </c>
      <c r="C558" s="6">
        <f>(DesignSheet!C11*DesignSheet!C13)*SIN((A558+DesignSheet!C16)) + (DesignSheet!C7)*SIN((DesignSheet!C11+1)*(A558+DesignSheet!C16)) - (DesignSheet!C6/2)*SIN(ATAN( SIN(DesignSheet!C11*(A558+DesignSheet!C16)) / ( COS(DesignSheet!C11*(A558+DesignSheet!C16)) + (DesignSheet!C11*DesignSheet!C13)/(DesignSheet!C7*(DesignSheet!C11+1)) ) )+(A558+DesignSheet!C16))</f>
        <v>0.73376365330392257</v>
      </c>
    </row>
    <row r="559" spans="1:3" x14ac:dyDescent="0.3">
      <c r="A559" s="6">
        <f>2*PI()*557/(DesignSheet!C9-1)</f>
        <v>9.7214839336084165</v>
      </c>
      <c r="B559" s="6">
        <f>(DesignSheet!C11*DesignSheet!C13)*COS((A559+DesignSheet!C16)) + (DesignSheet!C7)*COS((DesignSheet!C11+1)*(A559+DesignSheet!C16)) - (DesignSheet!C6/2)*COS(ATAN( SIN(DesignSheet!C11*(A559+DesignSheet!C16)) / ( COS(DesignSheet!C11*(A559+DesignSheet!C16)) + (DesignSheet!C11*DesignSheet!C13)/(DesignSheet!C7*(DesignSheet!C11+1)) ) )+(A559+DesignSheet!C16))</f>
        <v>-0.16799474048060314</v>
      </c>
      <c r="C559" s="6">
        <f>(DesignSheet!C11*DesignSheet!C13)*SIN((A559+DesignSheet!C16)) + (DesignSheet!C7)*SIN((DesignSheet!C11+1)*(A559+DesignSheet!C16)) - (DesignSheet!C6/2)*SIN(ATAN( SIN(DesignSheet!C11*(A559+DesignSheet!C16)) / ( COS(DesignSheet!C11*(A559+DesignSheet!C16)) + (DesignSheet!C11*DesignSheet!C13)/(DesignSheet!C7*(DesignSheet!C11+1)) ) )+(A559+DesignSheet!C16))</f>
        <v>0.73094306698323286</v>
      </c>
    </row>
    <row r="560" spans="1:3" x14ac:dyDescent="0.3">
      <c r="A560" s="6">
        <f>2*PI()*558/(DesignSheet!C9-1)</f>
        <v>9.7389372261283587</v>
      </c>
      <c r="B560" s="6">
        <f>(DesignSheet!C11*DesignSheet!C13)*COS((A560+DesignSheet!C16)) + (DesignSheet!C7)*COS((DesignSheet!C11+1)*(A560+DesignSheet!C16)) - (DesignSheet!C6/2)*COS(ATAN( SIN(DesignSheet!C11*(A560+DesignSheet!C16)) / ( COS(DesignSheet!C11*(A560+DesignSheet!C16)) + (DesignSheet!C11*DesignSheet!C13)/(DesignSheet!C7*(DesignSheet!C11+1)) ) )+(A560+DesignSheet!C16))</f>
        <v>-0.18072586955543229</v>
      </c>
      <c r="C560" s="6">
        <f>(DesignSheet!C11*DesignSheet!C13)*SIN((A560+DesignSheet!C16)) + (DesignSheet!C7)*SIN((DesignSheet!C11+1)*(A560+DesignSheet!C16)) - (DesignSheet!C6/2)*SIN(ATAN( SIN(DesignSheet!C11*(A560+DesignSheet!C16)) / ( COS(DesignSheet!C11*(A560+DesignSheet!C16)) + (DesignSheet!C11*DesignSheet!C13)/(DesignSheet!C7*(DesignSheet!C11+1)) ) )+(A560+DesignSheet!C16))</f>
        <v>0.72789982832353584</v>
      </c>
    </row>
    <row r="561" spans="1:3" x14ac:dyDescent="0.3">
      <c r="A561" s="6">
        <f>2*PI()*559/(DesignSheet!C9-1)</f>
        <v>9.7563905186483026</v>
      </c>
      <c r="B561" s="6">
        <f>(DesignSheet!C11*DesignSheet!C13)*COS((A561+DesignSheet!C16)) + (DesignSheet!C7)*COS((DesignSheet!C11+1)*(A561+DesignSheet!C16)) - (DesignSheet!C6/2)*COS(ATAN( SIN(DesignSheet!C11*(A561+DesignSheet!C16)) / ( COS(DesignSheet!C11*(A561+DesignSheet!C16)) + (DesignSheet!C11*DesignSheet!C13)/(DesignSheet!C7*(DesignSheet!C11+1)) ) )+(A561+DesignSheet!C16))</f>
        <v>-0.19340194777966532</v>
      </c>
      <c r="C561" s="6">
        <f>(DesignSheet!C11*DesignSheet!C13)*SIN((A561+DesignSheet!C16)) + (DesignSheet!C7)*SIN((DesignSheet!C11+1)*(A561+DesignSheet!C16)) - (DesignSheet!C6/2)*SIN(ATAN( SIN(DesignSheet!C11*(A561+DesignSheet!C16)) / ( COS(DesignSheet!C11*(A561+DesignSheet!C16)) + (DesignSheet!C11*DesignSheet!C13)/(DesignSheet!C7*(DesignSheet!C11+1)) ) )+(A561+DesignSheet!C16))</f>
        <v>0.72463486432480706</v>
      </c>
    </row>
    <row r="562" spans="1:3" x14ac:dyDescent="0.3">
      <c r="A562" s="6">
        <f>2*PI()*560/(DesignSheet!C9-1)</f>
        <v>9.7738438111682449</v>
      </c>
      <c r="B562" s="6">
        <f>(DesignSheet!C11*DesignSheet!C13)*COS((A562+DesignSheet!C16)) + (DesignSheet!C7)*COS((DesignSheet!C11+1)*(A562+DesignSheet!C16)) - (DesignSheet!C6/2)*COS(ATAN( SIN(DesignSheet!C11*(A562+DesignSheet!C16)) / ( COS(DesignSheet!C11*(A562+DesignSheet!C16)) + (DesignSheet!C11*DesignSheet!C13)/(DesignSheet!C7*(DesignSheet!C11+1)) ) )+(A562+DesignSheet!C16))</f>
        <v>-0.20601911389707667</v>
      </c>
      <c r="C562" s="6">
        <f>(DesignSheet!C11*DesignSheet!C13)*SIN((A562+DesignSheet!C16)) + (DesignSheet!C7)*SIN((DesignSheet!C11+1)*(A562+DesignSheet!C16)) - (DesignSheet!C6/2)*SIN(ATAN( SIN(DesignSheet!C11*(A562+DesignSheet!C16)) / ( COS(DesignSheet!C11*(A562+DesignSheet!C16)) + (DesignSheet!C11*DesignSheet!C13)/(DesignSheet!C7*(DesignSheet!C11+1)) ) )+(A562+DesignSheet!C16))</f>
        <v>0.72114916952670982</v>
      </c>
    </row>
    <row r="563" spans="1:3" x14ac:dyDescent="0.3">
      <c r="A563" s="6">
        <f>2*PI()*561/(DesignSheet!C9-1)</f>
        <v>9.7912971036881888</v>
      </c>
      <c r="B563" s="6">
        <f>(DesignSheet!C11*DesignSheet!C13)*COS((A563+DesignSheet!C16)) + (DesignSheet!C7)*COS((DesignSheet!C11+1)*(A563+DesignSheet!C16)) - (DesignSheet!C6/2)*COS(ATAN( SIN(DesignSheet!C11*(A563+DesignSheet!C16)) / ( COS(DesignSheet!C11*(A563+DesignSheet!C16)) + (DesignSheet!C11*DesignSheet!C13)/(DesignSheet!C7*(DesignSheet!C11+1)) ) )+(A563+DesignSheet!C16))</f>
        <v>-0.21857352459664425</v>
      </c>
      <c r="C563" s="6">
        <f>(DesignSheet!C11*DesignSheet!C13)*SIN((A563+DesignSheet!C16)) + (DesignSheet!C7)*SIN((DesignSheet!C11+1)*(A563+DesignSheet!C16)) - (DesignSheet!C6/2)*SIN(ATAN( SIN(DesignSheet!C11*(A563+DesignSheet!C16)) / ( COS(DesignSheet!C11*(A563+DesignSheet!C16)) + (DesignSheet!C11*DesignSheet!C13)/(DesignSheet!C7*(DesignSheet!C11+1)) ) )+(A563+DesignSheet!C16))</f>
        <v>0.71744380570564559</v>
      </c>
    </row>
    <row r="564" spans="1:3" x14ac:dyDescent="0.3">
      <c r="A564" s="6">
        <f>2*PI()*562/(DesignSheet!C9-1)</f>
        <v>9.8087503962081311</v>
      </c>
      <c r="B564" s="6">
        <f>(DesignSheet!C11*DesignSheet!C13)*COS((A564+DesignSheet!C16)) + (DesignSheet!C7)*COS((DesignSheet!C11+1)*(A564+DesignSheet!C16)) - (DesignSheet!C6/2)*COS(ATAN( SIN(DesignSheet!C11*(A564+DesignSheet!C16)) / ( COS(DesignSheet!C11*(A564+DesignSheet!C16)) + (DesignSheet!C11*DesignSheet!C13)/(DesignSheet!C7*(DesignSheet!C11+1)) ) )+(A564+DesignSheet!C16))</f>
        <v>-0.23106135568324918</v>
      </c>
      <c r="C564" s="6">
        <f>(DesignSheet!C11*DesignSheet!C13)*SIN((A564+DesignSheet!C16)) + (DesignSheet!C7)*SIN((DesignSheet!C11+1)*(A564+DesignSheet!C16)) - (DesignSheet!C6/2)*SIN(ATAN( SIN(DesignSheet!C11*(A564+DesignSheet!C16)) / ( COS(DesignSheet!C11*(A564+DesignSheet!C16)) + (DesignSheet!C11*DesignSheet!C13)/(DesignSheet!C7*(DesignSheet!C11+1)) ) )+(A564+DesignSheet!C16))</f>
        <v>0.71351990155132949</v>
      </c>
    </row>
    <row r="565" spans="1:3" x14ac:dyDescent="0.3">
      <c r="A565" s="6">
        <f>2*PI()*563/(DesignSheet!C9-1)</f>
        <v>9.826203688728075</v>
      </c>
      <c r="B565" s="6">
        <f>(DesignSheet!C11*DesignSheet!C13)*COS((A565+DesignSheet!C16)) + (DesignSheet!C7)*COS((DesignSheet!C11+1)*(A565+DesignSheet!C16)) - (DesignSheet!C6/2)*COS(ATAN( SIN(DesignSheet!C11*(A565+DesignSheet!C16)) / ( COS(DesignSheet!C11*(A565+DesignSheet!C16)) + (DesignSheet!C11*DesignSheet!C13)/(DesignSheet!C7*(DesignSheet!C11+1)) ) )+(A565+DesignSheet!C16))</f>
        <v>-0.24347880324257262</v>
      </c>
      <c r="C565" s="6">
        <f>(DesignSheet!C11*DesignSheet!C13)*SIN((A565+DesignSheet!C16)) + (DesignSheet!C7)*SIN((DesignSheet!C11+1)*(A565+DesignSheet!C16)) - (DesignSheet!C6/2)*SIN(ATAN( SIN(DesignSheet!C11*(A565+DesignSheet!C16)) / ( COS(DesignSheet!C11*(A565+DesignSheet!C16)) + (DesignSheet!C11*DesignSheet!C13)/(DesignSheet!C7*(DesignSheet!C11+1)) ) )+(A565+DesignSheet!C16))</f>
        <v>0.70937865232297814</v>
      </c>
    </row>
    <row r="566" spans="1:3" x14ac:dyDescent="0.3">
      <c r="A566" s="6">
        <f>2*PI()*564/(DesignSheet!C9-1)</f>
        <v>9.8436569812480172</v>
      </c>
      <c r="B566" s="6">
        <f>(DesignSheet!C11*DesignSheet!C13)*COS((A566+DesignSheet!C16)) + (DesignSheet!C7)*COS((DesignSheet!C11+1)*(A566+DesignSheet!C16)) - (DesignSheet!C6/2)*COS(ATAN( SIN(DesignSheet!C11*(A566+DesignSheet!C16)) / ( COS(DesignSheet!C11*(A566+DesignSheet!C16)) + (DesignSheet!C11*DesignSheet!C13)/(DesignSheet!C7*(DesignSheet!C11+1)) ) )+(A566+DesignSheet!C16))</f>
        <v>-0.25582208479979496</v>
      </c>
      <c r="C566" s="6">
        <f>(DesignSheet!C11*DesignSheet!C13)*SIN((A566+DesignSheet!C16)) + (DesignSheet!C7)*SIN((DesignSheet!C11+1)*(A566+DesignSheet!C16)) - (DesignSheet!C6/2)*SIN(ATAN( SIN(DesignSheet!C11*(A566+DesignSheet!C16)) / ( COS(DesignSheet!C11*(A566+DesignSheet!C16)) + (DesignSheet!C11*DesignSheet!C13)/(DesignSheet!C7*(DesignSheet!C11+1)) ) )+(A566+DesignSheet!C16))</f>
        <v>0.70502131948522417</v>
      </c>
    </row>
    <row r="567" spans="1:3" x14ac:dyDescent="0.3">
      <c r="A567" s="6">
        <f>2*PI()*565/(DesignSheet!C9-1)</f>
        <v>9.8611102737679612</v>
      </c>
      <c r="B567" s="6">
        <f>(DesignSheet!C11*DesignSheet!C13)*COS((A567+DesignSheet!C16)) + (DesignSheet!C7)*COS((DesignSheet!C11+1)*(A567+DesignSheet!C16)) - (DesignSheet!C6/2)*COS(ATAN( SIN(DesignSheet!C11*(A567+DesignSheet!C16)) / ( COS(DesignSheet!C11*(A567+DesignSheet!C16)) + (DesignSheet!C11*DesignSheet!C13)/(DesignSheet!C7*(DesignSheet!C11+1)) ) )+(A567+DesignSheet!C16))</f>
        <v>-0.26808744047178446</v>
      </c>
      <c r="C567" s="6">
        <f>(DesignSheet!C11*DesignSheet!C13)*SIN((A567+DesignSheet!C16)) + (DesignSheet!C7)*SIN((DesignSheet!C11+1)*(A567+DesignSheet!C16)) - (DesignSheet!C6/2)*SIN(ATAN( SIN(DesignSheet!C11*(A567+DesignSheet!C16)) / ( COS(DesignSheet!C11*(A567+DesignSheet!C16)) + (DesignSheet!C11*DesignSheet!C13)/(DesignSheet!C7*(DesignSheet!C11+1)) ) )+(A567+DesignSheet!C16))</f>
        <v>0.70044923032385975</v>
      </c>
    </row>
    <row r="568" spans="1:3" x14ac:dyDescent="0.3">
      <c r="A568" s="6">
        <f>2*PI()*566/(DesignSheet!C9-1)</f>
        <v>9.8785635662879052</v>
      </c>
      <c r="B568" s="6">
        <f>(DesignSheet!C11*DesignSheet!C13)*COS((A568+DesignSheet!C16)) + (DesignSheet!C7)*COS((DesignSheet!C11+1)*(A568+DesignSheet!C16)) - (DesignSheet!C6/2)*COS(ATAN( SIN(DesignSheet!C11*(A568+DesignSheet!C16)) / ( COS(DesignSheet!C11*(A568+DesignSheet!C16)) + (DesignSheet!C11*DesignSheet!C13)/(DesignSheet!C7*(DesignSheet!C11+1)) ) )+(A568+DesignSheet!C16))</f>
        <v>-0.2802711341123848</v>
      </c>
      <c r="C568" s="6">
        <f>(DesignSheet!C11*DesignSheet!C13)*SIN((A568+DesignSheet!C16)) + (DesignSheet!C7)*SIN((DesignSheet!C11+1)*(A568+DesignSheet!C16)) - (DesignSheet!C6/2)*SIN(ATAN( SIN(DesignSheet!C11*(A568+DesignSheet!C16)) / ( COS(DesignSheet!C11*(A568+DesignSheet!C16)) + (DesignSheet!C11*DesignSheet!C13)/(DesignSheet!C7*(DesignSheet!C11+1)) ) )+(A568+DesignSheet!C16))</f>
        <v>0.69566377754153452</v>
      </c>
    </row>
    <row r="569" spans="1:3" x14ac:dyDescent="0.3">
      <c r="A569" s="6">
        <f>2*PI()*567/(DesignSheet!C9-1)</f>
        <v>9.8960168588078474</v>
      </c>
      <c r="B569" s="6">
        <f>(DesignSheet!C11*DesignSheet!C13)*COS((A569+DesignSheet!C16)) + (DesignSheet!C7)*COS((DesignSheet!C11+1)*(A569+DesignSheet!C16)) - (DesignSheet!C6/2)*COS(ATAN( SIN(DesignSheet!C11*(A569+DesignSheet!C16)) / ( COS(DesignSheet!C11*(A569+DesignSheet!C16)) + (DesignSheet!C11*DesignSheet!C13)/(DesignSheet!C7*(DesignSheet!C11+1)) ) )+(A569+DesignSheet!C16))</f>
        <v>-0.29236945445048584</v>
      </c>
      <c r="C569" s="6">
        <f>(DesignSheet!C11*DesignSheet!C13)*SIN((A569+DesignSheet!C16)) + (DesignSheet!C7)*SIN((DesignSheet!C11+1)*(A569+DesignSheet!C16)) - (DesignSheet!C6/2)*SIN(ATAN( SIN(DesignSheet!C11*(A569+DesignSheet!C16)) / ( COS(DesignSheet!C11*(A569+DesignSheet!C16)) + (DesignSheet!C11*DesignSheet!C13)/(DesignSheet!C7*(DesignSheet!C11+1)) ) )+(A569+DesignSheet!C16))</f>
        <v>0.69066641883352442</v>
      </c>
    </row>
    <row r="570" spans="1:3" x14ac:dyDescent="0.3">
      <c r="A570" s="6">
        <f>2*PI()*568/(DesignSheet!C9-1)</f>
        <v>9.9134701513277914</v>
      </c>
      <c r="B570" s="6">
        <f>(DesignSheet!C11*DesignSheet!C13)*COS((A570+DesignSheet!C16)) + (DesignSheet!C7)*COS((DesignSheet!C11+1)*(A570+DesignSheet!C16)) - (DesignSheet!C6/2)*COS(ATAN( SIN(DesignSheet!C11*(A570+DesignSheet!C16)) / ( COS(DesignSheet!C11*(A570+DesignSheet!C16)) + (DesignSheet!C11*DesignSheet!C13)/(DesignSheet!C7*(DesignSheet!C11+1)) ) )+(A570+DesignSheet!C16))</f>
        <v>-0.30437871622051604</v>
      </c>
      <c r="C570" s="6">
        <f>(DesignSheet!C11*DesignSheet!C13)*SIN((A570+DesignSheet!C16)) + (DesignSheet!C7)*SIN((DesignSheet!C11+1)*(A570+DesignSheet!C16)) - (DesignSheet!C6/2)*SIN(ATAN( SIN(DesignSheet!C11*(A570+DesignSheet!C16)) / ( COS(DesignSheet!C11*(A570+DesignSheet!C16)) + (DesignSheet!C11*DesignSheet!C13)/(DesignSheet!C7*(DesignSheet!C11+1)) ) )+(A570+DesignSheet!C16))</f>
        <v>0.68545867644370118</v>
      </c>
    </row>
    <row r="571" spans="1:3" x14ac:dyDescent="0.3">
      <c r="A571" s="6">
        <f>2*PI()*569/(DesignSheet!C9-1)</f>
        <v>9.9309234438477354</v>
      </c>
      <c r="B571" s="6">
        <f>(DesignSheet!C11*DesignSheet!C13)*COS((A571+DesignSheet!C16)) + (DesignSheet!C7)*COS((DesignSheet!C11+1)*(A571+DesignSheet!C16)) - (DesignSheet!C6/2)*COS(ATAN( SIN(DesignSheet!C11*(A571+DesignSheet!C16)) / ( COS(DesignSheet!C11*(A571+DesignSheet!C16)) + (DesignSheet!C11*DesignSheet!C13)/(DesignSheet!C7*(DesignSheet!C11+1)) ) )+(A571+DesignSheet!C16))</f>
        <v>-0.31629526128500257</v>
      </c>
      <c r="C571" s="6">
        <f>(DesignSheet!C11*DesignSheet!C13)*SIN((A571+DesignSheet!C16)) + (DesignSheet!C7)*SIN((DesignSheet!C11+1)*(A571+DesignSheet!C16)) - (DesignSheet!C6/2)*SIN(ATAN( SIN(DesignSheet!C11*(A571+DesignSheet!C16)) / ( COS(DesignSheet!C11*(A571+DesignSheet!C16)) + (DesignSheet!C11*DesignSheet!C13)/(DesignSheet!C7*(DesignSheet!C11+1)) ) )+(A571+DesignSheet!C16))</f>
        <v>0.6800421367008459</v>
      </c>
    </row>
    <row r="572" spans="1:3" x14ac:dyDescent="0.3">
      <c r="A572" s="6">
        <f>2*PI()*570/(DesignSheet!C9-1)</f>
        <v>9.9483767363676794</v>
      </c>
      <c r="B572" s="6">
        <f>(DesignSheet!C11*DesignSheet!C13)*COS((A572+DesignSheet!C16)) + (DesignSheet!C7)*COS((DesignSheet!C11+1)*(A572+DesignSheet!C16)) - (DesignSheet!C6/2)*COS(ATAN( SIN(DesignSheet!C11*(A572+DesignSheet!C16)) / ( COS(DesignSheet!C11*(A572+DesignSheet!C16)) + (DesignSheet!C11*DesignSheet!C13)/(DesignSheet!C7*(DesignSheet!C11+1)) ) )+(A572+DesignSheet!C16))</f>
        <v>-0.32811545974888068</v>
      </c>
      <c r="C572" s="6">
        <f>(DesignSheet!C11*DesignSheet!C13)*SIN((A572+DesignSheet!C16)) + (DesignSheet!C7)*SIN((DesignSheet!C11+1)*(A572+DesignSheet!C16)) - (DesignSheet!C6/2)*SIN(ATAN( SIN(DesignSheet!C11*(A572+DesignSheet!C16)) / ( COS(DesignSheet!C11*(A572+DesignSheet!C16)) + (DesignSheet!C11*DesignSheet!C13)/(DesignSheet!C7*(DesignSheet!C11+1)) ) )+(A572+DesignSheet!C16))</f>
        <v>0.67441844953543539</v>
      </c>
    </row>
    <row r="573" spans="1:3" x14ac:dyDescent="0.3">
      <c r="A573" s="6">
        <f>2*PI()*571/(DesignSheet!C9-1)</f>
        <v>9.9658300288876216</v>
      </c>
      <c r="B573" s="6">
        <f>(DesignSheet!C11*DesignSheet!C13)*COS((A573+DesignSheet!C16)) + (DesignSheet!C7)*COS((DesignSheet!C11+1)*(A573+DesignSheet!C16)) - (DesignSheet!C6/2)*COS(ATAN( SIN(DesignSheet!C11*(A573+DesignSheet!C16)) / ( COS(DesignSheet!C11*(A573+DesignSheet!C16)) + (DesignSheet!C11*DesignSheet!C13)/(DesignSheet!C7*(DesignSheet!C11+1)) ) )+(A573+DesignSheet!C16))</f>
        <v>-0.33983571106519228</v>
      </c>
      <c r="C573" s="6">
        <f>(DesignSheet!C11*DesignSheet!C13)*SIN((A573+DesignSheet!C16)) + (DesignSheet!C7)*SIN((DesignSheet!C11+1)*(A573+DesignSheet!C16)) - (DesignSheet!C6/2)*SIN(ATAN( SIN(DesignSheet!C11*(A573+DesignSheet!C16)) / ( COS(DesignSheet!C11*(A573+DesignSheet!C16)) + (DesignSheet!C11*DesignSheet!C13)/(DesignSheet!C7*(DesignSheet!C11+1)) ) )+(A573+DesignSheet!C16))</f>
        <v>0.66858932797705883</v>
      </c>
    </row>
    <row r="574" spans="1:3" x14ac:dyDescent="0.3">
      <c r="A574" s="6">
        <f>2*PI()*572/(DesignSheet!C9-1)</f>
        <v>9.9832833214075656</v>
      </c>
      <c r="B574" s="6">
        <f>(DesignSheet!C11*DesignSheet!C13)*COS((A574+DesignSheet!C16)) + (DesignSheet!C7)*COS((DesignSheet!C11+1)*(A574+DesignSheet!C16)) - (DesignSheet!C6/2)*COS(ATAN( SIN(DesignSheet!C11*(A574+DesignSheet!C16)) / ( COS(DesignSheet!C11*(A574+DesignSheet!C16)) + (DesignSheet!C11*DesignSheet!C13)/(DesignSheet!C7*(DesignSheet!C11+1)) ) )+(A574+DesignSheet!C16))</f>
        <v>-0.35145244513185214</v>
      </c>
      <c r="C574" s="6">
        <f>(DesignSheet!C11*DesignSheet!C13)*SIN((A574+DesignSheet!C16)) + (DesignSheet!C7)*SIN((DesignSheet!C11+1)*(A574+DesignSheet!C16)) - (DesignSheet!C6/2)*SIN(ATAN( SIN(DesignSheet!C11*(A574+DesignSheet!C16)) / ( COS(DesignSheet!C11*(A574+DesignSheet!C16)) + (DesignSheet!C11*DesignSheet!C13)/(DesignSheet!C7*(DesignSheet!C11+1)) ) )+(A574+DesignSheet!C16))</f>
        <v>0.66255654763260963</v>
      </c>
    </row>
    <row r="575" spans="1:3" x14ac:dyDescent="0.3">
      <c r="A575" s="6">
        <f>2*PI()*573/(DesignSheet!C9-1)</f>
        <v>10.000736613927508</v>
      </c>
      <c r="B575" s="6">
        <f>(DesignSheet!C11*DesignSheet!C13)*COS((A575+DesignSheet!C16)) + (DesignSheet!C7)*COS((DesignSheet!C11+1)*(A575+DesignSheet!C16)) - (DesignSheet!C6/2)*COS(ATAN( SIN(DesignSheet!C11*(A575+DesignSheet!C16)) / ( COS(DesignSheet!C11*(A575+DesignSheet!C16)) + (DesignSheet!C11*DesignSheet!C13)/(DesignSheet!C7*(DesignSheet!C11+1)) ) )+(A575+DesignSheet!C16))</f>
        <v>-0.36296212337912742</v>
      </c>
      <c r="C575" s="6">
        <f>(DesignSheet!C11*DesignSheet!C13)*SIN((A575+DesignSheet!C16)) + (DesignSheet!C7)*SIN((DesignSheet!C11+1)*(A575+DesignSheet!C16)) - (DesignSheet!C6/2)*SIN(ATAN( SIN(DesignSheet!C11*(A575+DesignSheet!C16)) / ( COS(DesignSheet!C11*(A575+DesignSheet!C16)) + (DesignSheet!C11*DesignSheet!C13)/(DesignSheet!C7*(DesignSheet!C11+1)) ) )+(A575+DesignSheet!C16))</f>
        <v>0.65632194614542272</v>
      </c>
    </row>
    <row r="576" spans="1:3" x14ac:dyDescent="0.3">
      <c r="A576" s="6">
        <f>2*PI()*574/(DesignSheet!C9-1)</f>
        <v>10.018189906447452</v>
      </c>
      <c r="B576" s="6">
        <f>(DesignSheet!C11*DesignSheet!C13)*COS((A576+DesignSheet!C16)) + (DesignSheet!C7)*COS((DesignSheet!C11+1)*(A576+DesignSheet!C16)) - (DesignSheet!C6/2)*COS(ATAN( SIN(DesignSheet!C11*(A576+DesignSheet!C16)) / ( COS(DesignSheet!C11*(A576+DesignSheet!C16)) + (DesignSheet!C11*DesignSheet!C13)/(DesignSheet!C7*(DesignSheet!C11+1)) ) )+(A576+DesignSheet!C16))</f>
        <v>-0.37436123984752956</v>
      </c>
      <c r="C576" s="6">
        <f>(DesignSheet!C11*DesignSheet!C13)*SIN((A576+DesignSheet!C16)) + (DesignSheet!C7)*SIN((DesignSheet!C11+1)*(A576+DesignSheet!C16)) - (DesignSheet!C6/2)*SIN(ATAN( SIN(DesignSheet!C11*(A576+DesignSheet!C16)) / ( COS(DesignSheet!C11*(A576+DesignSheet!C16)) + (DesignSheet!C11*DesignSheet!C13)/(DesignSheet!C7*(DesignSheet!C11+1)) ) )+(A576+DesignSheet!C16))</f>
        <v>0.6498874226355057</v>
      </c>
    </row>
    <row r="577" spans="1:3" x14ac:dyDescent="0.3">
      <c r="A577" s="6">
        <f>2*PI()*575/(DesignSheet!C9-1)</f>
        <v>10.035643198967394</v>
      </c>
      <c r="B577" s="6">
        <f>(DesignSheet!C11*DesignSheet!C13)*COS((A577+DesignSheet!C16)) + (DesignSheet!C7)*COS((DesignSheet!C11+1)*(A577+DesignSheet!C16)) - (DesignSheet!C6/2)*COS(ATAN( SIN(DesignSheet!C11*(A577+DesignSheet!C16)) / ( COS(DesignSheet!C11*(A577+DesignSheet!C16)) + (DesignSheet!C11*DesignSheet!C13)/(DesignSheet!C7*(DesignSheet!C11+1)) ) )+(A577+DesignSheet!C16))</f>
        <v>-0.38564632225575418</v>
      </c>
      <c r="C577" s="6">
        <f>(DesignSheet!C11*DesignSheet!C13)*SIN((A577+DesignSheet!C16)) + (DesignSheet!C7)*SIN((DesignSheet!C11+1)*(A577+DesignSheet!C16)) - (DesignSheet!C6/2)*SIN(ATAN( SIN(DesignSheet!C11*(A577+DesignSheet!C16)) / ( COS(DesignSheet!C11*(A577+DesignSheet!C16)) + (DesignSheet!C11*DesignSheet!C13)/(DesignSheet!C7*(DesignSheet!C11+1)) ) )+(A577+DesignSheet!C16))</f>
        <v>0.64325493712105386</v>
      </c>
    </row>
    <row r="578" spans="1:3" x14ac:dyDescent="0.3">
      <c r="A578" s="6">
        <f>2*PI()*576/(DesignSheet!C9-1)</f>
        <v>10.053096491487338</v>
      </c>
      <c r="B578" s="6">
        <f>(DesignSheet!C11*DesignSheet!C13)*COS((A578+DesignSheet!C16)) + (DesignSheet!C7)*COS((DesignSheet!C11+1)*(A578+DesignSheet!C16)) - (DesignSheet!C6/2)*COS(ATAN( SIN(DesignSheet!C11*(A578+DesignSheet!C16)) / ( COS(DesignSheet!C11*(A578+DesignSheet!C16)) + (DesignSheet!C11*DesignSheet!C13)/(DesignSheet!C7*(DesignSheet!C11+1)) ) )+(A578+DesignSheet!C16))</f>
        <v>-0.39681393305838109</v>
      </c>
      <c r="C578" s="6">
        <f>(DesignSheet!C11*DesignSheet!C13)*SIN((A578+DesignSheet!C16)) + (DesignSheet!C7)*SIN((DesignSheet!C11+1)*(A578+DesignSheet!C16)) - (DesignSheet!C6/2)*SIN(ATAN( SIN(DesignSheet!C11*(A578+DesignSheet!C16)) / ( COS(DesignSheet!C11*(A578+DesignSheet!C16)) + (DesignSheet!C11*DesignSheet!C13)/(DesignSheet!C7*(DesignSheet!C11+1)) ) )+(A578+DesignSheet!C16))</f>
        <v>0.63642650992140382</v>
      </c>
    </row>
    <row r="579" spans="1:3" x14ac:dyDescent="0.3">
      <c r="A579" s="6">
        <f>2*PI()*577/(DesignSheet!C9-1)</f>
        <v>10.070549784007282</v>
      </c>
      <c r="B579" s="6">
        <f>(DesignSheet!C11*DesignSheet!C13)*COS((A579+DesignSheet!C16)) + (DesignSheet!C7)*COS((DesignSheet!C11+1)*(A579+DesignSheet!C16)) - (DesignSheet!C6/2)*COS(ATAN( SIN(DesignSheet!C11*(A579+DesignSheet!C16)) / ( COS(DesignSheet!C11*(A579+DesignSheet!C16)) + (DesignSheet!C11*DesignSheet!C13)/(DesignSheet!C7*(DesignSheet!C11+1)) ) )+(A579+DesignSheet!C16))</f>
        <v>-0.40786067049297542</v>
      </c>
      <c r="C579" s="6">
        <f>(DesignSheet!C11*DesignSheet!C13)*SIN((A579+DesignSheet!C16)) + (DesignSheet!C7)*SIN((DesignSheet!C11+1)*(A579+DesignSheet!C16)) - (DesignSheet!C6/2)*SIN(ATAN( SIN(DesignSheet!C11*(A579+DesignSheet!C16)) / ( COS(DesignSheet!C11*(A579+DesignSheet!C16)) + (DesignSheet!C11*DesignSheet!C13)/(DesignSheet!C7*(DesignSheet!C11+1)) ) )+(A579+DesignSheet!C16))</f>
        <v>0.62940422104162963</v>
      </c>
    </row>
    <row r="580" spans="1:3" x14ac:dyDescent="0.3">
      <c r="A580" s="6">
        <f>2*PI()*578/(DesignSheet!C9-1)</f>
        <v>10.088003076527224</v>
      </c>
      <c r="B580" s="6">
        <f>(DesignSheet!C11*DesignSheet!C13)*COS((A580+DesignSheet!C16)) + (DesignSheet!C7)*COS((DesignSheet!C11+1)*(A580+DesignSheet!C16)) - (DesignSheet!C6/2)*COS(ATAN( SIN(DesignSheet!C11*(A580+DesignSheet!C16)) / ( COS(DesignSheet!C11*(A580+DesignSheet!C16)) + (DesignSheet!C11*DesignSheet!C13)/(DesignSheet!C7*(DesignSheet!C11+1)) ) )+(A580+DesignSheet!C16))</f>
        <v>-0.41878316961630146</v>
      </c>
      <c r="C580" s="6">
        <f>(DesignSheet!C11*DesignSheet!C13)*SIN((A580+DesignSheet!C16)) + (DesignSheet!C7)*SIN((DesignSheet!C11+1)*(A580+DesignSheet!C16)) - (DesignSheet!C6/2)*SIN(ATAN( SIN(DesignSheet!C11*(A580+DesignSheet!C16)) / ( COS(DesignSheet!C11*(A580+DesignSheet!C16)) + (DesignSheet!C11*DesignSheet!C13)/(DesignSheet!C7*(DesignSheet!C11+1)) ) )+(A580+DesignSheet!C16))</f>
        <v>0.62219020953895121</v>
      </c>
    </row>
    <row r="581" spans="1:3" x14ac:dyDescent="0.3">
      <c r="A581" s="6">
        <f>2*PI()*579/(DesignSheet!C9-1)</f>
        <v>10.105456369047168</v>
      </c>
      <c r="B581" s="6">
        <f>(DesignSheet!C11*DesignSheet!C13)*COS((A581+DesignSheet!C16)) + (DesignSheet!C7)*COS((DesignSheet!C11+1)*(A581+DesignSheet!C16)) - (DesignSheet!C6/2)*COS(ATAN( SIN(DesignSheet!C11*(A581+DesignSheet!C16)) / ( COS(DesignSheet!C11*(A581+DesignSheet!C16)) + (DesignSheet!C11*DesignSheet!C13)/(DesignSheet!C7*(DesignSheet!C11+1)) ) )+(A581+DesignSheet!C16))</f>
        <v>-0.42957810332931989</v>
      </c>
      <c r="C581" s="6">
        <f>(DesignSheet!C11*DesignSheet!C13)*SIN((A581+DesignSheet!C16)) + (DesignSheet!C7)*SIN((DesignSheet!C11+1)*(A581+DesignSheet!C16)) - (DesignSheet!C6/2)*SIN(ATAN( SIN(DesignSheet!C11*(A581+DesignSheet!C16)) / ( COS(DesignSheet!C11*(A581+DesignSheet!C16)) + (DesignSheet!C11*DesignSheet!C13)/(DesignSheet!C7*(DesignSheet!C11+1)) ) )+(A581+DesignSheet!C16))</f>
        <v>0.61478667287115463</v>
      </c>
    </row>
    <row r="582" spans="1:3" x14ac:dyDescent="0.3">
      <c r="A582" s="6">
        <f>2*PI()*580/(DesignSheet!C9-1)</f>
        <v>10.12290966156711</v>
      </c>
      <c r="B582" s="6">
        <f>(DesignSheet!C11*DesignSheet!C13)*COS((A582+DesignSheet!C16)) + (DesignSheet!C7)*COS((DesignSheet!C11+1)*(A582+DesignSheet!C16)) - (DesignSheet!C6/2)*COS(ATAN( SIN(DesignSheet!C11*(A582+DesignSheet!C16)) / ( COS(DesignSheet!C11*(A582+DesignSheet!C16)) + (DesignSheet!C11*DesignSheet!C13)/(DesignSheet!C7*(DesignSheet!C11+1)) ) )+(A582+DesignSheet!C16))</f>
        <v>-0.44024218339064658</v>
      </c>
      <c r="C582" s="6">
        <f>(DesignSheet!C11*DesignSheet!C13)*SIN((A582+DesignSheet!C16)) + (DesignSheet!C7)*SIN((DesignSheet!C11+1)*(A582+DesignSheet!C16)) - (DesignSheet!C6/2)*SIN(ATAN( SIN(DesignSheet!C11*(A582+DesignSheet!C16)) / ( COS(DesignSheet!C11*(A582+DesignSheet!C16)) + (DesignSheet!C11*DesignSheet!C13)/(DesignSheet!C7*(DesignSheet!C11+1)) ) )+(A582+DesignSheet!C16))</f>
        <v>0.6071958662272301</v>
      </c>
    </row>
    <row r="583" spans="1:3" x14ac:dyDescent="0.3">
      <c r="A583" s="6">
        <f>2*PI()*581/(DesignSheet!C9-1)</f>
        <v>10.140362954087054</v>
      </c>
      <c r="B583" s="6">
        <f>(DesignSheet!C11*DesignSheet!C13)*COS((A583+DesignSheet!C16)) + (DesignSheet!C7)*COS((DesignSheet!C11+1)*(A583+DesignSheet!C16)) - (DesignSheet!C6/2)*COS(ATAN( SIN(DesignSheet!C11*(A583+DesignSheet!C16)) / ( COS(DesignSheet!C11*(A583+DesignSheet!C16)) + (DesignSheet!C11*DesignSheet!C13)/(DesignSheet!C7*(DesignSheet!C11+1)) ) )+(A583+DesignSheet!C16))</f>
        <v>-0.45077216141819171</v>
      </c>
      <c r="C583" s="6">
        <f>(DesignSheet!C11*DesignSheet!C13)*SIN((A583+DesignSheet!C16)) + (DesignSheet!C7)*SIN((DesignSheet!C11+1)*(A583+DesignSheet!C16)) - (DesignSheet!C6/2)*SIN(ATAN( SIN(DesignSheet!C11*(A583+DesignSheet!C16)) / ( COS(DesignSheet!C11*(A583+DesignSheet!C16)) + (DesignSheet!C11*DesignSheet!C13)/(DesignSheet!C7*(DesignSheet!C11+1)) ) )+(A583+DesignSheet!C16))</f>
        <v>0.5994201018404135</v>
      </c>
    </row>
    <row r="584" spans="1:3" x14ac:dyDescent="0.3">
      <c r="A584" s="6">
        <f>2*PI()*582/(DesignSheet!C9-1)</f>
        <v>10.157816246606997</v>
      </c>
      <c r="B584" s="6">
        <f>(DesignSheet!C11*DesignSheet!C13)*COS((A584+DesignSheet!C16)) + (DesignSheet!C7)*COS((DesignSheet!C11+1)*(A584+DesignSheet!C16)) - (DesignSheet!C6/2)*COS(ATAN( SIN(DesignSheet!C11*(A584+DesignSheet!C16)) / ( COS(DesignSheet!C11*(A584+DesignSheet!C16)) + (DesignSheet!C11*DesignSheet!C13)/(DesignSheet!C7*(DesignSheet!C11+1)) ) )+(A584+DesignSheet!C16))</f>
        <v>-0.46116482987863983</v>
      </c>
      <c r="C584" s="6">
        <f>(DesignSheet!C11*DesignSheet!C13)*SIN((A584+DesignSheet!C16)) + (DesignSheet!C7)*SIN((DesignSheet!C11+1)*(A584+DesignSheet!C16)) - (DesignSheet!C6/2)*SIN(ATAN( SIN(DesignSheet!C11*(A584+DesignSheet!C16)) / ( COS(DesignSheet!C11*(A584+DesignSheet!C16)) + (DesignSheet!C11*DesignSheet!C13)/(DesignSheet!C7*(DesignSheet!C11+1)) ) )+(A584+DesignSheet!C16))</f>
        <v>0.59146174828386422</v>
      </c>
    </row>
    <row r="585" spans="1:3" x14ac:dyDescent="0.3">
      <c r="A585" s="6">
        <f>2*PI()*583/(DesignSheet!C9-1)</f>
        <v>10.175269539126941</v>
      </c>
      <c r="B585" s="6">
        <f>(DesignSheet!C11*DesignSheet!C13)*COS((A585+DesignSheet!C16)) + (DesignSheet!C7)*COS((DesignSheet!C11+1)*(A585+DesignSheet!C16)) - (DesignSheet!C6/2)*COS(ATAN( SIN(DesignSheet!C11*(A585+DesignSheet!C16)) / ( COS(DesignSheet!C11*(A585+DesignSheet!C16)) + (DesignSheet!C11*DesignSheet!C13)/(DesignSheet!C7*(DesignSheet!C11+1)) ) )+(A585+DesignSheet!C16))</f>
        <v>-0.47141702306450406</v>
      </c>
      <c r="C585" s="6">
        <f>(DesignSheet!C11*DesignSheet!C13)*SIN((A585+DesignSheet!C16)) + (DesignSheet!C7)*SIN((DesignSheet!C11+1)*(A585+DesignSheet!C16)) - (DesignSheet!C6/2)*SIN(ATAN( SIN(DesignSheet!C11*(A585+DesignSheet!C16)) / ( COS(DesignSheet!C11*(A585+DesignSheet!C16)) + (DesignSheet!C11*DesignSheet!C13)/(DesignSheet!C7*(DesignSheet!C11+1)) ) )+(A585+DesignSheet!C16))</f>
        <v>0.58332322974916817</v>
      </c>
    </row>
    <row r="586" spans="1:3" x14ac:dyDescent="0.3">
      <c r="A586" s="6">
        <f>2*PI()*584/(DesignSheet!C9-1)</f>
        <v>10.192722831646885</v>
      </c>
      <c r="B586" s="6">
        <f>(DesignSheet!C11*DesignSheet!C13)*COS((A586+DesignSheet!C16)) + (DesignSheet!C7)*COS((DesignSheet!C11+1)*(A586+DesignSheet!C16)) - (DesignSheet!C6/2)*COS(ATAN( SIN(DesignSheet!C11*(A586+DesignSheet!C16)) / ( COS(DesignSheet!C11*(A586+DesignSheet!C16)) + (DesignSheet!C11*DesignSheet!C13)/(DesignSheet!C7*(DesignSheet!C11+1)) ) )+(A586+DesignSheet!C16))</f>
        <v>-0.48152561805842342</v>
      </c>
      <c r="C586" s="6">
        <f>(DesignSheet!C11*DesignSheet!C13)*SIN((A586+DesignSheet!C16)) + (DesignSheet!C7)*SIN((DesignSheet!C11+1)*(A586+DesignSheet!C16)) - (DesignSheet!C6/2)*SIN(ATAN( SIN(DesignSheet!C11*(A586+DesignSheet!C16)) / ( COS(DesignSheet!C11*(A586+DesignSheet!C16)) + (DesignSheet!C11*DesignSheet!C13)/(DesignSheet!C7*(DesignSheet!C11+1)) ) )+(A586+DesignSheet!C16))</f>
        <v>0.57500702530791159</v>
      </c>
    </row>
    <row r="587" spans="1:3" x14ac:dyDescent="0.3">
      <c r="A587" s="6">
        <f>2*PI()*585/(DesignSheet!C9-1)</f>
        <v>10.210176124166829</v>
      </c>
      <c r="B587" s="6">
        <f>(DesignSheet!C11*DesignSheet!C13)*COS((A587+DesignSheet!C16)) + (DesignSheet!C7)*COS((DesignSheet!C11+1)*(A587+DesignSheet!C16)) - (DesignSheet!C6/2)*COS(ATAN( SIN(DesignSheet!C11*(A587+DesignSheet!C16)) / ( COS(DesignSheet!C11*(A587+DesignSheet!C16)) + (DesignSheet!C11*DesignSheet!C13)/(DesignSheet!C7*(DesignSheet!C11+1)) ) )+(A587+DesignSheet!C16))</f>
        <v>-0.49148753568443893</v>
      </c>
      <c r="C587" s="6">
        <f>(DesignSheet!C11*DesignSheet!C13)*SIN((A587+DesignSheet!C16)) + (DesignSheet!C7)*SIN((DesignSheet!C11+1)*(A587+DesignSheet!C16)) - (DesignSheet!C6/2)*SIN(ATAN( SIN(DesignSheet!C11*(A587+DesignSheet!C16)) / ( COS(DesignSheet!C11*(A587+DesignSheet!C16)) + (DesignSheet!C11*DesignSheet!C13)/(DesignSheet!C7*(DesignSheet!C11+1)) ) )+(A587+DesignSheet!C16))</f>
        <v>0.56651566815652799</v>
      </c>
    </row>
    <row r="588" spans="1:3" x14ac:dyDescent="0.3">
      <c r="A588" s="6">
        <f>2*PI()*586/(DesignSheet!C9-1)</f>
        <v>10.227629416686771</v>
      </c>
      <c r="B588" s="6">
        <f>(DesignSheet!C11*DesignSheet!C13)*COS((A588+DesignSheet!C16)) + (DesignSheet!C7)*COS((DesignSheet!C11+1)*(A588+DesignSheet!C16)) - (DesignSheet!C6/2)*COS(ATAN( SIN(DesignSheet!C11*(A588+DesignSheet!C16)) / ( COS(DesignSheet!C11*(A588+DesignSheet!C16)) + (DesignSheet!C11*DesignSheet!C13)/(DesignSheet!C7*(DesignSheet!C11+1)) ) )+(A588+DesignSheet!C16))</f>
        <v>-0.50129974144593714</v>
      </c>
      <c r="C588" s="6">
        <f>(DesignSheet!C11*DesignSheet!C13)*SIN((A588+DesignSheet!C16)) + (DesignSheet!C7)*SIN((DesignSheet!C11+1)*(A588+DesignSheet!C16)) - (DesignSheet!C6/2)*SIN(ATAN( SIN(DesignSheet!C11*(A588+DesignSheet!C16)) / ( COS(DesignSheet!C11*(A588+DesignSheet!C16)) + (DesignSheet!C11*DesignSheet!C13)/(DesignSheet!C7*(DesignSheet!C11+1)) ) )+(A588+DesignSheet!C16))</f>
        <v>0.55785174484466438</v>
      </c>
    </row>
    <row r="589" spans="1:3" x14ac:dyDescent="0.3">
      <c r="A589" s="6">
        <f>2*PI()*587/(DesignSheet!C9-1)</f>
        <v>10.245082709206715</v>
      </c>
      <c r="B589" s="6">
        <f>(DesignSheet!C11*DesignSheet!C13)*COS((A589+DesignSheet!C16)) + (DesignSheet!C7)*COS((DesignSheet!C11+1)*(A589+DesignSheet!C16)) - (DesignSheet!C6/2)*COS(ATAN( SIN(DesignSheet!C11*(A589+DesignSheet!C16)) / ( COS(DesignSheet!C11*(A589+DesignSheet!C16)) + (DesignSheet!C11*DesignSheet!C13)/(DesignSheet!C7*(DesignSheet!C11+1)) ) )+(A589+DesignSheet!C16))</f>
        <v>-0.51095924644999247</v>
      </c>
      <c r="C589" s="6">
        <f>(DesignSheet!C11*DesignSheet!C13)*SIN((A589+DesignSheet!C16)) + (DesignSheet!C7)*SIN((DesignSheet!C11+1)*(A589+DesignSheet!C16)) - (DesignSheet!C6/2)*SIN(ATAN( SIN(DesignSheet!C11*(A589+DesignSheet!C16)) / ( COS(DesignSheet!C11*(A589+DesignSheet!C16)) + (DesignSheet!C11*DesignSheet!C13)/(DesignSheet!C7*(DesignSheet!C11+1)) ) )+(A589+DesignSheet!C16))</f>
        <v>0.54901789448728899</v>
      </c>
    </row>
    <row r="590" spans="1:3" x14ac:dyDescent="0.3">
      <c r="A590" s="6">
        <f>2*PI()*588/(DesignSheet!C9-1)</f>
        <v>10.262536001726659</v>
      </c>
      <c r="B590" s="6">
        <f>(DesignSheet!C11*DesignSheet!C13)*COS((A590+DesignSheet!C16)) + (DesignSheet!C7)*COS((DesignSheet!C11+1)*(A590+DesignSheet!C16)) - (DesignSheet!C6/2)*COS(ATAN( SIN(DesignSheet!C11*(A590+DesignSheet!C16)) / ( COS(DesignSheet!C11*(A590+DesignSheet!C16)) + (DesignSheet!C11*DesignSheet!C13)/(DesignSheet!C7*(DesignSheet!C11+1)) ) )+(A590+DesignSheet!C16))</f>
        <v>-0.52046310831780562</v>
      </c>
      <c r="C590" s="6">
        <f>(DesignSheet!C11*DesignSheet!C13)*SIN((A590+DesignSheet!C16)) + (DesignSheet!C7)*SIN((DesignSheet!C11+1)*(A590+DesignSheet!C16)) - (DesignSheet!C6/2)*SIN(ATAN( SIN(DesignSheet!C11*(A590+DesignSheet!C16)) / ( COS(DesignSheet!C11*(A590+DesignSheet!C16)) + (DesignSheet!C11*DesignSheet!C13)/(DesignSheet!C7*(DesignSheet!C11+1)) ) )+(A590+DesignSheet!C16))</f>
        <v>0.54001680796079687</v>
      </c>
    </row>
    <row r="591" spans="1:3" x14ac:dyDescent="0.3">
      <c r="A591" s="6">
        <f>2*PI()*589/(DesignSheet!C9-1)</f>
        <v>10.279989294246601</v>
      </c>
      <c r="B591" s="6">
        <f>(DesignSheet!C11*DesignSheet!C13)*COS((A591+DesignSheet!C16)) + (DesignSheet!C7)*COS((DesignSheet!C11+1)*(A591+DesignSheet!C16)) - (DesignSheet!C6/2)*COS(ATAN( SIN(DesignSheet!C11*(A591+DesignSheet!C16)) / ( COS(DesignSheet!C11*(A591+DesignSheet!C16)) + (DesignSheet!C11*DesignSheet!C13)/(DesignSheet!C7*(DesignSheet!C11+1)) ) )+(A591+DesignSheet!C16))</f>
        <v>-0.52980843208098483</v>
      </c>
      <c r="C591" s="6">
        <f>(DesignSheet!C11*DesignSheet!C13)*SIN((A591+DesignSheet!C16)) + (DesignSheet!C7)*SIN((DesignSheet!C11+1)*(A591+DesignSheet!C16)) - (DesignSheet!C6/2)*SIN(ATAN( SIN(DesignSheet!C11*(A591+DesignSheet!C16)) / ( COS(DesignSheet!C11*(A591+DesignSheet!C16)) + (DesignSheet!C11*DesignSheet!C13)/(DesignSheet!C7*(DesignSheet!C11+1)) ) )+(A591+DesignSheet!C16))</f>
        <v>0.53085122708334065</v>
      </c>
    </row>
    <row r="592" spans="1:3" x14ac:dyDescent="0.3">
      <c r="A592" s="6">
        <f>2*PI()*590/(DesignSheet!C9-1)</f>
        <v>10.297442586766545</v>
      </c>
      <c r="B592" s="6">
        <f>(DesignSheet!C11*DesignSheet!C13)*COS((A592+DesignSheet!C16)) + (DesignSheet!C7)*COS((DesignSheet!C11+1)*(A592+DesignSheet!C16)) - (DesignSheet!C6/2)*COS(ATAN( SIN(DesignSheet!C11*(A592+DesignSheet!C16)) / ( COS(DesignSheet!C11*(A592+DesignSheet!C16)) + (DesignSheet!C11*DesignSheet!C13)/(DesignSheet!C7*(DesignSheet!C11+1)) ) )+(A592+DesignSheet!C16))</f>
        <v>-0.53899237106338371</v>
      </c>
      <c r="C592" s="6">
        <f>(DesignSheet!C11*DesignSheet!C13)*SIN((A592+DesignSheet!C16)) + (DesignSheet!C7)*SIN((DesignSheet!C11+1)*(A592+DesignSheet!C16)) - (DesignSheet!C6/2)*SIN(ATAN( SIN(DesignSheet!C11*(A592+DesignSheet!C16)) / ( COS(DesignSheet!C11*(A592+DesignSheet!C16)) + (DesignSheet!C11*DesignSheet!C13)/(DesignSheet!C7*(DesignSheet!C11+1)) ) )+(A592+DesignSheet!C16))</f>
        <v>0.52152394377964262</v>
      </c>
    </row>
    <row r="593" spans="1:3" x14ac:dyDescent="0.3">
      <c r="A593" s="6">
        <f>2*PI()*591/(DesignSheet!C9-1)</f>
        <v>10.314895879286487</v>
      </c>
      <c r="B593" s="6">
        <f>(DesignSheet!C11*DesignSheet!C13)*COS((A593+DesignSheet!C16)) + (DesignSheet!C7)*COS((DesignSheet!C11+1)*(A593+DesignSheet!C16)) - (DesignSheet!C6/2)*COS(ATAN( SIN(DesignSheet!C11*(A593+DesignSheet!C16)) / ( COS(DesignSheet!C11*(A593+DesignSheet!C16)) + (DesignSheet!C11*DesignSheet!C13)/(DesignSheet!C7*(DesignSheet!C11+1)) ) )+(A593+DesignSheet!C16))</f>
        <v>-0.54801212774821928</v>
      </c>
      <c r="C593" s="6">
        <f>(DesignSheet!C11*DesignSheet!C13)*SIN((A593+DesignSheet!C16)) + (DesignSheet!C7)*SIN((DesignSheet!C11+1)*(A593+DesignSheet!C16)) - (DesignSheet!C6/2)*SIN(ATAN( SIN(DesignSheet!C11*(A593+DesignSheet!C16)) / ( COS(DesignSheet!C11*(A593+DesignSheet!C16)) + (DesignSheet!C11*DesignSheet!C13)/(DesignSheet!C7*(DesignSheet!C11+1)) ) )+(A593+DesignSheet!C16))</f>
        <v>0.51203779923055426</v>
      </c>
    </row>
    <row r="594" spans="1:3" x14ac:dyDescent="0.3">
      <c r="A594" s="6">
        <f>2*PI()*592/(DesignSheet!C9-1)</f>
        <v>10.332349171806431</v>
      </c>
      <c r="B594" s="6">
        <f>(DesignSheet!C11*DesignSheet!C13)*COS((A594+DesignSheet!C16)) + (DesignSheet!C7)*COS((DesignSheet!C11+1)*(A594+DesignSheet!C16)) - (DesignSheet!C6/2)*COS(ATAN( SIN(DesignSheet!C11*(A594+DesignSheet!C16)) / ( COS(DesignSheet!C11*(A594+DesignSheet!C16)) + (DesignSheet!C11*DesignSheet!C13)/(DesignSheet!C7*(DesignSheet!C11+1)) ) )+(A594+DesignSheet!C16))</f>
        <v>-0.556864954630231</v>
      </c>
      <c r="C594" s="6">
        <f>(DesignSheet!C11*DesignSheet!C13)*SIN((A594+DesignSheet!C16)) + (DesignSheet!C7)*SIN((DesignSheet!C11+1)*(A594+DesignSheet!C16)) - (DesignSheet!C6/2)*SIN(ATAN( SIN(DesignSheet!C11*(A594+DesignSheet!C16)) / ( COS(DesignSheet!C11*(A594+DesignSheet!C16)) + (DesignSheet!C11*DesignSheet!C13)/(DesignSheet!C7*(DesignSheet!C11+1)) ) )+(A594+DesignSheet!C16))</f>
        <v>0.50239568300759785</v>
      </c>
    </row>
    <row r="595" spans="1:3" x14ac:dyDescent="0.3">
      <c r="A595" s="6">
        <f>2*PI()*593/(DesignSheet!C9-1)</f>
        <v>10.349802464326373</v>
      </c>
      <c r="B595" s="6">
        <f>(DesignSheet!C11*DesignSheet!C13)*COS((A595+DesignSheet!C16)) + (DesignSheet!C7)*COS((DesignSheet!C11+1)*(A595+DesignSheet!C16)) - (DesignSheet!C6/2)*COS(ATAN( SIN(DesignSheet!C11*(A595+DesignSheet!C16)) / ( COS(DesignSheet!C11*(A595+DesignSheet!C16)) + (DesignSheet!C11*DesignSheet!C13)/(DesignSheet!C7*(DesignSheet!C11+1)) ) )+(A595+DesignSheet!C16))</f>
        <v>-0.5655481550525896</v>
      </c>
      <c r="C595" s="6">
        <f>(DesignSheet!C11*DesignSheet!C13)*SIN((A595+DesignSheet!C16)) + (DesignSheet!C7)*SIN((DesignSheet!C11+1)*(A595+DesignSheet!C16)) - (DesignSheet!C6/2)*SIN(ATAN( SIN(DesignSheet!C11*(A595+DesignSheet!C16)) / ( COS(DesignSheet!C11*(A595+DesignSheet!C16)) + (DesignSheet!C11*DesignSheet!C13)/(DesignSheet!C7*(DesignSheet!C11+1)) ) )+(A595+DesignSheet!C16))</f>
        <v>0.49260053219278205</v>
      </c>
    </row>
    <row r="596" spans="1:3" x14ac:dyDescent="0.3">
      <c r="A596" s="6">
        <f>2*PI()*594/(DesignSheet!C9-1)</f>
        <v>10.367255756846317</v>
      </c>
      <c r="B596" s="6">
        <f>(DesignSheet!C11*DesignSheet!C13)*COS((A596+DesignSheet!C16)) + (DesignSheet!C7)*COS((DesignSheet!C11+1)*(A596+DesignSheet!C16)) - (DesignSheet!C6/2)*COS(ATAN( SIN(DesignSheet!C11*(A596+DesignSheet!C16)) / ( COS(DesignSheet!C11*(A596+DesignSheet!C16)) + (DesignSheet!C11*DesignSheet!C13)/(DesignSheet!C7*(DesignSheet!C11+1)) ) )+(A596+DesignSheet!C16))</f>
        <v>-0.57405908402833206</v>
      </c>
      <c r="C596" s="6">
        <f>(DesignSheet!C11*DesignSheet!C13)*SIN((A596+DesignSheet!C16)) + (DesignSheet!C7)*SIN((DesignSheet!C11+1)*(A596+DesignSheet!C16)) - (DesignSheet!C6/2)*SIN(ATAN( SIN(DesignSheet!C11*(A596+DesignSheet!C16)) / ( COS(DesignSheet!C11*(A596+DesignSheet!C16)) + (DesignSheet!C11*DesignSheet!C13)/(DesignSheet!C7*(DesignSheet!C11+1)) ) )+(A596+DesignSheet!C16))</f>
        <v>0.48265533048393083</v>
      </c>
    </row>
    <row r="597" spans="1:3" x14ac:dyDescent="0.3">
      <c r="A597" s="6">
        <f>2*PI()*595/(DesignSheet!C9-1)</f>
        <v>10.384709049366259</v>
      </c>
      <c r="B597" s="6">
        <f>(DesignSheet!C11*DesignSheet!C13)*COS((A597+DesignSheet!C16)) + (DesignSheet!C7)*COS((DesignSheet!C11+1)*(A597+DesignSheet!C16)) - (DesignSheet!C6/2)*COS(ATAN( SIN(DesignSheet!C11*(A597+DesignSheet!C16)) / ( COS(DesignSheet!C11*(A597+DesignSheet!C16)) + (DesignSheet!C11*DesignSheet!C13)/(DesignSheet!C7*(DesignSheet!C11+1)) ) )+(A597+DesignSheet!C16))</f>
        <v>-0.58239514904604328</v>
      </c>
      <c r="C597" s="6">
        <f>(DesignSheet!C11*DesignSheet!C13)*SIN((A597+DesignSheet!C16)) + (DesignSheet!C7)*SIN((DesignSheet!C11+1)*(A597+DesignSheet!C16)) - (DesignSheet!C6/2)*SIN(ATAN( SIN(DesignSheet!C11*(A597+DesignSheet!C16)) / ( COS(DesignSheet!C11*(A597+DesignSheet!C16)) + (DesignSheet!C11*DesignSheet!C13)/(DesignSheet!C7*(DesignSheet!C11+1)) ) )+(A597+DesignSheet!C16))</f>
        <v>0.47256310728582807</v>
      </c>
    </row>
    <row r="598" spans="1:3" x14ac:dyDescent="0.3">
      <c r="A598" s="6">
        <f>2*PI()*596/(DesignSheet!C9-1)</f>
        <v>10.402162341886203</v>
      </c>
      <c r="B598" s="6">
        <f>(DesignSheet!C11*DesignSheet!C13)*COS((A598+DesignSheet!C16)) + (DesignSheet!C7)*COS((DesignSheet!C11+1)*(A598+DesignSheet!C16)) - (DesignSheet!C6/2)*COS(ATAN( SIN(DesignSheet!C11*(A598+DesignSheet!C16)) / ( COS(DesignSheet!C11*(A598+DesignSheet!C16)) + (DesignSheet!C11*DesignSheet!C13)/(DesignSheet!C7*(DesignSheet!C11+1)) ) )+(A598+DesignSheet!C16))</f>
        <v>-0.5905538108595676</v>
      </c>
      <c r="C598" s="6">
        <f>(DesignSheet!C11*DesignSheet!C13)*SIN((A598+DesignSheet!C16)) + (DesignSheet!C7)*SIN((DesignSheet!C11+1)*(A598+DesignSheet!C16)) - (DesignSheet!C6/2)*SIN(ATAN( SIN(DesignSheet!C11*(A598+DesignSheet!C16)) / ( COS(DesignSheet!C11*(A598+DesignSheet!C16)) + (DesignSheet!C11*DesignSheet!C13)/(DesignSheet!C7*(DesignSheet!C11+1)) ) )+(A598+DesignSheet!C16))</f>
        <v>0.46232693678742331</v>
      </c>
    </row>
    <row r="599" spans="1:3" x14ac:dyDescent="0.3">
      <c r="A599" s="6">
        <f>2*PI()*597/(DesignSheet!C9-1)</f>
        <v>10.419615634406146</v>
      </c>
      <c r="B599" s="6">
        <f>(DesignSheet!C11*DesignSheet!C13)*COS((A599+DesignSheet!C16)) + (DesignSheet!C7)*COS((DesignSheet!C11+1)*(A599+DesignSheet!C16)) - (DesignSheet!C6/2)*COS(ATAN( SIN(DesignSheet!C11*(A599+DesignSheet!C16)) / ( COS(DesignSheet!C11*(A599+DesignSheet!C16)) + (DesignSheet!C11*DesignSheet!C13)/(DesignSheet!C7*(DesignSheet!C11+1)) ) )+(A599+DesignSheet!C16))</f>
        <v>-0.59853258426147993</v>
      </c>
      <c r="C599" s="6">
        <f>(DesignSheet!C11*DesignSheet!C13)*SIN((A599+DesignSheet!C16)) + (DesignSheet!C7)*SIN((DesignSheet!C11+1)*(A599+DesignSheet!C16)) - (DesignSheet!C6/2)*SIN(ATAN( SIN(DesignSheet!C11*(A599+DesignSheet!C16)) / ( COS(DesignSheet!C11*(A599+DesignSheet!C16)) + (DesignSheet!C11*DesignSheet!C13)/(DesignSheet!C7*(DesignSheet!C11+1)) ) )+(A599+DesignSheet!C16))</f>
        <v>0.45194993702541264</v>
      </c>
    </row>
    <row r="600" spans="1:3" x14ac:dyDescent="0.3">
      <c r="A600" s="6">
        <f>2*PI()*598/(DesignSheet!C9-1)</f>
        <v>10.43706892692609</v>
      </c>
      <c r="B600" s="6">
        <f>(DesignSheet!C11*DesignSheet!C13)*COS((A600+DesignSheet!C16)) + (DesignSheet!C7)*COS((DesignSheet!C11+1)*(A600+DesignSheet!C16)) - (DesignSheet!C6/2)*COS(ATAN( SIN(DesignSheet!C11*(A600+DesignSheet!C16)) / ( COS(DesignSheet!C11*(A600+DesignSheet!C16)) + (DesignSheet!C11*DesignSheet!C13)/(DesignSheet!C7*(DesignSheet!C11+1)) ) )+(A600+DesignSheet!C16))</f>
        <v>-0.6063290388401118</v>
      </c>
      <c r="C600" s="6">
        <f>(DesignSheet!C11*DesignSheet!C13)*SIN((A600+DesignSheet!C16)) + (DesignSheet!C7)*SIN((DesignSheet!C11+1)*(A600+DesignSheet!C16)) - (DesignSheet!C6/2)*SIN(ATAN( SIN(DesignSheet!C11*(A600+DesignSheet!C16)) / ( COS(DesignSheet!C11*(A600+DesignSheet!C16)) + (DesignSheet!C11*DesignSheet!C13)/(DesignSheet!C7*(DesignSheet!C11+1)) ) )+(A600+DesignSheet!C16))</f>
        <v>0.44143526893444551</v>
      </c>
    </row>
    <row r="601" spans="1:3" x14ac:dyDescent="0.3">
      <c r="A601" s="6">
        <f>2*PI()*599/(DesignSheet!C9-1)</f>
        <v>10.454522219446034</v>
      </c>
      <c r="B601" s="6">
        <f>(DesignSheet!C11*DesignSheet!C13)*COS((A601+DesignSheet!C16)) + (DesignSheet!C7)*COS((DesignSheet!C11+1)*(A601+DesignSheet!C16)) - (DesignSheet!C6/2)*COS(ATAN( SIN(DesignSheet!C11*(A601+DesignSheet!C16)) / ( COS(DesignSheet!C11*(A601+DesignSheet!C16)) + (DesignSheet!C11*DesignSheet!C13)/(DesignSheet!C7*(DesignSheet!C11+1)) ) )+(A601+DesignSheet!C16))</f>
        <v>-0.61394079971987148</v>
      </c>
      <c r="C601" s="6">
        <f>(DesignSheet!C11*DesignSheet!C13)*SIN((A601+DesignSheet!C16)) + (DesignSheet!C7)*SIN((DesignSheet!C11+1)*(A601+DesignSheet!C16)) - (DesignSheet!C6/2)*SIN(ATAN( SIN(DesignSheet!C11*(A601+DesignSheet!C16)) / ( COS(DesignSheet!C11*(A601+DesignSheet!C16)) + (DesignSheet!C11*DesignSheet!C13)/(DesignSheet!C7*(DesignSheet!C11+1)) ) )+(A601+DesignSheet!C16))</f>
        <v>0.43078613538428157</v>
      </c>
    </row>
    <row r="602" spans="1:3" x14ac:dyDescent="0.3">
      <c r="A602" s="6">
        <f>2*PI()*600/(DesignSheet!C9-1)</f>
        <v>10.471975511965978</v>
      </c>
      <c r="B602" s="6">
        <f>(DesignSheet!C11*DesignSheet!C13)*COS((A602+DesignSheet!C16)) + (DesignSheet!C7)*COS((DesignSheet!C11+1)*(A602+DesignSheet!C16)) - (DesignSheet!C6/2)*COS(ATAN( SIN(DesignSheet!C11*(A602+DesignSheet!C16)) / ( COS(DesignSheet!C11*(A602+DesignSheet!C16)) + (DesignSheet!C11*DesignSheet!C13)/(DesignSheet!C7*(DesignSheet!C11+1)) ) )+(A602+DesignSheet!C16))</f>
        <v>-0.62136554828465862</v>
      </c>
      <c r="C602" s="6">
        <f>(DesignSheet!C11*DesignSheet!C13)*SIN((A602+DesignSheet!C16)) + (DesignSheet!C7)*SIN((DesignSheet!C11+1)*(A602+DesignSheet!C16)) - (DesignSheet!C6/2)*SIN(ATAN( SIN(DesignSheet!C11*(A602+DesignSheet!C16)) / ( COS(DesignSheet!C11*(A602+DesignSheet!C16)) + (DesignSheet!C11*DesignSheet!C13)/(DesignSheet!C7*(DesignSheet!C11+1)) ) )+(A602+DesignSheet!C16))</f>
        <v>0.42000578020416052</v>
      </c>
    </row>
    <row r="603" spans="1:3" x14ac:dyDescent="0.3">
      <c r="A603" s="6">
        <f>2*PI()*601/(DesignSheet!C9-1)</f>
        <v>10.489428804485922</v>
      </c>
      <c r="B603" s="6">
        <f>(DesignSheet!C11*DesignSheet!C13)*COS((A603+DesignSheet!C16)) + (DesignSheet!C7)*COS((DesignSheet!C11+1)*(A603+DesignSheet!C16)) - (DesignSheet!C6/2)*COS(ATAN( SIN(DesignSheet!C11*(A603+DesignSheet!C16)) / ( COS(DesignSheet!C11*(A603+DesignSheet!C16)) + (DesignSheet!C11*DesignSheet!C13)/(DesignSheet!C7*(DesignSheet!C11+1)) ) )+(A603+DesignSheet!C16))</f>
        <v>-0.62860102288413489</v>
      </c>
      <c r="C603" s="6">
        <f>(DesignSheet!C11*DesignSheet!C13)*SIN((A603+DesignSheet!C16)) + (DesignSheet!C7)*SIN((DesignSheet!C11+1)*(A603+DesignSheet!C16)) - (DesignSheet!C6/2)*SIN(ATAN( SIN(DesignSheet!C11*(A603+DesignSheet!C16)) / ( COS(DesignSheet!C11*(A603+DesignSheet!C16)) + (DesignSheet!C11*DesignSheet!C13)/(DesignSheet!C7*(DesignSheet!C11+1)) ) )+(A603+DesignSheet!C16))</f>
        <v>0.40909748719470196</v>
      </c>
    </row>
    <row r="604" spans="1:3" x14ac:dyDescent="0.3">
      <c r="A604" s="6">
        <f>2*PI()*602/(DesignSheet!C9-1)</f>
        <v>10.506882097005864</v>
      </c>
      <c r="B604" s="6">
        <f>(DesignSheet!C11*DesignSheet!C13)*COS((A604+DesignSheet!C16)) + (DesignSheet!C7)*COS((DesignSheet!C11+1)*(A604+DesignSheet!C16)) - (DesignSheet!C6/2)*COS(ATAN( SIN(DesignSheet!C11*(A604+DesignSheet!C16)) / ( COS(DesignSheet!C11*(A604+DesignSheet!C16)) + (DesignSheet!C11*DesignSheet!C13)/(DesignSheet!C7*(DesignSheet!C11+1)) ) )+(A604+DesignSheet!C16))</f>
        <v>-0.63564501952264507</v>
      </c>
      <c r="C604" s="6">
        <f>(DesignSheet!C11*DesignSheet!C13)*SIN((A604+DesignSheet!C16)) + (DesignSheet!C7)*SIN((DesignSheet!C11+1)*(A604+DesignSheet!C16)) - (DesignSheet!C6/2)*SIN(ATAN( SIN(DesignSheet!C11*(A604+DesignSheet!C16)) / ( COS(DesignSheet!C11*(A604+DesignSheet!C16)) + (DesignSheet!C11*DesignSheet!C13)/(DesignSheet!C7*(DesignSheet!C11+1)) ) )+(A604+DesignSheet!C16))</f>
        <v>0.39806457912762871</v>
      </c>
    </row>
    <row r="605" spans="1:3" x14ac:dyDescent="0.3">
      <c r="A605" s="6">
        <f>2*PI()*603/(DesignSheet!C9-1)</f>
        <v>10.524335389525808</v>
      </c>
      <c r="B605" s="6">
        <f>(DesignSheet!C11*DesignSheet!C13)*COS((A605+DesignSheet!C16)) + (DesignSheet!C7)*COS((DesignSheet!C11+1)*(A605+DesignSheet!C16)) - (DesignSheet!C6/2)*COS(ATAN( SIN(DesignSheet!C11*(A605+DesignSheet!C16)) / ( COS(DesignSheet!C11*(A605+DesignSheet!C16)) + (DesignSheet!C11*DesignSheet!C13)/(DesignSheet!C7*(DesignSheet!C11+1)) ) )+(A605+DesignSheet!C16))</f>
        <v>-0.64249539253057786</v>
      </c>
      <c r="C605" s="6">
        <f>(DesignSheet!C11*DesignSheet!C13)*SIN((A605+DesignSheet!C16)) + (DesignSheet!C7)*SIN((DesignSheet!C11+1)*(A605+DesignSheet!C16)) - (DesignSheet!C6/2)*SIN(ATAN( SIN(DesignSheet!C11*(A605+DesignSheet!C16)) / ( COS(DesignSheet!C11*(A605+DesignSheet!C16)) + (DesignSheet!C11*DesignSheet!C13)/(DesignSheet!C7*(DesignSheet!C11+1)) ) )+(A605+DesignSheet!C16))</f>
        <v>0.38691041673361382</v>
      </c>
    </row>
    <row r="606" spans="1:3" x14ac:dyDescent="0.3">
      <c r="A606" s="6">
        <f>2*PI()*604/(DesignSheet!C9-1)</f>
        <v>10.54178868204575</v>
      </c>
      <c r="B606" s="6">
        <f>(DesignSheet!C11*DesignSheet!C13)*COS((A606+DesignSheet!C16)) + (DesignSheet!C7)*COS((DesignSheet!C11+1)*(A606+DesignSheet!C16)) - (DesignSheet!C6/2)*COS(ATAN( SIN(DesignSheet!C11*(A606+DesignSheet!C16)) / ( COS(DesignSheet!C11*(A606+DesignSheet!C16)) + (DesignSheet!C11*DesignSheet!C13)/(DesignSheet!C7*(DesignSheet!C11+1)) ) )+(A606+DesignSheet!C16))</f>
        <v>-0.64915005521795255</v>
      </c>
      <c r="C606" s="6">
        <f>(DesignSheet!C11*DesignSheet!C13)*SIN((A606+DesignSheet!C16)) + (DesignSheet!C7)*SIN((DesignSheet!C11+1)*(A606+DesignSheet!C16)) - (DesignSheet!C6/2)*SIN(ATAN( SIN(DesignSheet!C11*(A606+DesignSheet!C16)) / ( COS(DesignSheet!C11*(A606+DesignSheet!C16)) + (DesignSheet!C11*DesignSheet!C13)/(DesignSheet!C7*(DesignSheet!C11+1)) ) )+(A606+DesignSheet!C16))</f>
        <v>0.37563839767857765</v>
      </c>
    </row>
    <row r="607" spans="1:3" x14ac:dyDescent="0.3">
      <c r="A607" s="6">
        <f>2*PI()*605/(DesignSheet!C9-1)</f>
        <v>10.559241974565694</v>
      </c>
      <c r="B607" s="6">
        <f>(DesignSheet!C11*DesignSheet!C13)*COS((A607+DesignSheet!C16)) + (DesignSheet!C7)*COS((DesignSheet!C11+1)*(A607+DesignSheet!C16)) - (DesignSheet!C6/2)*COS(ATAN( SIN(DesignSheet!C11*(A607+DesignSheet!C16)) / ( COS(DesignSheet!C11*(A607+DesignSheet!C16)) + (DesignSheet!C11*DesignSheet!C13)/(DesignSheet!C7*(DesignSheet!C11+1)) ) )+(A607+DesignSheet!C16))</f>
        <v>-0.65560698051005062</v>
      </c>
      <c r="C607" s="6">
        <f>(DesignSheet!C11*DesignSheet!C13)*SIN((A607+DesignSheet!C16)) + (DesignSheet!C7)*SIN((DesignSheet!C11+1)*(A607+DesignSheet!C16)) - (DesignSheet!C6/2)*SIN(ATAN( SIN(DesignSheet!C11*(A607+DesignSheet!C16)) / ( COS(DesignSheet!C11*(A607+DesignSheet!C16)) + (DesignSheet!C11*DesignSheet!C13)/(DesignSheet!C7*(DesignSheet!C11+1)) ) )+(A607+DesignSheet!C16))</f>
        <v>0.36425195552871659</v>
      </c>
    </row>
    <row r="608" spans="1:3" x14ac:dyDescent="0.3">
      <c r="A608" s="6">
        <f>2*PI()*606/(DesignSheet!C9-1)</f>
        <v>10.576695267085636</v>
      </c>
      <c r="B608" s="6">
        <f>(DesignSheet!C11*DesignSheet!C13)*COS((A608+DesignSheet!C16)) + (DesignSheet!C7)*COS((DesignSheet!C11+1)*(A608+DesignSheet!C16)) - (DesignSheet!C6/2)*COS(ATAN( SIN(DesignSheet!C11*(A608+DesignSheet!C16)) / ( COS(DesignSheet!C11*(A608+DesignSheet!C16)) + (DesignSheet!C11*DesignSheet!C13)/(DesignSheet!C7*(DesignSheet!C11+1)) ) )+(A608+DesignSheet!C16))</f>
        <v>-0.66186420156487724</v>
      </c>
      <c r="C608" s="6">
        <f>(DesignSheet!C11*DesignSheet!C13)*SIN((A608+DesignSheet!C16)) + (DesignSheet!C7)*SIN((DesignSheet!C11+1)*(A608+DesignSheet!C16)) - (DesignSheet!C6/2)*SIN(ATAN( SIN(DesignSheet!C11*(A608+DesignSheet!C16)) / ( COS(DesignSheet!C11*(A608+DesignSheet!C16)) + (DesignSheet!C11*DesignSheet!C13)/(DesignSheet!C7*(DesignSheet!C11+1)) ) )+(A608+DesignSheet!C16))</f>
        <v>0.3527545587046147</v>
      </c>
    </row>
    <row r="609" spans="1:3" x14ac:dyDescent="0.3">
      <c r="A609" s="6">
        <f>2*PI()*607/(DesignSheet!C9-1)</f>
        <v>10.59414855960558</v>
      </c>
      <c r="B609" s="6">
        <f>(DesignSheet!C11*DesignSheet!C13)*COS((A609+DesignSheet!C16)) + (DesignSheet!C7)*COS((DesignSheet!C11+1)*(A609+DesignSheet!C16)) - (DesignSheet!C6/2)*COS(ATAN( SIN(DesignSheet!C11*(A609+DesignSheet!C16)) / ( COS(DesignSheet!C11*(A609+DesignSheet!C16)) + (DesignSheet!C11*DesignSheet!C13)/(DesignSheet!C7*(DesignSheet!C11+1)) ) )+(A609+DesignSheet!C16))</f>
        <v>-0.66791981237228548</v>
      </c>
      <c r="C609" s="6">
        <f>(DesignSheet!C11*DesignSheet!C13)*SIN((A609+DesignSheet!C16)) + (DesignSheet!C7)*SIN((DesignSheet!C11+1)*(A609+DesignSheet!C16)) - (DesignSheet!C6/2)*SIN(ATAN( SIN(DesignSheet!C11*(A609+DesignSheet!C16)) / ( COS(DesignSheet!C11*(A609+DesignSheet!C16)) + (DesignSheet!C11*DesignSheet!C13)/(DesignSheet!C7*(DesignSheet!C11+1)) ) )+(A609+DesignSheet!C16))</f>
        <v>0.34114970942472006</v>
      </c>
    </row>
    <row r="610" spans="1:3" x14ac:dyDescent="0.3">
      <c r="A610" s="6">
        <f>2*PI()*608/(DesignSheet!C9-1)</f>
        <v>10.611601852125522</v>
      </c>
      <c r="B610" s="6">
        <f>(DesignSheet!C11*DesignSheet!C13)*COS((A610+DesignSheet!C16)) + (DesignSheet!C7)*COS((DesignSheet!C11+1)*(A610+DesignSheet!C16)) - (DesignSheet!C6/2)*COS(ATAN( SIN(DesignSheet!C11*(A610+DesignSheet!C16)) / ( COS(DesignSheet!C11*(A610+DesignSheet!C16)) + (DesignSheet!C11*DesignSheet!C13)/(DesignSheet!C7*(DesignSheet!C11+1)) ) )+(A610+DesignSheet!C16))</f>
        <v>-0.67377196833455999</v>
      </c>
      <c r="C610" s="6">
        <f>(DesignSheet!C11*DesignSheet!C13)*SIN((A610+DesignSheet!C16)) + (DesignSheet!C7)*SIN((DesignSheet!C11+1)*(A610+DesignSheet!C16)) - (DesignSheet!C6/2)*SIN(ATAN( SIN(DesignSheet!C11*(A610+DesignSheet!C16)) / ( COS(DesignSheet!C11*(A610+DesignSheet!C16)) + (DesignSheet!C11*DesignSheet!C13)/(DesignSheet!C7*(DesignSheet!C11+1)) ) )+(A610+DesignSheet!C16))</f>
        <v>0.3294409426385444</v>
      </c>
    </row>
    <row r="611" spans="1:3" x14ac:dyDescent="0.3">
      <c r="A611" s="6">
        <f>2*PI()*609/(DesignSheet!C9-1)</f>
        <v>10.629055144645466</v>
      </c>
      <c r="B611" s="6">
        <f>(DesignSheet!C11*DesignSheet!C13)*COS((A611+DesignSheet!C16)) + (DesignSheet!C7)*COS((DesignSheet!C11+1)*(A611+DesignSheet!C16)) - (DesignSheet!C6/2)*COS(ATAN( SIN(DesignSheet!C11*(A611+DesignSheet!C16)) / ( COS(DesignSheet!C11*(A611+DesignSheet!C16)) + (DesignSheet!C11*DesignSheet!C13)/(DesignSheet!C7*(DesignSheet!C11+1)) ) )+(A611+DesignSheet!C16))</f>
        <v>-0.67941888682830476</v>
      </c>
      <c r="C611" s="6">
        <f>(DesignSheet!C11*DesignSheet!C13)*SIN((A611+DesignSheet!C16)) + (DesignSheet!C7)*SIN((DesignSheet!C11+1)*(A611+DesignSheet!C16)) - (DesignSheet!C6/2)*SIN(ATAN( SIN(DesignSheet!C11*(A611+DesignSheet!C16)) / ( COS(DesignSheet!C11*(A611+DesignSheet!C16)) + (DesignSheet!C11*DesignSheet!C13)/(DesignSheet!C7*(DesignSheet!C11+1)) ) )+(A611+DesignSheet!C16))</f>
        <v>0.3176318249498738</v>
      </c>
    </row>
    <row r="612" spans="1:3" x14ac:dyDescent="0.3">
      <c r="A612" s="6">
        <f>2*PI()*610/(DesignSheet!C9-1)</f>
        <v>10.64650843716541</v>
      </c>
      <c r="B612" s="6">
        <f>(DesignSheet!C11*DesignSheet!C13)*COS((A612+DesignSheet!C16)) + (DesignSheet!C7)*COS((DesignSheet!C11+1)*(A612+DesignSheet!C16)) - (DesignSheet!C6/2)*COS(ATAN( SIN(DesignSheet!C11*(A612+DesignSheet!C16)) / ( COS(DesignSheet!C11*(A612+DesignSheet!C16)) + (DesignSheet!C11*DesignSheet!C13)/(DesignSheet!C7*(DesignSheet!C11+1)) ) )+(A612+DesignSheet!C16))</f>
        <v>-0.68485884774744299</v>
      </c>
      <c r="C612" s="6">
        <f>(DesignSheet!C11*DesignSheet!C13)*SIN((A612+DesignSheet!C16)) + (DesignSheet!C7)*SIN((DesignSheet!C11+1)*(A612+DesignSheet!C16)) - (DesignSheet!C6/2)*SIN(ATAN( SIN(DesignSheet!C11*(A612+DesignSheet!C16)) / ( COS(DesignSheet!C11*(A612+DesignSheet!C16)) + (DesignSheet!C11*DesignSheet!C13)/(DesignSheet!C7*(DesignSheet!C11+1)) ) )+(A612+DesignSheet!C16))</f>
        <v>0.30572595353035487</v>
      </c>
    </row>
    <row r="613" spans="1:3" x14ac:dyDescent="0.3">
      <c r="A613" s="6">
        <f>2*PI()*611/(DesignSheet!C9-1)</f>
        <v>10.663961729685353</v>
      </c>
      <c r="B613" s="6">
        <f>(DesignSheet!C11*DesignSheet!C13)*COS((A613+DesignSheet!C16)) + (DesignSheet!C7)*COS((DesignSheet!C11+1)*(A613+DesignSheet!C16)) - (DesignSheet!C6/2)*COS(ATAN( SIN(DesignSheet!C11*(A613+DesignSheet!C16)) / ( COS(DesignSheet!C11*(A613+DesignSheet!C16)) + (DesignSheet!C11*DesignSheet!C13)/(DesignSheet!C7*(DesignSheet!C11+1)) ) )+(A613+DesignSheet!C16))</f>
        <v>-0.69009019402718019</v>
      </c>
      <c r="C613" s="6">
        <f>(DesignSheet!C11*DesignSheet!C13)*SIN((A613+DesignSheet!C16)) + (DesignSheet!C7)*SIN((DesignSheet!C11+1)*(A613+DesignSheet!C16)) - (DesignSheet!C6/2)*SIN(ATAN( SIN(DesignSheet!C11*(A613+DesignSheet!C16)) / ( COS(DesignSheet!C11*(A613+DesignSheet!C16)) + (DesignSheet!C11*DesignSheet!C13)/(DesignSheet!C7*(DesignSheet!C11+1)) ) )+(A613+DesignSheet!C16))</f>
        <v>0.29372695502375795</v>
      </c>
    </row>
    <row r="614" spans="1:3" x14ac:dyDescent="0.3">
      <c r="A614" s="6">
        <f>2*PI()*612/(DesignSheet!C9-1)</f>
        <v>10.681415022205297</v>
      </c>
      <c r="B614" s="6">
        <f>(DesignSheet!C11*DesignSheet!C13)*COS((A614+DesignSheet!C16)) + (DesignSheet!C7)*COS((DesignSheet!C11+1)*(A614+DesignSheet!C16)) - (DesignSheet!C6/2)*COS(ATAN( SIN(DesignSheet!C11*(A614+DesignSheet!C16)) / ( COS(DesignSheet!C11*(A614+DesignSheet!C16)) + (DesignSheet!C11*DesignSheet!C13)/(DesignSheet!C7*(DesignSheet!C11+1)) ) )+(A614+DesignSheet!C16))</f>
        <v>-0.69511133214876353</v>
      </c>
      <c r="C614" s="6">
        <f>(DesignSheet!C11*DesignSheet!C13)*SIN((A614+DesignSheet!C16)) + (DesignSheet!C7)*SIN((DesignSheet!C11+1)*(A614+DesignSheet!C16)) - (DesignSheet!C6/2)*SIN(ATAN( SIN(DesignSheet!C11*(A614+DesignSheet!C16)) / ( COS(DesignSheet!C11*(A614+DesignSheet!C16)) + (DesignSheet!C11*DesignSheet!C13)/(DesignSheet!C7*(DesignSheet!C11+1)) ) )+(A614+DesignSheet!C16))</f>
        <v>0.28163848444126277</v>
      </c>
    </row>
    <row r="615" spans="1:3" x14ac:dyDescent="0.3">
      <c r="A615" s="6">
        <f>2*PI()*613/(DesignSheet!C9-1)</f>
        <v>10.698868314725239</v>
      </c>
      <c r="B615" s="6">
        <f>(DesignSheet!C11*DesignSheet!C13)*COS((A615+DesignSheet!C16)) + (DesignSheet!C7)*COS((DesignSheet!C11+1)*(A615+DesignSheet!C16)) - (DesignSheet!C6/2)*COS(ATAN( SIN(DesignSheet!C11*(A615+DesignSheet!C16)) / ( COS(DesignSheet!C11*(A615+DesignSheet!C16)) + (DesignSheet!C11*DesignSheet!C13)/(DesignSheet!C7*(DesignSheet!C11+1)) ) )+(A615+DesignSheet!C16))</f>
        <v>-0.69992073262487908</v>
      </c>
      <c r="C615" s="6">
        <f>(DesignSheet!C11*DesignSheet!C13)*SIN((A615+DesignSheet!C16)) + (DesignSheet!C7)*SIN((DesignSheet!C11+1)*(A615+DesignSheet!C16)) - (DesignSheet!C6/2)*SIN(ATAN( SIN(DesignSheet!C11*(A615+DesignSheet!C16)) / ( COS(DesignSheet!C11*(A615+DesignSheet!C16)) + (DesignSheet!C11*DesignSheet!C13)/(DesignSheet!C7*(DesignSheet!C11+1)) ) )+(A615+DesignSheet!C16))</f>
        <v>0.26946422404811465</v>
      </c>
    </row>
    <row r="616" spans="1:3" x14ac:dyDescent="0.3">
      <c r="A616" s="6">
        <f>2*PI()*614/(DesignSheet!C9-1)</f>
        <v>10.716321607245183</v>
      </c>
      <c r="B616" s="6">
        <f>(DesignSheet!C11*DesignSheet!C13)*COS((A616+DesignSheet!C16)) + (DesignSheet!C7)*COS((DesignSheet!C11+1)*(A616+DesignSheet!C16)) - (DesignSheet!C6/2)*COS(ATAN( SIN(DesignSheet!C11*(A616+DesignSheet!C16)) / ( COS(DesignSheet!C11*(A616+DesignSheet!C16)) + (DesignSheet!C11*DesignSheet!C13)/(DesignSheet!C7*(DesignSheet!C11+1)) ) )+(A616+DesignSheet!C16))</f>
        <v>-0.70451693046555319</v>
      </c>
      <c r="C616" s="6">
        <f>(DesignSheet!C11*DesignSheet!C13)*SIN((A616+DesignSheet!C16)) + (DesignSheet!C7)*SIN((DesignSheet!C11+1)*(A616+DesignSheet!C16)) - (DesignSheet!C6/2)*SIN(ATAN( SIN(DesignSheet!C11*(A616+DesignSheet!C16)) / ( COS(DesignSheet!C11*(A616+DesignSheet!C16)) + (DesignSheet!C11*DesignSheet!C13)/(DesignSheet!C7*(DesignSheet!C11+1)) ) )+(A616+DesignSheet!C16))</f>
        <v>0.25720788224196173</v>
      </c>
    </row>
    <row r="617" spans="1:3" x14ac:dyDescent="0.3">
      <c r="A617" s="6">
        <f>2*PI()*615/(DesignSheet!C9-1)</f>
        <v>10.733774899765127</v>
      </c>
      <c r="B617" s="6">
        <f>(DesignSheet!C11*DesignSheet!C13)*COS((A617+DesignSheet!C16)) + (DesignSheet!C7)*COS((DesignSheet!C11+1)*(A617+DesignSheet!C16)) - (DesignSheet!C6/2)*COS(ATAN( SIN(DesignSheet!C11*(A617+DesignSheet!C16)) / ( COS(DesignSheet!C11*(A617+DesignSheet!C16)) + (DesignSheet!C11*DesignSheet!C13)/(DesignSheet!C7*(DesignSheet!C11+1)) ) )+(A617+DesignSheet!C16))</f>
        <v>-0.7088985256243987</v>
      </c>
      <c r="C617" s="6">
        <f>(DesignSheet!C11*DesignSheet!C13)*SIN((A617+DesignSheet!C16)) + (DesignSheet!C7)*SIN((DesignSheet!C11+1)*(A617+DesignSheet!C16)) - (DesignSheet!C6/2)*SIN(ATAN( SIN(DesignSheet!C11*(A617+DesignSheet!C16)) / ( COS(DesignSheet!C11*(A617+DesignSheet!C16)) + (DesignSheet!C11*DesignSheet!C13)/(DesignSheet!C7*(DesignSheet!C11+1)) ) )+(A617+DesignSheet!C16))</f>
        <v>0.24487319242324923</v>
      </c>
    </row>
    <row r="618" spans="1:3" x14ac:dyDescent="0.3">
      <c r="A618" s="6">
        <f>2*PI()*616/(DesignSheet!C9-1)</f>
        <v>10.751228192285071</v>
      </c>
      <c r="B618" s="6">
        <f>(DesignSheet!C11*DesignSheet!C13)*COS((A618+DesignSheet!C16)) + (DesignSheet!C7)*COS((DesignSheet!C11+1)*(A618+DesignSheet!C16)) - (DesignSheet!C6/2)*COS(ATAN( SIN(DesignSheet!C11*(A618+DesignSheet!C16)) / ( COS(DesignSheet!C11*(A618+DesignSheet!C16)) + (DesignSheet!C11*DesignSheet!C13)/(DesignSheet!C7*(DesignSheet!C11+1)) ) )+(A618+DesignSheet!C16))</f>
        <v>-0.71306418342508493</v>
      </c>
      <c r="C618" s="6">
        <f>(DesignSheet!C11*DesignSheet!C13)*SIN((A618+DesignSheet!C16)) + (DesignSheet!C7)*SIN((DesignSheet!C11+1)*(A618+DesignSheet!C16)) - (DesignSheet!C6/2)*SIN(ATAN( SIN(DesignSheet!C11*(A618+DesignSheet!C16)) / ( COS(DesignSheet!C11*(A618+DesignSheet!C16)) + (DesignSheet!C11*DesignSheet!C13)/(DesignSheet!C7*(DesignSheet!C11+1)) ) )+(A618+DesignSheet!C16))</f>
        <v>0.23246391185798465</v>
      </c>
    </row>
    <row r="619" spans="1:3" x14ac:dyDescent="0.3">
      <c r="A619" s="6">
        <f>2*PI()*617/(DesignSheet!C9-1)</f>
        <v>10.768681484805013</v>
      </c>
      <c r="B619" s="6">
        <f>(DesignSheet!C11*DesignSheet!C13)*COS((A619+DesignSheet!C16)) + (DesignSheet!C7)*COS((DesignSheet!C11+1)*(A619+DesignSheet!C16)) - (DesignSheet!C6/2)*COS(ATAN( SIN(DesignSheet!C11*(A619+DesignSheet!C16)) / ( COS(DesignSheet!C11*(A619+DesignSheet!C16)) + (DesignSheet!C11*DesignSheet!C13)/(DesignSheet!C7*(DesignSheet!C11+1)) ) )+(A619+DesignSheet!C16))</f>
        <v>-0.71701263496789147</v>
      </c>
      <c r="C619" s="6">
        <f>(DesignSheet!C11*DesignSheet!C13)*SIN((A619+DesignSheet!C16)) + (DesignSheet!C7)*SIN((DesignSheet!C11+1)*(A619+DesignSheet!C16)) - (DesignSheet!C6/2)*SIN(ATAN( SIN(DesignSheet!C11*(A619+DesignSheet!C16)) / ( COS(DesignSheet!C11*(A619+DesignSheet!C16)) + (DesignSheet!C11*DesignSheet!C13)/(DesignSheet!C7*(DesignSheet!C11+1)) ) )+(A619+DesignSheet!C16))</f>
        <v>0.21998382053324098</v>
      </c>
    </row>
    <row r="620" spans="1:3" x14ac:dyDescent="0.3">
      <c r="A620" s="6">
        <f>2*PI()*618/(DesignSheet!C9-1)</f>
        <v>10.786134777324957</v>
      </c>
      <c r="B620" s="6">
        <f>(DesignSheet!C11*DesignSheet!C13)*COS((A620+DesignSheet!C16)) + (DesignSheet!C7)*COS((DesignSheet!C11+1)*(A620+DesignSheet!C16)) - (DesignSheet!C6/2)*COS(ATAN( SIN(DesignSheet!C11*(A620+DesignSheet!C16)) / ( COS(DesignSheet!C11*(A620+DesignSheet!C16)) + (DesignSheet!C11*DesignSheet!C13)/(DesignSheet!C7*(DesignSheet!C11+1)) ) )+(A620+DesignSheet!C16))</f>
        <v>-0.72074267751622989</v>
      </c>
      <c r="C620" s="6">
        <f>(DesignSheet!C11*DesignSheet!C13)*SIN((A620+DesignSheet!C16)) + (DesignSheet!C7)*SIN((DesignSheet!C11+1)*(A620+DesignSheet!C16)) - (DesignSheet!C6/2)*SIN(ATAN( SIN(DesignSheet!C11*(A620+DesignSheet!C16)) / ( COS(DesignSheet!C11*(A620+DesignSheet!C16)) + (DesignSheet!C11*DesignSheet!C13)/(DesignSheet!C7*(DesignSheet!C11+1)) ) )+(A620+DesignSheet!C16))</f>
        <v>0.20743672000573046</v>
      </c>
    </row>
    <row r="621" spans="1:3" x14ac:dyDescent="0.3">
      <c r="A621" s="6">
        <f>2*PI()*619/(DesignSheet!C9-1)</f>
        <v>10.803588069844901</v>
      </c>
      <c r="B621" s="6">
        <f>(DesignSheet!C11*DesignSheet!C13)*COS((A621+DesignSheet!C16)) + (DesignSheet!C7)*COS((DesignSheet!C11+1)*(A621+DesignSheet!C16)) - (DesignSheet!C6/2)*COS(ATAN( SIN(DesignSheet!C11*(A621+DesignSheet!C16)) / ( COS(DesignSheet!C11*(A621+DesignSheet!C16)) + (DesignSheet!C11*DesignSheet!C13)/(DesignSheet!C7*(DesignSheet!C11+1)) ) )+(A621+DesignSheet!C16))</f>
        <v>-0.72425317486300578</v>
      </c>
      <c r="C621" s="6">
        <f>(DesignSheet!C11*DesignSheet!C13)*SIN((A621+DesignSheet!C16)) + (DesignSheet!C7)*SIN((DesignSheet!C11+1)*(A621+DesignSheet!C16)) - (DesignSheet!C6/2)*SIN(ATAN( SIN(DesignSheet!C11*(A621+DesignSheet!C16)) / ( COS(DesignSheet!C11*(A621+DesignSheet!C16)) + (DesignSheet!C11*DesignSheet!C13)/(DesignSheet!C7*(DesignSheet!C11+1)) ) )+(A621+DesignSheet!C16))</f>
        <v>0.19482643224382157</v>
      </c>
    </row>
    <row r="622" spans="1:3" x14ac:dyDescent="0.3">
      <c r="A622" s="6">
        <f>2*PI()*620/(DesignSheet!C9-1)</f>
        <v>10.821041362364843</v>
      </c>
      <c r="B622" s="6">
        <f>(DesignSheet!C11*DesignSheet!C13)*COS((A622+DesignSheet!C16)) + (DesignSheet!C7)*COS((DesignSheet!C11+1)*(A622+DesignSheet!C16)) - (DesignSheet!C6/2)*COS(ATAN( SIN(DesignSheet!C11*(A622+DesignSheet!C16)) / ( COS(DesignSheet!C11*(A622+DesignSheet!C16)) + (DesignSheet!C11*DesignSheet!C13)/(DesignSheet!C7*(DesignSheet!C11+1)) ) )+(A622+DesignSheet!C16))</f>
        <v>-0.72754305767672001</v>
      </c>
      <c r="C622" s="6">
        <f>(DesignSheet!C11*DesignSheet!C13)*SIN((A622+DesignSheet!C16)) + (DesignSheet!C7)*SIN((DesignSheet!C11+1)*(A622+DesignSheet!C16)) - (DesignSheet!C6/2)*SIN(ATAN( SIN(DesignSheet!C11*(A622+DesignSheet!C16)) / ( COS(DesignSheet!C11*(A622+DesignSheet!C16)) + (DesignSheet!C11*DesignSheet!C13)/(DesignSheet!C7*(DesignSheet!C11+1)) ) )+(A622+DesignSheet!C16))</f>
        <v>0.18215679846332647</v>
      </c>
    </row>
    <row r="623" spans="1:3" x14ac:dyDescent="0.3">
      <c r="A623" s="6">
        <f>2*PI()*621/(DesignSheet!C9-1)</f>
        <v>10.838494654884787</v>
      </c>
      <c r="B623" s="6">
        <f>(DesignSheet!C11*DesignSheet!C13)*COS((A623+DesignSheet!C16)) + (DesignSheet!C7)*COS((DesignSheet!C11+1)*(A623+DesignSheet!C16)) - (DesignSheet!C6/2)*COS(ATAN( SIN(DesignSheet!C11*(A623+DesignSheet!C16)) / ( COS(DesignSheet!C11*(A623+DesignSheet!C16)) + (DesignSheet!C11*DesignSheet!C13)/(DesignSheet!C7*(DesignSheet!C11+1)) ) )+(A623+DesignSheet!C16))</f>
        <v>-0.73061132382719829</v>
      </c>
      <c r="C623" s="6">
        <f>(DesignSheet!C11*DesignSheet!C13)*SIN((A623+DesignSheet!C16)) + (DesignSheet!C7)*SIN((DesignSheet!C11+1)*(A623+DesignSheet!C16)) - (DesignSheet!C6/2)*SIN(ATAN( SIN(DesignSheet!C11*(A623+DesignSheet!C16)) / ( COS(DesignSheet!C11*(A623+DesignSheet!C16)) + (DesignSheet!C11*DesignSheet!C13)/(DesignSheet!C7*(DesignSheet!C11+1)) ) )+(A623+DesignSheet!C16))</f>
        <v>0.16943167795742561</v>
      </c>
    </row>
    <row r="624" spans="1:3" x14ac:dyDescent="0.3">
      <c r="A624" s="6">
        <f>2*PI()*622/(DesignSheet!C9-1)</f>
        <v>10.855947947404729</v>
      </c>
      <c r="B624" s="6">
        <f>(DesignSheet!C11*DesignSheet!C13)*COS((A624+DesignSheet!C16)) + (DesignSheet!C7)*COS((DesignSheet!C11+1)*(A624+DesignSheet!C16)) - (DesignSheet!C6/2)*COS(ATAN( SIN(DesignSheet!C11*(A624+DesignSheet!C16)) / ( COS(DesignSheet!C11*(A624+DesignSheet!C16)) + (DesignSheet!C11*DesignSheet!C13)/(DesignSheet!C7*(DesignSheet!C11+1)) ) )+(A624+DesignSheet!C16))</f>
        <v>-0.73345703869084777</v>
      </c>
      <c r="C624" s="6">
        <f>(DesignSheet!C11*DesignSheet!C13)*SIN((A624+DesignSheet!C16)) + (DesignSheet!C7)*SIN((DesignSheet!C11+1)*(A624+DesignSheet!C16)) - (DesignSheet!C6/2)*SIN(ATAN( SIN(DesignSheet!C11*(A624+DesignSheet!C16)) / ( COS(DesignSheet!C11*(A624+DesignSheet!C16)) + (DesignSheet!C11*DesignSheet!C13)/(DesignSheet!C7*(DesignSheet!C11+1)) ) )+(A624+DesignSheet!C16))</f>
        <v>0.15665494692109871</v>
      </c>
    </row>
    <row r="625" spans="1:3" x14ac:dyDescent="0.3">
      <c r="A625" s="6">
        <f>2*PI()*623/(DesignSheet!C9-1)</f>
        <v>10.873401239924673</v>
      </c>
      <c r="B625" s="6">
        <f>(DesignSheet!C11*DesignSheet!C13)*COS((A625+DesignSheet!C16)) + (DesignSheet!C7)*COS((DesignSheet!C11+1)*(A625+DesignSheet!C16)) - (DesignSheet!C6/2)*COS(ATAN( SIN(DesignSheet!C11*(A625+DesignSheet!C16)) / ( COS(DesignSheet!C11*(A625+DesignSheet!C16)) + (DesignSheet!C11*DesignSheet!C13)/(DesignSheet!C7*(DesignSheet!C11+1)) ) )+(A625+DesignSheet!C16))</f>
        <v>-0.73607933543535442</v>
      </c>
      <c r="C625" s="6">
        <f>(DesignSheet!C11*DesignSheet!C13)*SIN((A625+DesignSheet!C16)) + (DesignSheet!C7)*SIN((DesignSheet!C11+1)*(A625+DesignSheet!C16)) - (DesignSheet!C6/2)*SIN(ATAN( SIN(DesignSheet!C11*(A625+DesignSheet!C16)) / ( COS(DesignSheet!C11*(A625+DesignSheet!C16)) + (DesignSheet!C11*DesignSheet!C13)/(DesignSheet!C7*(DesignSheet!C11+1)) ) )+(A625+DesignSheet!C16))</f>
        <v>0.1438304972703878</v>
      </c>
    </row>
    <row r="626" spans="1:3" x14ac:dyDescent="0.3">
      <c r="A626" s="6">
        <f>2*PI()*624/(DesignSheet!C9-1)</f>
        <v>10.890854532444616</v>
      </c>
      <c r="B626" s="6">
        <f>(DesignSheet!C11*DesignSheet!C13)*COS((A626+DesignSheet!C16)) + (DesignSheet!C7)*COS((DesignSheet!C11+1)*(A626+DesignSheet!C16)) - (DesignSheet!C6/2)*COS(ATAN( SIN(DesignSheet!C11*(A626+DesignSheet!C16)) / ( COS(DesignSheet!C11*(A626+DesignSheet!C16)) + (DesignSheet!C11*DesignSheet!C13)/(DesignSheet!C7*(DesignSheet!C11+1)) ) )+(A626+DesignSheet!C16))</f>
        <v>-0.73847741528372657</v>
      </c>
      <c r="C626" s="6">
        <f>(DesignSheet!C11*DesignSheet!C13)*SIN((A626+DesignSheet!C16)) + (DesignSheet!C7)*SIN((DesignSheet!C11+1)*(A626+DesignSheet!C16)) - (DesignSheet!C6/2)*SIN(ATAN( SIN(DesignSheet!C11*(A626+DesignSheet!C16)) / ( COS(DesignSheet!C11*(A626+DesignSheet!C16)) + (DesignSheet!C11*DesignSheet!C13)/(DesignSheet!C7*(DesignSheet!C11+1)) ) )+(A626+DesignSheet!C16))</f>
        <v>0.13096223545689231</v>
      </c>
    </row>
    <row r="627" spans="1:3" x14ac:dyDescent="0.3">
      <c r="A627" s="6">
        <f>2*PI()*625/(DesignSheet!C9-1)</f>
        <v>10.90830782496456</v>
      </c>
      <c r="B627" s="6">
        <f>(DesignSheet!C11*DesignSheet!C13)*COS((A627+DesignSheet!C16)) + (DesignSheet!C7)*COS((DesignSheet!C11+1)*(A627+DesignSheet!C16)) - (DesignSheet!C6/2)*COS(ATAN( SIN(DesignSheet!C11*(A627+DesignSheet!C16)) / ( COS(DesignSheet!C11*(A627+DesignSheet!C16)) + (DesignSheet!C11*DesignSheet!C13)/(DesignSheet!C7*(DesignSheet!C11+1)) ) )+(A627+DesignSheet!C16))</f>
        <v>-0.74065054775761219</v>
      </c>
      <c r="C627" s="6">
        <f>(DesignSheet!C11*DesignSheet!C13)*SIN((A627+DesignSheet!C16)) + (DesignSheet!C7)*SIN((DesignSheet!C11+1)*(A627+DesignSheet!C16)) - (DesignSheet!C6/2)*SIN(ATAN( SIN(DesignSheet!C11*(A627+DesignSheet!C16)) / ( COS(DesignSheet!C11*(A627+DesignSheet!C16)) + (DesignSheet!C11*DesignSheet!C13)/(DesignSheet!C7*(DesignSheet!C11+1)) ) )+(A627+DesignSheet!C16))</f>
        <v>0.11805408127781569</v>
      </c>
    </row>
    <row r="628" spans="1:3" x14ac:dyDescent="0.3">
      <c r="A628" s="6">
        <f>2*PI()*626/(DesignSheet!C9-1)</f>
        <v>10.925761117484502</v>
      </c>
      <c r="B628" s="6">
        <f>(DesignSheet!C11*DesignSheet!C13)*COS((A628+DesignSheet!C16)) + (DesignSheet!C7)*COS((DesignSheet!C11+1)*(A628+DesignSheet!C16)) - (DesignSheet!C6/2)*COS(ATAN( SIN(DesignSheet!C11*(A628+DesignSheet!C16)) / ( COS(DesignSheet!C11*(A628+DesignSheet!C16)) + (DesignSheet!C11*DesignSheet!C13)/(DesignSheet!C7*(DesignSheet!C11+1)) ) )+(A628+DesignSheet!C16))</f>
        <v>-0.74259807089980756</v>
      </c>
      <c r="C628" s="6">
        <f>(DesignSheet!C11*DesignSheet!C13)*SIN((A628+DesignSheet!C16)) + (DesignSheet!C7)*SIN((DesignSheet!C11+1)*(A628+DesignSheet!C16)) - (DesignSheet!C6/2)*SIN(ATAN( SIN(DesignSheet!C11*(A628+DesignSheet!C16)) / ( COS(DesignSheet!C11*(A628+DesignSheet!C16)) + (DesignSheet!C11*DesignSheet!C13)/(DesignSheet!C7*(DesignSheet!C11+1)) ) )+(A628+DesignSheet!C16))</f>
        <v>0.10510996668196759</v>
      </c>
    </row>
    <row r="629" spans="1:3" x14ac:dyDescent="0.3">
      <c r="A629" s="6">
        <f>2*PI()*627/(DesignSheet!C9-1)</f>
        <v>10.943214410004446</v>
      </c>
      <c r="B629" s="6">
        <f>(DesignSheet!C11*DesignSheet!C13)*COS((A629+DesignSheet!C16)) + (DesignSheet!C7)*COS((DesignSheet!C11+1)*(A629+DesignSheet!C16)) - (DesignSheet!C6/2)*COS(ATAN( SIN(DesignSheet!C11*(A629+DesignSheet!C16)) / ( COS(DesignSheet!C11*(A629+DesignSheet!C16)) + (DesignSheet!C11*DesignSheet!C13)/(DesignSheet!C7*(DesignSheet!C11+1)) ) )+(A629+DesignSheet!C16))</f>
        <v>-0.7443193914758981</v>
      </c>
      <c r="C629" s="6">
        <f>(DesignSheet!C11*DesignSheet!C13)*SIN((A629+DesignSheet!C16)) + (DesignSheet!C7)*SIN((DesignSheet!C11+1)*(A629+DesignSheet!C16)) - (DesignSheet!C6/2)*SIN(ATAN( SIN(DesignSheet!C11*(A629+DesignSheet!C16)) / ( COS(DesignSheet!C11*(A629+DesignSheet!C16)) + (DesignSheet!C11*DesignSheet!C13)/(DesignSheet!C7*(DesignSheet!C11+1)) ) )+(A629+DesignSheet!C16))</f>
        <v>9.213383457204373E-2</v>
      </c>
    </row>
    <row r="630" spans="1:3" x14ac:dyDescent="0.3">
      <c r="A630" s="6">
        <f>2*PI()*628/(DesignSheet!C9-1)</f>
        <v>10.960667702524388</v>
      </c>
      <c r="B630" s="6">
        <f>(DesignSheet!C11*DesignSheet!C13)*COS((A630+DesignSheet!C16)) + (DesignSheet!C7)*COS((DesignSheet!C11+1)*(A630+DesignSheet!C16)) - (DesignSheet!C6/2)*COS(ATAN( SIN(DesignSheet!C11*(A630+DesignSheet!C16)) / ( COS(DesignSheet!C11*(A630+DesignSheet!C16)) + (DesignSheet!C11*DesignSheet!C13)/(DesignSheet!C7*(DesignSheet!C11+1)) ) )+(A630+DesignSheet!C16))</f>
        <v>-0.745813985154961</v>
      </c>
      <c r="C630" s="6">
        <f>(DesignSheet!C11*DesignSheet!C13)*SIN((A630+DesignSheet!C16)) + (DesignSheet!C7)*SIN((DesignSheet!C11+1)*(A630+DesignSheet!C16)) - (DesignSheet!C6/2)*SIN(ATAN( SIN(DesignSheet!C11*(A630+DesignSheet!C16)) / ( COS(DesignSheet!C11*(A630+DesignSheet!C16)) + (DesignSheet!C11*DesignSheet!C13)/(DesignSheet!C7*(DesignSheet!C11+1)) ) )+(A630+DesignSheet!C16))</f>
        <v>7.9129637603590069E-2</v>
      </c>
    </row>
    <row r="631" spans="1:3" x14ac:dyDescent="0.3">
      <c r="A631" s="6">
        <f>2*PI()*629/(DesignSheet!C9-1)</f>
        <v>10.978120995044332</v>
      </c>
      <c r="B631" s="6">
        <f>(DesignSheet!C11*DesignSheet!C13)*COS((A631+DesignSheet!C16)) + (DesignSheet!C7)*COS((DesignSheet!C11+1)*(A631+DesignSheet!C16)) - (DesignSheet!C6/2)*COS(ATAN( SIN(DesignSheet!C11*(A631+DesignSheet!C16)) / ( COS(DesignSheet!C11*(A631+DesignSheet!C16)) + (DesignSheet!C11*DesignSheet!C13)/(DesignSheet!C7*(DesignSheet!C11+1)) ) )+(A631+DesignSheet!C16))</f>
        <v>-0.74708139666928364</v>
      </c>
      <c r="C631" s="6">
        <f>(DesignSheet!C11*DesignSheet!C13)*SIN((A631+DesignSheet!C16)) + (DesignSheet!C7)*SIN((DesignSheet!C11+1)*(A631+DesignSheet!C16)) - (DesignSheet!C6/2)*SIN(ATAN( SIN(DesignSheet!C11*(A631+DesignSheet!C16)) / ( COS(DesignSheet!C11*(A631+DesignSheet!C16)) + (DesignSheet!C11*DesignSheet!C13)/(DesignSheet!C7*(DesignSheet!C11+1)) ) )+(A631+DesignSheet!C16))</f>
        <v>6.6101336980975006E-2</v>
      </c>
    </row>
    <row r="632" spans="1:3" x14ac:dyDescent="0.3">
      <c r="A632" s="6">
        <f>2*PI()*630/(DesignSheet!C9-1)</f>
        <v>10.995574287564276</v>
      </c>
      <c r="B632" s="6">
        <f>(DesignSheet!C11*DesignSheet!C13)*COS((A632+DesignSheet!C16)) + (DesignSheet!C7)*COS((DesignSheet!C11+1)*(A632+DesignSheet!C16)) - (DesignSheet!C6/2)*COS(ATAN( SIN(DesignSheet!C11*(A632+DesignSheet!C16)) / ( COS(DesignSheet!C11*(A632+DesignSheet!C16)) + (DesignSheet!C11*DesignSheet!C13)/(DesignSheet!C7*(DesignSheet!C11+1)) ) )+(A632+DesignSheet!C16))</f>
        <v>-0.74812123995304081</v>
      </c>
      <c r="C632" s="6">
        <f>(DesignSheet!C11*DesignSheet!C13)*SIN((A632+DesignSheet!C16)) + (DesignSheet!C7)*SIN((DesignSheet!C11+1)*(A632+DesignSheet!C16)) - (DesignSheet!C6/2)*SIN(ATAN( SIN(DesignSheet!C11*(A632+DesignSheet!C16)) / ( COS(DesignSheet!C11*(A632+DesignSheet!C16)) + (DesignSheet!C11*DesignSheet!C13)/(DesignSheet!C7*(DesignSheet!C11+1)) ) )+(A632+DesignSheet!C16))</f>
        <v>5.3052901250777502E-2</v>
      </c>
    </row>
    <row r="633" spans="1:3" x14ac:dyDescent="0.3">
      <c r="A633" s="6">
        <f>2*PI()*631/(DesignSheet!C9-1)</f>
        <v>11.01302758008422</v>
      </c>
      <c r="B633" s="6">
        <f>(DesignSheet!C11*DesignSheet!C13)*COS((A633+DesignSheet!C16)) + (DesignSheet!C7)*COS((DesignSheet!C11+1)*(A633+DesignSheet!C16)) - (DesignSheet!C6/2)*COS(ATAN( SIN(DesignSheet!C11*(A633+DesignSheet!C16)) / ( COS(DesignSheet!C11*(A633+DesignSheet!C16)) + (DesignSheet!C11*DesignSheet!C13)/(DesignSheet!C7*(DesignSheet!C11+1)) ) )+(A633+DesignSheet!C16))</f>
        <v>-0.74893319825989502</v>
      </c>
      <c r="C633" s="6">
        <f>(DesignSheet!C11*DesignSheet!C13)*SIN((A633+DesignSheet!C16)) + (DesignSheet!C7)*SIN((DesignSheet!C11+1)*(A633+DesignSheet!C16)) - (DesignSheet!C6/2)*SIN(ATAN( SIN(DesignSheet!C11*(A633+DesignSheet!C16)) / ( COS(DesignSheet!C11*(A633+DesignSheet!C16)) + (DesignSheet!C11*DesignSheet!C13)/(DesignSheet!C7*(DesignSheet!C11+1)) ) )+(A633+DesignSheet!C16))</f>
        <v>3.9988305092924024E-2</v>
      </c>
    </row>
    <row r="634" spans="1:3" x14ac:dyDescent="0.3">
      <c r="A634" s="6">
        <f>2*PI()*632/(DesignSheet!C9-1)</f>
        <v>11.030480872604162</v>
      </c>
      <c r="B634" s="6">
        <f>(DesignSheet!C11*DesignSheet!C13)*COS((A634+DesignSheet!C16)) + (DesignSheet!C7)*COS((DesignSheet!C11+1)*(A634+DesignSheet!C16)) - (DesignSheet!C6/2)*COS(ATAN( SIN(DesignSheet!C11*(A634+DesignSheet!C16)) / ( COS(DesignSheet!C11*(A634+DesignSheet!C16)) + (DesignSheet!C11*DesignSheet!C13)/(DesignSheet!C7*(DesignSheet!C11+1)) ) )+(A634+DesignSheet!C16))</f>
        <v>-0.74951702425948041</v>
      </c>
      <c r="C634" s="6">
        <f>(DesignSheet!C11*DesignSheet!C13)*SIN((A634+DesignSheet!C16)) + (DesignSheet!C7)*SIN((DesignSheet!C11+1)*(A634+DesignSheet!C16)) - (DesignSheet!C6/2)*SIN(ATAN( SIN(DesignSheet!C11*(A634+DesignSheet!C16)) / ( COS(DesignSheet!C11*(A634+DesignSheet!C16)) + (DesignSheet!C11*DesignSheet!C13)/(DesignSheet!C7*(DesignSheet!C11+1)) ) )+(A634+DesignSheet!C16))</f>
        <v>2.6911528109965159E-2</v>
      </c>
    </row>
    <row r="635" spans="1:3" x14ac:dyDescent="0.3">
      <c r="A635" s="6">
        <f>2*PI()*633/(DesignSheet!C9-1)</f>
        <v>11.047934165124106</v>
      </c>
      <c r="B635" s="6">
        <f>(DesignSheet!C11*DesignSheet!C13)*COS((A635+DesignSheet!C16)) + (DesignSheet!C7)*COS((DesignSheet!C11+1)*(A635+DesignSheet!C16)) - (DesignSheet!C6/2)*COS(ATAN( SIN(DesignSheet!C11*(A635+DesignSheet!C16)) / ( COS(DesignSheet!C11*(A635+DesignSheet!C16)) + (DesignSheet!C11*DesignSheet!C13)/(DesignSheet!C7*(DesignSheet!C11+1)) ) )+(A635+DesignSheet!C16))</f>
        <v>-0.74987254011274196</v>
      </c>
      <c r="C635" s="6">
        <f>(DesignSheet!C11*DesignSheet!C13)*SIN((A635+DesignSheet!C16)) + (DesignSheet!C7)*SIN((DesignSheet!C11+1)*(A635+DesignSheet!C16)) - (DesignSheet!C6/2)*SIN(ATAN( SIN(DesignSheet!C11*(A635+DesignSheet!C16)) / ( COS(DesignSheet!C11*(A635+DesignSheet!C16)) + (DesignSheet!C11*DesignSheet!C13)/(DesignSheet!C7*(DesignSheet!C11+1)) ) )+(A635+DesignSheet!C16))</f>
        <v>1.382655361484484E-2</v>
      </c>
    </row>
    <row r="636" spans="1:3" x14ac:dyDescent="0.3">
      <c r="A636" s="6">
        <f>2*PI()*634/(DesignSheet!C9-1)</f>
        <v>11.06538745764405</v>
      </c>
      <c r="B636" s="6">
        <f>(DesignSheet!C11*DesignSheet!C13)*COS((A636+DesignSheet!C16)) + (DesignSheet!C7)*COS((DesignSheet!C11+1)*(A636+DesignSheet!C16)) - (DesignSheet!C6/2)*COS(ATAN( SIN(DesignSheet!C11*(A636+DesignSheet!C16)) / ( COS(DesignSheet!C11*(A636+DesignSheet!C16)) + (DesignSheet!C11*DesignSheet!C13)/(DesignSheet!C7*(DesignSheet!C11+1)) ) )+(A636+DesignSheet!C16))</f>
        <v>-0.74999963752610677</v>
      </c>
      <c r="C636" s="6">
        <f>(DesignSheet!C11*DesignSheet!C13)*SIN((A636+DesignSheet!C16)) + (DesignSheet!C7)*SIN((DesignSheet!C11+1)*(A636+DesignSheet!C16)) - (DesignSheet!C6/2)*SIN(ATAN( SIN(DesignSheet!C11*(A636+DesignSheet!C16)) / ( COS(DesignSheet!C11*(A636+DesignSheet!C16)) + (DesignSheet!C11*DesignSheet!C13)/(DesignSheet!C7*(DesignSheet!C11+1)) ) )+(A636+DesignSheet!C16))</f>
        <v>7.373674175526093E-4</v>
      </c>
    </row>
    <row r="637" spans="1:3" x14ac:dyDescent="0.3">
      <c r="A637" s="6">
        <f>2*PI()*635/(DesignSheet!C9-1)</f>
        <v>11.082840750163992</v>
      </c>
      <c r="B637" s="6">
        <f>(DesignSheet!C11*DesignSheet!C13)*COS((A637+DesignSheet!C16)) + (DesignSheet!C7)*COS((DesignSheet!C11+1)*(A637+DesignSheet!C16)) - (DesignSheet!C6/2)*COS(ATAN( SIN(DesignSheet!C11*(A637+DesignSheet!C16)) / ( COS(DesignSheet!C11*(A637+DesignSheet!C16)) + (DesignSheet!C11*DesignSheet!C13)/(DesignSheet!C7*(DesignSheet!C11+1)) ) )+(A637+DesignSheet!C16))</f>
        <v>-0.74989827778447149</v>
      </c>
      <c r="C637" s="6">
        <f>(DesignSheet!C11*DesignSheet!C13)*SIN((A637+DesignSheet!C16)) + (DesignSheet!C7)*SIN((DesignSheet!C11+1)*(A637+DesignSheet!C16)) - (DesignSheet!C6/2)*SIN(ATAN( SIN(DesignSheet!C11*(A637+DesignSheet!C16)) / ( COS(DesignSheet!C11*(A637+DesignSheet!C16)) + (DesignSheet!C11*DesignSheet!C13)/(DesignSheet!C7*(DesignSheet!C11+1)) ) )+(A637+DesignSheet!C16))</f>
        <v>-1.2352043388996715E-2</v>
      </c>
    </row>
    <row r="638" spans="1:3" x14ac:dyDescent="0.3">
      <c r="A638" s="6">
        <f>2*PI()*636/(DesignSheet!C9-1)</f>
        <v>11.100294042683936</v>
      </c>
      <c r="B638" s="6">
        <f>(DesignSheet!C11*DesignSheet!C13)*COS((A638+DesignSheet!C16)) + (DesignSheet!C7)*COS((DesignSheet!C11+1)*(A638+DesignSheet!C16)) - (DesignSheet!C6/2)*COS(ATAN( SIN(DesignSheet!C11*(A638+DesignSheet!C16)) / ( COS(DesignSheet!C11*(A638+DesignSheet!C16)) + (DesignSheet!C11*DesignSheet!C13)/(DesignSheet!C7*(DesignSheet!C11+1)) ) )+(A638+DesignSheet!C16))</f>
        <v>-0.74956849176299534</v>
      </c>
      <c r="C638" s="6">
        <f>(DesignSheet!C11*DesignSheet!C13)*SIN((A638+DesignSheet!C16)) + (DesignSheet!C7)*SIN((DesignSheet!C11+1)*(A638+DesignSheet!C16)) - (DesignSheet!C6/2)*SIN(ATAN( SIN(DesignSheet!C11*(A638+DesignSheet!C16)) / ( COS(DesignSheet!C11*(A638+DesignSheet!C16)) + (DesignSheet!C11*DesignSheet!C13)/(DesignSheet!C7*(DesignSheet!C11+1)) ) )+(A638+DesignSheet!C16))</f>
        <v>-2.5437691643474151E-2</v>
      </c>
    </row>
    <row r="639" spans="1:3" x14ac:dyDescent="0.3">
      <c r="A639" s="6">
        <f>2*PI()*637/(DesignSheet!C9-1)</f>
        <v>11.117747335203878</v>
      </c>
      <c r="B639" s="6">
        <f>(DesignSheet!C11*DesignSheet!C13)*COS((A639+DesignSheet!C16)) + (DesignSheet!C7)*COS((DesignSheet!C11+1)*(A639+DesignSheet!C16)) - (DesignSheet!C6/2)*COS(ATAN( SIN(DesignSheet!C11*(A639+DesignSheet!C16)) / ( COS(DesignSheet!C11*(A639+DesignSheet!C16)) + (DesignSheet!C11*DesignSheet!C13)/(DesignSheet!C7*(DesignSheet!C11+1)) ) )+(A639+DesignSheet!C16))</f>
        <v>-0.74901037991769503</v>
      </c>
      <c r="C639" s="6">
        <f>(DesignSheet!C11*DesignSheet!C13)*SIN((A639+DesignSheet!C16)) + (DesignSheet!C7)*SIN((DesignSheet!C11+1)*(A639+DesignSheet!C16)) - (DesignSheet!C6/2)*SIN(ATAN( SIN(DesignSheet!C11*(A639+DesignSheet!C16)) / ( COS(DesignSheet!C11*(A639+DesignSheet!C16)) + (DesignSheet!C11*DesignSheet!C13)/(DesignSheet!C7*(DesignSheet!C11+1)) ) )+(A639+DesignSheet!C16))</f>
        <v>-3.8515591330655199E-2</v>
      </c>
    </row>
    <row r="640" spans="1:3" x14ac:dyDescent="0.3">
      <c r="A640" s="6">
        <f>2*PI()*638/(DesignSheet!C9-1)</f>
        <v>11.135200627723822</v>
      </c>
      <c r="B640" s="6">
        <f>(DesignSheet!C11*DesignSheet!C13)*COS((A640+DesignSheet!C16)) + (DesignSheet!C7)*COS((DesignSheet!C11+1)*(A640+DesignSheet!C16)) - (DesignSheet!C6/2)*COS(ATAN( SIN(DesignSheet!C11*(A640+DesignSheet!C16)) / ( COS(DesignSheet!C11*(A640+DesignSheet!C16)) + (DesignSheet!C11*DesignSheet!C13)/(DesignSheet!C7*(DesignSheet!C11+1)) ) )+(A640+DesignSheet!C16))</f>
        <v>-0.74822411225484542</v>
      </c>
      <c r="C640" s="6">
        <f>(DesignSheet!C11*DesignSheet!C13)*SIN((A640+DesignSheet!C16)) + (DesignSheet!C7)*SIN((DesignSheet!C11+1)*(A640+DesignSheet!C16)) - (DesignSheet!C6/2)*SIN(ATAN( SIN(DesignSheet!C11*(A640+DesignSheet!C16)) / ( COS(DesignSheet!C11*(A640+DesignSheet!C16)) + (DesignSheet!C11*DesignSheet!C13)/(DesignSheet!C7*(DesignSheet!C11+1)) ) )+(A640+DesignSheet!C16))</f>
        <v>-5.1581758795609355E-2</v>
      </c>
    </row>
    <row r="641" spans="1:3" x14ac:dyDescent="0.3">
      <c r="A641" s="6">
        <f>2*PI()*639/(DesignSheet!C9-1)</f>
        <v>11.152653920243765</v>
      </c>
      <c r="B641" s="6">
        <f>(DesignSheet!C11*DesignSheet!C13)*COS((A641+DesignSheet!C16)) + (DesignSheet!C7)*COS((DesignSheet!C11+1)*(A641+DesignSheet!C16)) - (DesignSheet!C6/2)*COS(ATAN( SIN(DesignSheet!C11*(A641+DesignSheet!C16)) / ( COS(DesignSheet!C11*(A641+DesignSheet!C16)) + (DesignSheet!C11*DesignSheet!C13)/(DesignSheet!C7*(DesignSheet!C11+1)) ) )+(A641+DesignSheet!C16))</f>
        <v>-0.7472099282791933</v>
      </c>
      <c r="C641" s="6">
        <f>(DesignSheet!C11*DesignSheet!C13)*SIN((A641+DesignSheet!C16)) + (DesignSheet!C7)*SIN((DesignSheet!C11+1)*(A641+DesignSheet!C16)) - (DesignSheet!C6/2)*SIN(ATAN( SIN(DesignSheet!C11*(A641+DesignSheet!C16)) / ( COS(DesignSheet!C11*(A641+DesignSheet!C16)) + (DesignSheet!C11*DesignSheet!C13)/(DesignSheet!C7*(DesignSheet!C11+1)) ) )+(A641+DesignSheet!C16))</f>
        <v>-6.4632213957149326E-2</v>
      </c>
    </row>
    <row r="642" spans="1:3" x14ac:dyDescent="0.3">
      <c r="A642" s="6">
        <f>2*PI()*640/(DesignSheet!C9-1)</f>
        <v>11.170107212763709</v>
      </c>
      <c r="B642" s="6">
        <f>(DesignSheet!C11*DesignSheet!C13)*COS((A642+DesignSheet!C16)) + (DesignSheet!C7)*COS((DesignSheet!C11+1)*(A642+DesignSheet!C16)) - (DesignSheet!C6/2)*COS(ATAN( SIN(DesignSheet!C11*(A642+DesignSheet!C16)) / ( COS(DesignSheet!C11*(A642+DesignSheet!C16)) + (DesignSheet!C11*DesignSheet!C13)/(DesignSheet!C7*(DesignSheet!C11+1)) ) )+(A642+DesignSheet!C16))</f>
        <v>-0.74596813692100217</v>
      </c>
      <c r="C642" s="6">
        <f>(DesignSheet!C11*DesignSheet!C13)*SIN((A642+DesignSheet!C16)) + (DesignSheet!C7)*SIN((DesignSheet!C11+1)*(A642+DesignSheet!C16)) - (DesignSheet!C6/2)*SIN(ATAN( SIN(DesignSheet!C11*(A642+DesignSheet!C16)) / ( COS(DesignSheet!C11*(A642+DesignSheet!C16)) + (DesignSheet!C11*DesignSheet!C13)/(DesignSheet!C7*(DesignSheet!C11+1)) ) )+(A642+DesignSheet!C16))</f>
        <v>-7.7662981520212948E-2</v>
      </c>
    </row>
    <row r="643" spans="1:3" x14ac:dyDescent="0.3">
      <c r="A643" s="6">
        <f>2*PI()*641/(DesignSheet!C9-1)</f>
        <v>11.187560505283653</v>
      </c>
      <c r="B643" s="6">
        <f>(DesignSheet!C11*DesignSheet!C13)*COS((A643+DesignSheet!C16)) + (DesignSheet!C7)*COS((DesignSheet!C11+1)*(A643+DesignSheet!C16)) - (DesignSheet!C6/2)*COS(ATAN( SIN(DesignSheet!C11*(A643+DesignSheet!C16)) / ( COS(DesignSheet!C11*(A643+DesignSheet!C16)) + (DesignSheet!C11*DesignSheet!C13)/(DesignSheet!C7*(DesignSheet!C11+1)) ) )+(A643+DesignSheet!C16))</f>
        <v>-0.74449911644194922</v>
      </c>
      <c r="C643" s="6">
        <f>(DesignSheet!C11*DesignSheet!C13)*SIN((A643+DesignSheet!C16)) + (DesignSheet!C7)*SIN((DesignSheet!C11+1)*(A643+DesignSheet!C16)) - (DesignSheet!C6/2)*SIN(ATAN( SIN(DesignSheet!C11*(A643+DesignSheet!C16)) / ( COS(DesignSheet!C11*(A643+DesignSheet!C16)) + (DesignSheet!C11*DesignSheet!C13)/(DesignSheet!C7*(DesignSheet!C11+1)) ) )+(A643+DesignSheet!C16))</f>
        <v>-9.0670092186767332E-2</v>
      </c>
    </row>
    <row r="644" spans="1:3" x14ac:dyDescent="0.3">
      <c r="A644" s="6">
        <f>2*PI()*642/(DesignSheet!C9-1)</f>
        <v>11.205013797803595</v>
      </c>
      <c r="B644" s="6">
        <f>(DesignSheet!C11*DesignSheet!C13)*COS((A644+DesignSheet!C16)) + (DesignSheet!C7)*COS((DesignSheet!C11+1)*(A644+DesignSheet!C16)) - (DesignSheet!C6/2)*COS(ATAN( SIN(DesignSheet!C11*(A644+DesignSheet!C16)) / ( COS(DesignSheet!C11*(A644+DesignSheet!C16)) + (DesignSheet!C11*DesignSheet!C13)/(DesignSheet!C7*(DesignSheet!C11+1)) ) )+(A644+DesignSheet!C16))</f>
        <v>-0.74280331431990343</v>
      </c>
      <c r="C644" s="6">
        <f>(DesignSheet!C11*DesignSheet!C13)*SIN((A644+DesignSheet!C16)) + (DesignSheet!C7)*SIN((DesignSheet!C11+1)*(A644+DesignSheet!C16)) - (DesignSheet!C6/2)*SIN(ATAN( SIN(DesignSheet!C11*(A644+DesignSheet!C16)) / ( COS(DesignSheet!C11*(A644+DesignSheet!C16)) + (DesignSheet!C11*DesignSheet!C13)/(DesignSheet!C7*(DesignSheet!C11+1)) ) )+(A644+DesignSheet!C16))</f>
        <v>-0.10364958386489939</v>
      </c>
    </row>
    <row r="645" spans="1:3" x14ac:dyDescent="0.3">
      <c r="A645" s="6">
        <f>2*PI()*643/(DesignSheet!C9-1)</f>
        <v>11.222467090323539</v>
      </c>
      <c r="B645" s="6">
        <f>(DesignSheet!C11*DesignSheet!C13)*COS((A645+DesignSheet!C16)) + (DesignSheet!C7)*COS((DesignSheet!C11+1)*(A645+DesignSheet!C16)) - (DesignSheet!C6/2)*COS(ATAN( SIN(DesignSheet!C11*(A645+DesignSheet!C16)) / ( COS(DesignSheet!C11*(A645+DesignSheet!C16)) + (DesignSheet!C11*DesignSheet!C13)/(DesignSheet!C7*(DesignSheet!C11+1)) ) )+(A645+DesignSheet!C16))</f>
        <v>-0.74088124711261827</v>
      </c>
      <c r="C645" s="6">
        <f>(DesignSheet!C11*DesignSheet!C13)*SIN((A645+DesignSheet!C16)) + (DesignSheet!C7)*SIN((DesignSheet!C11+1)*(A645+DesignSheet!C16)) - (DesignSheet!C6/2)*SIN(ATAN( SIN(DesignSheet!C11*(A645+DesignSheet!C16)) / ( COS(DesignSheet!C11*(A645+DesignSheet!C16)) + (DesignSheet!C11*DesignSheet!C13)/(DesignSheet!C7*(DesignSheet!C11+1)) ) )+(A645+DesignSheet!C16))</f>
        <v>-0.11659750287571144</v>
      </c>
    </row>
    <row r="646" spans="1:3" x14ac:dyDescent="0.3">
      <c r="A646" s="6">
        <f>2*PI()*644/(DesignSheet!C9-1)</f>
        <v>11.239920382843481</v>
      </c>
      <c r="B646" s="6">
        <f>(DesignSheet!C11*DesignSheet!C13)*COS((A646+DesignSheet!C16)) + (DesignSheet!C7)*COS((DesignSheet!C11+1)*(A646+DesignSheet!C16)) - (DesignSheet!C6/2)*COS(ATAN( SIN(DesignSheet!C11*(A646+DesignSheet!C16)) / ( COS(DesignSheet!C11*(A646+DesignSheet!C16)) + (DesignSheet!C11*DesignSheet!C13)/(DesignSheet!C7*(DesignSheet!C11+1)) ) )+(A646+DesignSheet!C16))</f>
        <v>-0.73873350030038498</v>
      </c>
      <c r="C646" s="6">
        <f>(DesignSheet!C11*DesignSheet!C13)*SIN((A646+DesignSheet!C16)) + (DesignSheet!C7)*SIN((DesignSheet!C11+1)*(A646+DesignSheet!C16)) - (DesignSheet!C6/2)*SIN(ATAN( SIN(DesignSheet!C11*(A646+DesignSheet!C16)) / ( COS(DesignSheet!C11*(A646+DesignSheet!C16)) + (DesignSheet!C11*DesignSheet!C13)/(DesignSheet!C7*(DesignSheet!C11+1)) ) )+(A646+DesignSheet!C16))</f>
        <v>-0.12950990515764088</v>
      </c>
    </row>
    <row r="647" spans="1:3" x14ac:dyDescent="0.3">
      <c r="A647" s="6">
        <f>2*PI()*645/(DesignSheet!C9-1)</f>
        <v>11.257373675363425</v>
      </c>
      <c r="B647" s="6">
        <f>(DesignSheet!C11*DesignSheet!C13)*COS((A647+DesignSheet!C16)) + (DesignSheet!C7)*COS((DesignSheet!C11+1)*(A647+DesignSheet!C16)) - (DesignSheet!C6/2)*COS(ATAN( SIN(DesignSheet!C11*(A647+DesignSheet!C16)) / ( COS(DesignSheet!C11*(A647+DesignSheet!C16)) + (DesignSheet!C11*DesignSheet!C13)/(DesignSheet!C7*(DesignSheet!C11+1)) ) )+(A647+DesignSheet!C16))</f>
        <v>-0.73636072810768782</v>
      </c>
      <c r="C647" s="6">
        <f>(DesignSheet!C11*DesignSheet!C13)*SIN((A647+DesignSheet!C16)) + (DesignSheet!C7)*SIN((DesignSheet!C11+1)*(A647+DesignSheet!C16)) - (DesignSheet!C6/2)*SIN(ATAN( SIN(DesignSheet!C11*(A647+DesignSheet!C16)) / ( COS(DesignSheet!C11*(A647+DesignSheet!C16)) + (DesignSheet!C11*DesignSheet!C13)/(DesignSheet!C7*(DesignSheet!C11+1)) ) )+(A647+DesignSheet!C16))</f>
        <v>-0.14238285746786999</v>
      </c>
    </row>
    <row r="648" spans="1:3" x14ac:dyDescent="0.3">
      <c r="A648" s="6">
        <f>2*PI()*646/(DesignSheet!C9-1)</f>
        <v>11.274826967883369</v>
      </c>
      <c r="B648" s="6">
        <f>(DesignSheet!C11*DesignSheet!C13)*COS((A648+DesignSheet!C16)) + (DesignSheet!C7)*COS((DesignSheet!C11+1)*(A648+DesignSheet!C16)) - (DesignSheet!C6/2)*COS(ATAN( SIN(DesignSheet!C11*(A648+DesignSheet!C16)) / ( COS(DesignSheet!C11*(A648+DesignSheet!C16)) + (DesignSheet!C11*DesignSheet!C13)/(DesignSheet!C7*(DesignSheet!C11+1)) ) )+(A648+DesignSheet!C16))</f>
        <v>-0.73376365330392257</v>
      </c>
      <c r="C648" s="6">
        <f>(DesignSheet!C11*DesignSheet!C13)*SIN((A648+DesignSheet!C16)) + (DesignSheet!C7)*SIN((DesignSheet!C11+1)*(A648+DesignSheet!C16)) - (DesignSheet!C6/2)*SIN(ATAN( SIN(DesignSheet!C11*(A648+DesignSheet!C16)) / ( COS(DesignSheet!C11*(A648+DesignSheet!C16)) + (DesignSheet!C11*DesignSheet!C13)/(DesignSheet!C7*(DesignSheet!C11+1)) ) )+(A648+DesignSheet!C16))</f>
        <v>-0.15521243858042066</v>
      </c>
    </row>
    <row r="649" spans="1:3" x14ac:dyDescent="0.3">
      <c r="A649" s="6">
        <f>2*PI()*647/(DesignSheet!C9-1)</f>
        <v>11.292280260403313</v>
      </c>
      <c r="B649" s="6">
        <f>(DesignSheet!C11*DesignSheet!C13)*COS((A649+DesignSheet!C16)) + (DesignSheet!C7)*COS((DesignSheet!C11+1)*(A649+DesignSheet!C16)) - (DesignSheet!C6/2)*COS(ATAN( SIN(DesignSheet!C11*(A649+DesignSheet!C16)) / ( COS(DesignSheet!C11*(A649+DesignSheet!C16)) + (DesignSheet!C11*DesignSheet!C13)/(DesignSheet!C7*(DesignSheet!C11+1)) ) )+(A649+DesignSheet!C16))</f>
        <v>-0.73094306698323286</v>
      </c>
      <c r="C649" s="6">
        <f>(DesignSheet!C11*DesignSheet!C13)*SIN((A649+DesignSheet!C16)) + (DesignSheet!C7)*SIN((DesignSheet!C11+1)*(A649+DesignSheet!C16)) - (DesignSheet!C6/2)*SIN(ATAN( SIN(DesignSheet!C11*(A649+DesignSheet!C16)) / ( COS(DesignSheet!C11*(A649+DesignSheet!C16)) + (DesignSheet!C11*DesignSheet!C13)/(DesignSheet!C7*(DesignSheet!C11+1)) ) )+(A649+DesignSheet!C16))</f>
        <v>-0.16799474048060309</v>
      </c>
    </row>
    <row r="650" spans="1:3" x14ac:dyDescent="0.3">
      <c r="A650" s="6">
        <f>2*PI()*648/(DesignSheet!C9-1)</f>
        <v>11.309733552923255</v>
      </c>
      <c r="B650" s="6">
        <f>(DesignSheet!C11*DesignSheet!C13)*COS((A650+DesignSheet!C16)) + (DesignSheet!C7)*COS((DesignSheet!C11+1)*(A650+DesignSheet!C16)) - (DesignSheet!C6/2)*COS(ATAN( SIN(DesignSheet!C11*(A650+DesignSheet!C16)) / ( COS(DesignSheet!C11*(A650+DesignSheet!C16)) + (DesignSheet!C11*DesignSheet!C13)/(DesignSheet!C7*(DesignSheet!C11+1)) ) )+(A650+DesignSheet!C16))</f>
        <v>-0.72789982832353584</v>
      </c>
      <c r="C650" s="6">
        <f>(DesignSheet!C11*DesignSheet!C13)*SIN((A650+DesignSheet!C16)) + (DesignSheet!C7)*SIN((DesignSheet!C11+1)*(A650+DesignSheet!C16)) - (DesignSheet!C6/2)*SIN(ATAN( SIN(DesignSheet!C11*(A650+DesignSheet!C16)) / ( COS(DesignSheet!C11*(A650+DesignSheet!C16)) + (DesignSheet!C11*DesignSheet!C13)/(DesignSheet!C7*(DesignSheet!C11+1)) ) )+(A650+DesignSheet!C16))</f>
        <v>-0.18072586955543224</v>
      </c>
    </row>
    <row r="651" spans="1:3" x14ac:dyDescent="0.3">
      <c r="A651" s="6">
        <f>2*PI()*649/(DesignSheet!C9-1)</f>
        <v>11.327186845443199</v>
      </c>
      <c r="B651" s="6">
        <f>(DesignSheet!C11*DesignSheet!C13)*COS((A651+DesignSheet!C16)) + (DesignSheet!C7)*COS((DesignSheet!C11+1)*(A651+DesignSheet!C16)) - (DesignSheet!C6/2)*COS(ATAN( SIN(DesignSheet!C11*(A651+DesignSheet!C16)) / ( COS(DesignSheet!C11*(A651+DesignSheet!C16)) + (DesignSheet!C11*DesignSheet!C13)/(DesignSheet!C7*(DesignSheet!C11+1)) ) )+(A651+DesignSheet!C16))</f>
        <v>-0.72463486432480706</v>
      </c>
      <c r="C651" s="6">
        <f>(DesignSheet!C11*DesignSheet!C13)*SIN((A651+DesignSheet!C16)) + (DesignSheet!C7)*SIN((DesignSheet!C11+1)*(A651+DesignSheet!C16)) - (DesignSheet!C6/2)*SIN(ATAN( SIN(DesignSheet!C11*(A651+DesignSheet!C16)) / ( COS(DesignSheet!C11*(A651+DesignSheet!C16)) + (DesignSheet!C11*DesignSheet!C13)/(DesignSheet!C7*(DesignSheet!C11+1)) ) )+(A651+DesignSheet!C16))</f>
        <v>-0.1934019477796653</v>
      </c>
    </row>
    <row r="652" spans="1:3" x14ac:dyDescent="0.3">
      <c r="A652" s="6">
        <f>2*PI()*650/(DesignSheet!C9-1)</f>
        <v>11.344640137963141</v>
      </c>
      <c r="B652" s="6">
        <f>(DesignSheet!C11*DesignSheet!C13)*COS((A652+DesignSheet!C16)) + (DesignSheet!C7)*COS((DesignSheet!C11+1)*(A652+DesignSheet!C16)) - (DesignSheet!C6/2)*COS(ATAN( SIN(DesignSheet!C11*(A652+DesignSheet!C16)) / ( COS(DesignSheet!C11*(A652+DesignSheet!C16)) + (DesignSheet!C11*DesignSheet!C13)/(DesignSheet!C7*(DesignSheet!C11+1)) ) )+(A652+DesignSheet!C16))</f>
        <v>-0.72114916952670982</v>
      </c>
      <c r="C652" s="6">
        <f>(DesignSheet!C11*DesignSheet!C13)*SIN((A652+DesignSheet!C16)) + (DesignSheet!C7)*SIN((DesignSheet!C11+1)*(A652+DesignSheet!C16)) - (DesignSheet!C6/2)*SIN(ATAN( SIN(DesignSheet!C11*(A652+DesignSheet!C16)) / ( COS(DesignSheet!C11*(A652+DesignSheet!C16)) + (DesignSheet!C11*DesignSheet!C13)/(DesignSheet!C7*(DesignSheet!C11+1)) ) )+(A652+DesignSheet!C16))</f>
        <v>-0.20601911389707664</v>
      </c>
    </row>
    <row r="653" spans="1:3" x14ac:dyDescent="0.3">
      <c r="A653" s="6">
        <f>2*PI()*651/(DesignSheet!C9-1)</f>
        <v>11.362093430483085</v>
      </c>
      <c r="B653" s="6">
        <f>(DesignSheet!C11*DesignSheet!C13)*COS((A653+DesignSheet!C16)) + (DesignSheet!C7)*COS((DesignSheet!C11+1)*(A653+DesignSheet!C16)) - (DesignSheet!C6/2)*COS(ATAN( SIN(DesignSheet!C11*(A653+DesignSheet!C16)) / ( COS(DesignSheet!C11*(A653+DesignSheet!C16)) + (DesignSheet!C11*DesignSheet!C13)/(DesignSheet!C7*(DesignSheet!C11+1)) ) )+(A653+DesignSheet!C16))</f>
        <v>-0.71744380570564559</v>
      </c>
      <c r="C653" s="6">
        <f>(DesignSheet!C11*DesignSheet!C13)*SIN((A653+DesignSheet!C16)) + (DesignSheet!C7)*SIN((DesignSheet!C11+1)*(A653+DesignSheet!C16)) - (DesignSheet!C6/2)*SIN(ATAN( SIN(DesignSheet!C11*(A653+DesignSheet!C16)) / ( COS(DesignSheet!C11*(A653+DesignSheet!C16)) + (DesignSheet!C11*DesignSheet!C13)/(DesignSheet!C7*(DesignSheet!C11+1)) ) )+(A653+DesignSheet!C16))</f>
        <v>-0.2185735245966442</v>
      </c>
    </row>
    <row r="654" spans="1:3" x14ac:dyDescent="0.3">
      <c r="A654" s="6">
        <f>2*PI()*652/(DesignSheet!C9-1)</f>
        <v>11.379546723003028</v>
      </c>
      <c r="B654" s="6">
        <f>(DesignSheet!C11*DesignSheet!C13)*COS((A654+DesignSheet!C16)) + (DesignSheet!C7)*COS((DesignSheet!C11+1)*(A654+DesignSheet!C16)) - (DesignSheet!C6/2)*COS(ATAN( SIN(DesignSheet!C11*(A654+DesignSheet!C16)) / ( COS(DesignSheet!C11*(A654+DesignSheet!C16)) + (DesignSheet!C11*DesignSheet!C13)/(DesignSheet!C7*(DesignSheet!C11+1)) ) )+(A654+DesignSheet!C16))</f>
        <v>-0.71351990155132961</v>
      </c>
      <c r="C654" s="6">
        <f>(DesignSheet!C11*DesignSheet!C13)*SIN((A654+DesignSheet!C16)) + (DesignSheet!C7)*SIN((DesignSheet!C11+1)*(A654+DesignSheet!C16)) - (DesignSheet!C6/2)*SIN(ATAN( SIN(DesignSheet!C11*(A654+DesignSheet!C16)) / ( COS(DesignSheet!C11*(A654+DesignSheet!C16)) + (DesignSheet!C11*DesignSheet!C13)/(DesignSheet!C7*(DesignSheet!C11+1)) ) )+(A654+DesignSheet!C16))</f>
        <v>-0.23106135568324915</v>
      </c>
    </row>
    <row r="655" spans="1:3" x14ac:dyDescent="0.3">
      <c r="A655" s="6">
        <f>2*PI()*653/(DesignSheet!C9-1)</f>
        <v>11.397000015522973</v>
      </c>
      <c r="B655" s="6">
        <f>(DesignSheet!C11*DesignSheet!C13)*COS((A655+DesignSheet!C16)) + (DesignSheet!C7)*COS((DesignSheet!C11+1)*(A655+DesignSheet!C16)) - (DesignSheet!C6/2)*COS(ATAN( SIN(DesignSheet!C11*(A655+DesignSheet!C16)) / ( COS(DesignSheet!C11*(A655+DesignSheet!C16)) + (DesignSheet!C11*DesignSheet!C13)/(DesignSheet!C7*(DesignSheet!C11+1)) ) )+(A655+DesignSheet!C16))</f>
        <v>-0.7093786523229777</v>
      </c>
      <c r="C655" s="6">
        <f>(DesignSheet!C11*DesignSheet!C13)*SIN((A655+DesignSheet!C16)) + (DesignSheet!C7)*SIN((DesignSheet!C11+1)*(A655+DesignSheet!C16)) - (DesignSheet!C6/2)*SIN(ATAN( SIN(DesignSheet!C11*(A655+DesignSheet!C16)) / ( COS(DesignSheet!C11*(A655+DesignSheet!C16)) + (DesignSheet!C11*DesignSheet!C13)/(DesignSheet!C7*(DesignSheet!C11+1)) ) )+(A655+DesignSheet!C16))</f>
        <v>-0.24347880324257382</v>
      </c>
    </row>
    <row r="656" spans="1:3" x14ac:dyDescent="0.3">
      <c r="A656" s="6">
        <f>2*PI()*654/(DesignSheet!C9-1)</f>
        <v>11.414453308042916</v>
      </c>
      <c r="B656" s="6">
        <f>(DesignSheet!C11*DesignSheet!C13)*COS((A656+DesignSheet!C16)) + (DesignSheet!C7)*COS((DesignSheet!C11+1)*(A656+DesignSheet!C16)) - (DesignSheet!C6/2)*COS(ATAN( SIN(DesignSheet!C11*(A656+DesignSheet!C16)) / ( COS(DesignSheet!C11*(A656+DesignSheet!C16)) + (DesignSheet!C11*DesignSheet!C13)/(DesignSheet!C7*(DesignSheet!C11+1)) ) )+(A656+DesignSheet!C16))</f>
        <v>-0.70502131948522373</v>
      </c>
      <c r="C656" s="6">
        <f>(DesignSheet!C11*DesignSheet!C13)*SIN((A656+DesignSheet!C16)) + (DesignSheet!C7)*SIN((DesignSheet!C11+1)*(A656+DesignSheet!C16)) - (DesignSheet!C6/2)*SIN(ATAN( SIN(DesignSheet!C11*(A656+DesignSheet!C16)) / ( COS(DesignSheet!C11*(A656+DesignSheet!C16)) + (DesignSheet!C11*DesignSheet!C13)/(DesignSheet!C7*(DesignSheet!C11+1)) ) )+(A656+DesignSheet!C16))</f>
        <v>-0.25582208479979618</v>
      </c>
    </row>
    <row r="657" spans="1:3" x14ac:dyDescent="0.3">
      <c r="A657" s="6">
        <f>2*PI()*655/(DesignSheet!C9-1)</f>
        <v>11.431906600562858</v>
      </c>
      <c r="B657" s="6">
        <f>(DesignSheet!C11*DesignSheet!C13)*COS((A657+DesignSheet!C16)) + (DesignSheet!C7)*COS((DesignSheet!C11+1)*(A657+DesignSheet!C16)) - (DesignSheet!C6/2)*COS(ATAN( SIN(DesignSheet!C11*(A657+DesignSheet!C16)) / ( COS(DesignSheet!C11*(A657+DesignSheet!C16)) + (DesignSheet!C11*DesignSheet!C13)/(DesignSheet!C7*(DesignSheet!C11+1)) ) )+(A657+DesignSheet!C16))</f>
        <v>-0.70044923032385975</v>
      </c>
      <c r="C657" s="6">
        <f>(DesignSheet!C11*DesignSheet!C13)*SIN((A657+DesignSheet!C16)) + (DesignSheet!C7)*SIN((DesignSheet!C11+1)*(A657+DesignSheet!C16)) - (DesignSheet!C6/2)*SIN(ATAN( SIN(DesignSheet!C11*(A657+DesignSheet!C16)) / ( COS(DesignSheet!C11*(A657+DesignSheet!C16)) + (DesignSheet!C11*DesignSheet!C13)/(DesignSheet!C7*(DesignSheet!C11+1)) ) )+(A657+DesignSheet!C16))</f>
        <v>-0.2680874404717844</v>
      </c>
    </row>
    <row r="658" spans="1:3" x14ac:dyDescent="0.3">
      <c r="A658" s="6">
        <f>2*PI()*656/(DesignSheet!C9-1)</f>
        <v>11.4493598930828</v>
      </c>
      <c r="B658" s="6">
        <f>(DesignSheet!C11*DesignSheet!C13)*COS((A658+DesignSheet!C16)) + (DesignSheet!C7)*COS((DesignSheet!C11+1)*(A658+DesignSheet!C16)) - (DesignSheet!C6/2)*COS(ATAN( SIN(DesignSheet!C11*(A658+DesignSheet!C16)) / ( COS(DesignSheet!C11*(A658+DesignSheet!C16)) + (DesignSheet!C11*DesignSheet!C13)/(DesignSheet!C7*(DesignSheet!C11+1)) ) )+(A658+DesignSheet!C16))</f>
        <v>-0.69566377754153508</v>
      </c>
      <c r="C658" s="6">
        <f>(DesignSheet!C11*DesignSheet!C13)*SIN((A658+DesignSheet!C16)) + (DesignSheet!C7)*SIN((DesignSheet!C11+1)*(A658+DesignSheet!C16)) - (DesignSheet!C6/2)*SIN(ATAN( SIN(DesignSheet!C11*(A658+DesignSheet!C16)) / ( COS(DesignSheet!C11*(A658+DesignSheet!C16)) + (DesignSheet!C11*DesignSheet!C13)/(DesignSheet!C7*(DesignSheet!C11+1)) ) )+(A658+DesignSheet!C16))</f>
        <v>-0.28027113411238347</v>
      </c>
    </row>
    <row r="659" spans="1:3" x14ac:dyDescent="0.3">
      <c r="A659" s="6">
        <f>2*PI()*657/(DesignSheet!C9-1)</f>
        <v>11.466813185602746</v>
      </c>
      <c r="B659" s="6">
        <f>(DesignSheet!C11*DesignSheet!C13)*COS((A659+DesignSheet!C16)) + (DesignSheet!C7)*COS((DesignSheet!C11+1)*(A659+DesignSheet!C16)) - (DesignSheet!C6/2)*COS(ATAN( SIN(DesignSheet!C11*(A659+DesignSheet!C16)) / ( COS(DesignSheet!C11*(A659+DesignSheet!C16)) + (DesignSheet!C11*DesignSheet!C13)/(DesignSheet!C7*(DesignSheet!C11+1)) ) )+(A659+DesignSheet!C16))</f>
        <v>-0.69066641883352387</v>
      </c>
      <c r="C659" s="6">
        <f>(DesignSheet!C11*DesignSheet!C13)*SIN((A659+DesignSheet!C16)) + (DesignSheet!C7)*SIN((DesignSheet!C11+1)*(A659+DesignSheet!C16)) - (DesignSheet!C6/2)*SIN(ATAN( SIN(DesignSheet!C11*(A659+DesignSheet!C16)) / ( COS(DesignSheet!C11*(A659+DesignSheet!C16)) + (DesignSheet!C11*DesignSheet!C13)/(DesignSheet!C7*(DesignSheet!C11+1)) ) )+(A659+DesignSheet!C16))</f>
        <v>-0.29236945445048701</v>
      </c>
    </row>
    <row r="660" spans="1:3" x14ac:dyDescent="0.3">
      <c r="A660" s="6">
        <f>2*PI()*658/(DesignSheet!C9-1)</f>
        <v>11.484266478122688</v>
      </c>
      <c r="B660" s="6">
        <f>(DesignSheet!C11*DesignSheet!C13)*COS((A660+DesignSheet!C16)) + (DesignSheet!C7)*COS((DesignSheet!C11+1)*(A660+DesignSheet!C16)) - (DesignSheet!C6/2)*COS(ATAN( SIN(DesignSheet!C11*(A660+DesignSheet!C16)) / ( COS(DesignSheet!C11*(A660+DesignSheet!C16)) + (DesignSheet!C11*DesignSheet!C13)/(DesignSheet!C7*(DesignSheet!C11+1)) ) )+(A660+DesignSheet!C16))</f>
        <v>-0.68545867644370118</v>
      </c>
      <c r="C660" s="6">
        <f>(DesignSheet!C11*DesignSheet!C13)*SIN((A660+DesignSheet!C16)) + (DesignSheet!C7)*SIN((DesignSheet!C11+1)*(A660+DesignSheet!C16)) - (DesignSheet!C6/2)*SIN(ATAN( SIN(DesignSheet!C11*(A660+DesignSheet!C16)) / ( COS(DesignSheet!C11*(A660+DesignSheet!C16)) + (DesignSheet!C11*DesignSheet!C13)/(DesignSheet!C7*(DesignSheet!C11+1)) ) )+(A660+DesignSheet!C16))</f>
        <v>-0.30437871622051599</v>
      </c>
    </row>
    <row r="661" spans="1:3" x14ac:dyDescent="0.3">
      <c r="A661" s="6">
        <f>2*PI()*659/(DesignSheet!C9-1)</f>
        <v>11.50171977064263</v>
      </c>
      <c r="B661" s="6">
        <f>(DesignSheet!C11*DesignSheet!C13)*COS((A661+DesignSheet!C16)) + (DesignSheet!C7)*COS((DesignSheet!C11+1)*(A661+DesignSheet!C16)) - (DesignSheet!C6/2)*COS(ATAN( SIN(DesignSheet!C11*(A661+DesignSheet!C16)) / ( COS(DesignSheet!C11*(A661+DesignSheet!C16)) + (DesignSheet!C11*DesignSheet!C13)/(DesignSheet!C7*(DesignSheet!C11+1)) ) )+(A661+DesignSheet!C16))</f>
        <v>-0.68004213670084646</v>
      </c>
      <c r="C661" s="6">
        <f>(DesignSheet!C11*DesignSheet!C13)*SIN((A661+DesignSheet!C16)) + (DesignSheet!C7)*SIN((DesignSheet!C11+1)*(A661+DesignSheet!C16)) - (DesignSheet!C6/2)*SIN(ATAN( SIN(DesignSheet!C11*(A661+DesignSheet!C16)) / ( COS(DesignSheet!C11*(A661+DesignSheet!C16)) + (DesignSheet!C11*DesignSheet!C13)/(DesignSheet!C7*(DesignSheet!C11+1)) ) )+(A661+DesignSheet!C16))</f>
        <v>-0.31629526128500129</v>
      </c>
    </row>
    <row r="662" spans="1:3" x14ac:dyDescent="0.3">
      <c r="A662" s="6">
        <f>2*PI()*660/(DesignSheet!C9-1)</f>
        <v>11.519173063162574</v>
      </c>
      <c r="B662" s="6">
        <f>(DesignSheet!C11*DesignSheet!C13)*COS((A662+DesignSheet!C16)) + (DesignSheet!C7)*COS((DesignSheet!C11+1)*(A662+DesignSheet!C16)) - (DesignSheet!C6/2)*COS(ATAN( SIN(DesignSheet!C11*(A662+DesignSheet!C16)) / ( COS(DesignSheet!C11*(A662+DesignSheet!C16)) + (DesignSheet!C11*DesignSheet!C13)/(DesignSheet!C7*(DesignSheet!C11+1)) ) )+(A662+DesignSheet!C16))</f>
        <v>-0.67441844953543606</v>
      </c>
      <c r="C662" s="6">
        <f>(DesignSheet!C11*DesignSheet!C13)*SIN((A662+DesignSheet!C16)) + (DesignSheet!C7)*SIN((DesignSheet!C11+1)*(A662+DesignSheet!C16)) - (DesignSheet!C6/2)*SIN(ATAN( SIN(DesignSheet!C11*(A662+DesignSheet!C16)) / ( COS(DesignSheet!C11*(A662+DesignSheet!C16)) + (DesignSheet!C11*DesignSheet!C13)/(DesignSheet!C7*(DesignSheet!C11+1)) ) )+(A662+DesignSheet!C16))</f>
        <v>-0.32811545974887946</v>
      </c>
    </row>
    <row r="663" spans="1:3" x14ac:dyDescent="0.3">
      <c r="A663" s="6">
        <f>2*PI()*661/(DesignSheet!C9-1)</f>
        <v>11.536626355682518</v>
      </c>
      <c r="B663" s="6">
        <f>(DesignSheet!C11*DesignSheet!C13)*COS((A663+DesignSheet!C16)) + (DesignSheet!C7)*COS((DesignSheet!C11+1)*(A663+DesignSheet!C16)) - (DesignSheet!C6/2)*COS(ATAN( SIN(DesignSheet!C11*(A663+DesignSheet!C16)) / ( COS(DesignSheet!C11*(A663+DesignSheet!C16)) + (DesignSheet!C11*DesignSheet!C13)/(DesignSheet!C7*(DesignSheet!C11+1)) ) )+(A663+DesignSheet!C16))</f>
        <v>-0.66858932797705883</v>
      </c>
      <c r="C663" s="6">
        <f>(DesignSheet!C11*DesignSheet!C13)*SIN((A663+DesignSheet!C16)) + (DesignSheet!C7)*SIN((DesignSheet!C11+1)*(A663+DesignSheet!C16)) - (DesignSheet!C6/2)*SIN(ATAN( SIN(DesignSheet!C11*(A663+DesignSheet!C16)) / ( COS(DesignSheet!C11*(A663+DesignSheet!C16)) + (DesignSheet!C11*DesignSheet!C13)/(DesignSheet!C7*(DesignSheet!C11+1)) ) )+(A663+DesignSheet!C16))</f>
        <v>-0.33983571106519228</v>
      </c>
    </row>
    <row r="664" spans="1:3" x14ac:dyDescent="0.3">
      <c r="A664" s="6">
        <f>2*PI()*662/(DesignSheet!C9-1)</f>
        <v>11.554079648202462</v>
      </c>
      <c r="B664" s="6">
        <f>(DesignSheet!C11*DesignSheet!C13)*COS((A664+DesignSheet!C16)) + (DesignSheet!C7)*COS((DesignSheet!C11+1)*(A664+DesignSheet!C16)) - (DesignSheet!C6/2)*COS(ATAN( SIN(DesignSheet!C11*(A664+DesignSheet!C16)) / ( COS(DesignSheet!C11*(A664+DesignSheet!C16)) + (DesignSheet!C11*DesignSheet!C13)/(DesignSheet!C7*(DesignSheet!C11+1)) ) )+(A664+DesignSheet!C16))</f>
        <v>-0.66255654763260963</v>
      </c>
      <c r="C664" s="6">
        <f>(DesignSheet!C11*DesignSheet!C13)*SIN((A664+DesignSheet!C16)) + (DesignSheet!C7)*SIN((DesignSheet!C11+1)*(A664+DesignSheet!C16)) - (DesignSheet!C6/2)*SIN(ATAN( SIN(DesignSheet!C11*(A664+DesignSheet!C16)) / ( COS(DesignSheet!C11*(A664+DesignSheet!C16)) + (DesignSheet!C11*DesignSheet!C13)/(DesignSheet!C7*(DesignSheet!C11+1)) ) )+(A664+DesignSheet!C16))</f>
        <v>-0.35145244513185214</v>
      </c>
    </row>
    <row r="665" spans="1:3" x14ac:dyDescent="0.3">
      <c r="A665" s="6">
        <f>2*PI()*663/(DesignSheet!C9-1)</f>
        <v>11.571532940722404</v>
      </c>
      <c r="B665" s="6">
        <f>(DesignSheet!C11*DesignSheet!C13)*COS((A665+DesignSheet!C16)) + (DesignSheet!C7)*COS((DesignSheet!C11+1)*(A665+DesignSheet!C16)) - (DesignSheet!C6/2)*COS(ATAN( SIN(DesignSheet!C11*(A665+DesignSheet!C16)) / ( COS(DesignSheet!C11*(A665+DesignSheet!C16)) + (DesignSheet!C11*DesignSheet!C13)/(DesignSheet!C7*(DesignSheet!C11+1)) ) )+(A665+DesignSheet!C16))</f>
        <v>-0.65632194614542272</v>
      </c>
      <c r="C665" s="6">
        <f>(DesignSheet!C11*DesignSheet!C13)*SIN((A665+DesignSheet!C16)) + (DesignSheet!C7)*SIN((DesignSheet!C11+1)*(A665+DesignSheet!C16)) - (DesignSheet!C6/2)*SIN(ATAN( SIN(DesignSheet!C11*(A665+DesignSheet!C16)) / ( COS(DesignSheet!C11*(A665+DesignSheet!C16)) + (DesignSheet!C11*DesignSheet!C13)/(DesignSheet!C7*(DesignSheet!C11+1)) ) )+(A665+DesignSheet!C16))</f>
        <v>-0.36296212337912737</v>
      </c>
    </row>
    <row r="666" spans="1:3" x14ac:dyDescent="0.3">
      <c r="A666" s="6">
        <f>2*PI()*664/(DesignSheet!C9-1)</f>
        <v>11.588986233242348</v>
      </c>
      <c r="B666" s="6">
        <f>(DesignSheet!C11*DesignSheet!C13)*COS((A666+DesignSheet!C16)) + (DesignSheet!C7)*COS((DesignSheet!C11+1)*(A666+DesignSheet!C16)) - (DesignSheet!C6/2)*COS(ATAN( SIN(DesignSheet!C11*(A666+DesignSheet!C16)) / ( COS(DesignSheet!C11*(A666+DesignSheet!C16)) + (DesignSheet!C11*DesignSheet!C13)/(DesignSheet!C7*(DesignSheet!C11+1)) ) )+(A666+DesignSheet!C16))</f>
        <v>-0.64988742263550581</v>
      </c>
      <c r="C666" s="6">
        <f>(DesignSheet!C11*DesignSheet!C13)*SIN((A666+DesignSheet!C16)) + (DesignSheet!C7)*SIN((DesignSheet!C11+1)*(A666+DesignSheet!C16)) - (DesignSheet!C6/2)*SIN(ATAN( SIN(DesignSheet!C11*(A666+DesignSheet!C16)) / ( COS(DesignSheet!C11*(A666+DesignSheet!C16)) + (DesignSheet!C11*DesignSheet!C13)/(DesignSheet!C7*(DesignSheet!C11+1)) ) )+(A666+DesignSheet!C16))</f>
        <v>-0.3743612398475295</v>
      </c>
    </row>
    <row r="667" spans="1:3" x14ac:dyDescent="0.3">
      <c r="A667" s="6">
        <f>2*PI()*665/(DesignSheet!C9-1)</f>
        <v>11.606439525762292</v>
      </c>
      <c r="B667" s="6">
        <f>(DesignSheet!C11*DesignSheet!C13)*COS((A667+DesignSheet!C16)) + (DesignSheet!C7)*COS((DesignSheet!C11+1)*(A667+DesignSheet!C16)) - (DesignSheet!C6/2)*COS(ATAN( SIN(DesignSheet!C11*(A667+DesignSheet!C16)) / ( COS(DesignSheet!C11*(A667+DesignSheet!C16)) + (DesignSheet!C11*DesignSheet!C13)/(DesignSheet!C7*(DesignSheet!C11+1)) ) )+(A667+DesignSheet!C16))</f>
        <v>-0.64325493712105319</v>
      </c>
      <c r="C667" s="6">
        <f>(DesignSheet!C11*DesignSheet!C13)*SIN((A667+DesignSheet!C16)) + (DesignSheet!C7)*SIN((DesignSheet!C11+1)*(A667+DesignSheet!C16)) - (DesignSheet!C6/2)*SIN(ATAN( SIN(DesignSheet!C11*(A667+DesignSheet!C16)) / ( COS(DesignSheet!C11*(A667+DesignSheet!C16)) + (DesignSheet!C11*DesignSheet!C13)/(DesignSheet!C7*(DesignSheet!C11+1)) ) )+(A667+DesignSheet!C16))</f>
        <v>-0.38564632225575524</v>
      </c>
    </row>
    <row r="668" spans="1:3" x14ac:dyDescent="0.3">
      <c r="A668" s="6">
        <f>2*PI()*666/(DesignSheet!C9-1)</f>
        <v>11.623892818282235</v>
      </c>
      <c r="B668" s="6">
        <f>(DesignSheet!C11*DesignSheet!C13)*COS((A668+DesignSheet!C16)) + (DesignSheet!C7)*COS((DesignSheet!C11+1)*(A668+DesignSheet!C16)) - (DesignSheet!C6/2)*COS(ATAN( SIN(DesignSheet!C11*(A668+DesignSheet!C16)) / ( COS(DesignSheet!C11*(A668+DesignSheet!C16)) + (DesignSheet!C11*DesignSheet!C13)/(DesignSheet!C7*(DesignSheet!C11+1)) ) )+(A668+DesignSheet!C16))</f>
        <v>-0.63642650992140382</v>
      </c>
      <c r="C668" s="6">
        <f>(DesignSheet!C11*DesignSheet!C13)*SIN((A668+DesignSheet!C16)) + (DesignSheet!C7)*SIN((DesignSheet!C11+1)*(A668+DesignSheet!C16)) - (DesignSheet!C6/2)*SIN(ATAN( SIN(DesignSheet!C11*(A668+DesignSheet!C16)) / ( COS(DesignSheet!C11*(A668+DesignSheet!C16)) + (DesignSheet!C11*DesignSheet!C13)/(DesignSheet!C7*(DesignSheet!C11+1)) ) )+(A668+DesignSheet!C16))</f>
        <v>-0.39681393305838097</v>
      </c>
    </row>
    <row r="669" spans="1:3" x14ac:dyDescent="0.3">
      <c r="A669" s="6">
        <f>2*PI()*667/(DesignSheet!C9-1)</f>
        <v>11.641346110802177</v>
      </c>
      <c r="B669" s="6">
        <f>(DesignSheet!C11*DesignSheet!C13)*COS((A669+DesignSheet!C16)) + (DesignSheet!C7)*COS((DesignSheet!C11+1)*(A669+DesignSheet!C16)) - (DesignSheet!C6/2)*COS(ATAN( SIN(DesignSheet!C11*(A669+DesignSheet!C16)) / ( COS(DesignSheet!C11*(A669+DesignSheet!C16)) + (DesignSheet!C11*DesignSheet!C13)/(DesignSheet!C7*(DesignSheet!C11+1)) ) )+(A669+DesignSheet!C16))</f>
        <v>-0.62940422104163041</v>
      </c>
      <c r="C669" s="6">
        <f>(DesignSheet!C11*DesignSheet!C13)*SIN((A669+DesignSheet!C16)) + (DesignSheet!C7)*SIN((DesignSheet!C11+1)*(A669+DesignSheet!C16)) - (DesignSheet!C6/2)*SIN(ATAN( SIN(DesignSheet!C11*(A669+DesignSheet!C16)) / ( COS(DesignSheet!C11*(A669+DesignSheet!C16)) + (DesignSheet!C11*DesignSheet!C13)/(DesignSheet!C7*(DesignSheet!C11+1)) ) )+(A669+DesignSheet!C16))</f>
        <v>-0.40786067049297425</v>
      </c>
    </row>
    <row r="670" spans="1:3" x14ac:dyDescent="0.3">
      <c r="A670" s="6">
        <f>2*PI()*668/(DesignSheet!C9-1)</f>
        <v>11.658799403322123</v>
      </c>
      <c r="B670" s="6">
        <f>(DesignSheet!C11*DesignSheet!C13)*COS((A670+DesignSheet!C16)) + (DesignSheet!C7)*COS((DesignSheet!C11+1)*(A670+DesignSheet!C16)) - (DesignSheet!C6/2)*COS(ATAN( SIN(DesignSheet!C11*(A670+DesignSheet!C16)) / ( COS(DesignSheet!C11*(A670+DesignSheet!C16)) + (DesignSheet!C11*DesignSheet!C13)/(DesignSheet!C7*(DesignSheet!C11+1)) ) )+(A670+DesignSheet!C16))</f>
        <v>-0.62219020953895054</v>
      </c>
      <c r="C670" s="6">
        <f>(DesignSheet!C11*DesignSheet!C13)*SIN((A670+DesignSheet!C16)) + (DesignSheet!C7)*SIN((DesignSheet!C11+1)*(A670+DesignSheet!C16)) - (DesignSheet!C6/2)*SIN(ATAN( SIN(DesignSheet!C11*(A670+DesignSheet!C16)) / ( COS(DesignSheet!C11*(A670+DesignSheet!C16)) + (DesignSheet!C11*DesignSheet!C13)/(DesignSheet!C7*(DesignSheet!C11+1)) ) )+(A670+DesignSheet!C16))</f>
        <v>-0.41878316961630258</v>
      </c>
    </row>
    <row r="671" spans="1:3" x14ac:dyDescent="0.3">
      <c r="A671" s="6">
        <f>2*PI()*669/(DesignSheet!C9-1)</f>
        <v>11.676252695842065</v>
      </c>
      <c r="B671" s="6">
        <f>(DesignSheet!C11*DesignSheet!C13)*COS((A671+DesignSheet!C16)) + (DesignSheet!C7)*COS((DesignSheet!C11+1)*(A671+DesignSheet!C16)) - (DesignSheet!C6/2)*COS(ATAN( SIN(DesignSheet!C11*(A671+DesignSheet!C16)) / ( COS(DesignSheet!C11*(A671+DesignSheet!C16)) + (DesignSheet!C11*DesignSheet!C13)/(DesignSheet!C7*(DesignSheet!C11+1)) ) )+(A671+DesignSheet!C16))</f>
        <v>-0.61478667287115474</v>
      </c>
      <c r="C671" s="6">
        <f>(DesignSheet!C11*DesignSheet!C13)*SIN((A671+DesignSheet!C16)) + (DesignSheet!C7)*SIN((DesignSheet!C11+1)*(A671+DesignSheet!C16)) - (DesignSheet!C6/2)*SIN(ATAN( SIN(DesignSheet!C11*(A671+DesignSheet!C16)) / ( COS(DesignSheet!C11*(A671+DesignSheet!C16)) + (DesignSheet!C11*DesignSheet!C13)/(DesignSheet!C7*(DesignSheet!C11+1)) ) )+(A671+DesignSheet!C16))</f>
        <v>-0.42957810332931984</v>
      </c>
    </row>
    <row r="672" spans="1:3" x14ac:dyDescent="0.3">
      <c r="A672" s="6">
        <f>2*PI()*670/(DesignSheet!C9-1)</f>
        <v>11.693705988362007</v>
      </c>
      <c r="B672" s="6">
        <f>(DesignSheet!C11*DesignSheet!C13)*COS((A672+DesignSheet!C16)) + (DesignSheet!C7)*COS((DesignSheet!C11+1)*(A672+DesignSheet!C16)) - (DesignSheet!C6/2)*COS(ATAN( SIN(DesignSheet!C11*(A672+DesignSheet!C16)) / ( COS(DesignSheet!C11*(A672+DesignSheet!C16)) + (DesignSheet!C11*DesignSheet!C13)/(DesignSheet!C7*(DesignSheet!C11+1)) ) )+(A672+DesignSheet!C16))</f>
        <v>-0.6071958662272301</v>
      </c>
      <c r="C672" s="6">
        <f>(DesignSheet!C11*DesignSheet!C13)*SIN((A672+DesignSheet!C16)) + (DesignSheet!C7)*SIN((DesignSheet!C11+1)*(A672+DesignSheet!C16)) - (DesignSheet!C6/2)*SIN(ATAN( SIN(DesignSheet!C11*(A672+DesignSheet!C16)) / ( COS(DesignSheet!C11*(A672+DesignSheet!C16)) + (DesignSheet!C11*DesignSheet!C13)/(DesignSheet!C7*(DesignSheet!C11+1)) ) )+(A672+DesignSheet!C16))</f>
        <v>-0.44024218339064652</v>
      </c>
    </row>
    <row r="673" spans="1:3" x14ac:dyDescent="0.3">
      <c r="A673" s="6">
        <f>2*PI()*671/(DesignSheet!C9-1)</f>
        <v>11.711159280881949</v>
      </c>
      <c r="B673" s="6">
        <f>(DesignSheet!C11*DesignSheet!C13)*COS((A673+DesignSheet!C16)) + (DesignSheet!C7)*COS((DesignSheet!C11+1)*(A673+DesignSheet!C16)) - (DesignSheet!C6/2)*COS(ATAN( SIN(DesignSheet!C11*(A673+DesignSheet!C16)) / ( COS(DesignSheet!C11*(A673+DesignSheet!C16)) + (DesignSheet!C11*DesignSheet!C13)/(DesignSheet!C7*(DesignSheet!C11+1)) ) )+(A673+DesignSheet!C16))</f>
        <v>-0.59942010184041439</v>
      </c>
      <c r="C673" s="6">
        <f>(DesignSheet!C11*DesignSheet!C13)*SIN((A673+DesignSheet!C16)) + (DesignSheet!C7)*SIN((DesignSheet!C11+1)*(A673+DesignSheet!C16)) - (DesignSheet!C6/2)*SIN(ATAN( SIN(DesignSheet!C11*(A673+DesignSheet!C16)) / ( COS(DesignSheet!C11*(A673+DesignSheet!C16)) + (DesignSheet!C11*DesignSheet!C13)/(DesignSheet!C7*(DesignSheet!C11+1)) ) )+(A673+DesignSheet!C16))</f>
        <v>-0.45077216141819065</v>
      </c>
    </row>
    <row r="674" spans="1:3" x14ac:dyDescent="0.3">
      <c r="A674" s="6">
        <f>2*PI()*672/(DesignSheet!C9-1)</f>
        <v>11.728612573401895</v>
      </c>
      <c r="B674" s="6">
        <f>(DesignSheet!C11*DesignSheet!C13)*COS((A674+DesignSheet!C16)) + (DesignSheet!C7)*COS((DesignSheet!C11+1)*(A674+DesignSheet!C16)) - (DesignSheet!C6/2)*COS(ATAN( SIN(DesignSheet!C11*(A674+DesignSheet!C16)) / ( COS(DesignSheet!C11*(A674+DesignSheet!C16)) + (DesignSheet!C11*DesignSheet!C13)/(DesignSheet!C7*(DesignSheet!C11+1)) ) )+(A674+DesignSheet!C16))</f>
        <v>-0.59146174828386333</v>
      </c>
      <c r="C674" s="6">
        <f>(DesignSheet!C11*DesignSheet!C13)*SIN((A674+DesignSheet!C16)) + (DesignSheet!C7)*SIN((DesignSheet!C11+1)*(A674+DesignSheet!C16)) - (DesignSheet!C6/2)*SIN(ATAN( SIN(DesignSheet!C11*(A674+DesignSheet!C16)) / ( COS(DesignSheet!C11*(A674+DesignSheet!C16)) + (DesignSheet!C11*DesignSheet!C13)/(DesignSheet!C7*(DesignSheet!C11+1)) ) )+(A674+DesignSheet!C16))</f>
        <v>-0.46116482987864094</v>
      </c>
    </row>
    <row r="675" spans="1:3" x14ac:dyDescent="0.3">
      <c r="A675" s="6">
        <f>2*PI()*673/(DesignSheet!C9-1)</f>
        <v>11.746065865921837</v>
      </c>
      <c r="B675" s="6">
        <f>(DesignSheet!C11*DesignSheet!C13)*COS((A675+DesignSheet!C16)) + (DesignSheet!C7)*COS((DesignSheet!C11+1)*(A675+DesignSheet!C16)) - (DesignSheet!C6/2)*COS(ATAN( SIN(DesignSheet!C11*(A675+DesignSheet!C16)) / ( COS(DesignSheet!C11*(A675+DesignSheet!C16)) + (DesignSheet!C11*DesignSheet!C13)/(DesignSheet!C7*(DesignSheet!C11+1)) ) )+(A675+DesignSheet!C16))</f>
        <v>-0.58332322974916817</v>
      </c>
      <c r="C675" s="6">
        <f>(DesignSheet!C11*DesignSheet!C13)*SIN((A675+DesignSheet!C16)) + (DesignSheet!C7)*SIN((DesignSheet!C11+1)*(A675+DesignSheet!C16)) - (DesignSheet!C6/2)*SIN(ATAN( SIN(DesignSheet!C11*(A675+DesignSheet!C16)) / ( COS(DesignSheet!C11*(A675+DesignSheet!C16)) + (DesignSheet!C11*DesignSheet!C13)/(DesignSheet!C7*(DesignSheet!C11+1)) ) )+(A675+DesignSheet!C16))</f>
        <v>-0.47141702306450395</v>
      </c>
    </row>
    <row r="676" spans="1:3" x14ac:dyDescent="0.3">
      <c r="A676" s="6">
        <f>2*PI()*674/(DesignSheet!C9-1)</f>
        <v>11.763519158441779</v>
      </c>
      <c r="B676" s="6">
        <f>(DesignSheet!C11*DesignSheet!C13)*COS((A676+DesignSheet!C16)) + (DesignSheet!C7)*COS((DesignSheet!C11+1)*(A676+DesignSheet!C16)) - (DesignSheet!C6/2)*COS(ATAN( SIN(DesignSheet!C11*(A676+DesignSheet!C16)) / ( COS(DesignSheet!C11*(A676+DesignSheet!C16)) + (DesignSheet!C11*DesignSheet!C13)/(DesignSheet!C7*(DesignSheet!C11+1)) ) )+(A676+DesignSheet!C16))</f>
        <v>-0.57500702530791248</v>
      </c>
      <c r="C676" s="6">
        <f>(DesignSheet!C11*DesignSheet!C13)*SIN((A676+DesignSheet!C16)) + (DesignSheet!C7)*SIN((DesignSheet!C11+1)*(A676+DesignSheet!C16)) - (DesignSheet!C6/2)*SIN(ATAN( SIN(DesignSheet!C11*(A676+DesignSheet!C16)) / ( COS(DesignSheet!C11*(A676+DesignSheet!C16)) + (DesignSheet!C11*DesignSheet!C13)/(DesignSheet!C7*(DesignSheet!C11+1)) ) )+(A676+DesignSheet!C16))</f>
        <v>-0.48152561805842242</v>
      </c>
    </row>
    <row r="677" spans="1:3" x14ac:dyDescent="0.3">
      <c r="A677" s="6">
        <f>2*PI()*675/(DesignSheet!C9-1)</f>
        <v>11.780972450961725</v>
      </c>
      <c r="B677" s="6">
        <f>(DesignSheet!C11*DesignSheet!C13)*COS((A677+DesignSheet!C16)) + (DesignSheet!C7)*COS((DesignSheet!C11+1)*(A677+DesignSheet!C16)) - (DesignSheet!C6/2)*COS(ATAN( SIN(DesignSheet!C11*(A677+DesignSheet!C16)) / ( COS(DesignSheet!C11*(A677+DesignSheet!C16)) + (DesignSheet!C11*DesignSheet!C13)/(DesignSheet!C7*(DesignSheet!C11+1)) ) )+(A677+DesignSheet!C16))</f>
        <v>-0.5665156681565281</v>
      </c>
      <c r="C677" s="6">
        <f>(DesignSheet!C11*DesignSheet!C13)*SIN((A677+DesignSheet!C16)) + (DesignSheet!C7)*SIN((DesignSheet!C11+1)*(A677+DesignSheet!C16)) - (DesignSheet!C6/2)*SIN(ATAN( SIN(DesignSheet!C11*(A677+DesignSheet!C16)) / ( COS(DesignSheet!C11*(A677+DesignSheet!C16)) + (DesignSheet!C11*DesignSheet!C13)/(DesignSheet!C7*(DesignSheet!C11+1)) ) )+(A677+DesignSheet!C16))</f>
        <v>-0.49148753568443893</v>
      </c>
    </row>
    <row r="678" spans="1:3" x14ac:dyDescent="0.3">
      <c r="A678" s="6">
        <f>2*PI()*676/(DesignSheet!C9-1)</f>
        <v>11.798425743481667</v>
      </c>
      <c r="B678" s="6">
        <f>(DesignSheet!C11*DesignSheet!C13)*COS((A678+DesignSheet!C16)) + (DesignSheet!C7)*COS((DesignSheet!C11+1)*(A678+DesignSheet!C16)) - (DesignSheet!C6/2)*COS(ATAN( SIN(DesignSheet!C11*(A678+DesignSheet!C16)) / ( COS(DesignSheet!C11*(A678+DesignSheet!C16)) + (DesignSheet!C11*DesignSheet!C13)/(DesignSheet!C7*(DesignSheet!C11+1)) ) )+(A678+DesignSheet!C16))</f>
        <v>-0.55785174484466449</v>
      </c>
      <c r="C678" s="6">
        <f>(DesignSheet!C11*DesignSheet!C13)*SIN((A678+DesignSheet!C16)) + (DesignSheet!C7)*SIN((DesignSheet!C11+1)*(A678+DesignSheet!C16)) - (DesignSheet!C6/2)*SIN(ATAN( SIN(DesignSheet!C11*(A678+DesignSheet!C16)) / ( COS(DesignSheet!C11*(A678+DesignSheet!C16)) + (DesignSheet!C11*DesignSheet!C13)/(DesignSheet!C7*(DesignSheet!C11+1)) ) )+(A678+DesignSheet!C16))</f>
        <v>-0.50129974144593714</v>
      </c>
    </row>
    <row r="679" spans="1:3" x14ac:dyDescent="0.3">
      <c r="A679" s="6">
        <f>2*PI()*677/(DesignSheet!C9-1)</f>
        <v>11.815879036001611</v>
      </c>
      <c r="B679" s="6">
        <f>(DesignSheet!C11*DesignSheet!C13)*COS((A679+DesignSheet!C16)) + (DesignSheet!C7)*COS((DesignSheet!C11+1)*(A679+DesignSheet!C16)) - (DesignSheet!C6/2)*COS(ATAN( SIN(DesignSheet!C11*(A679+DesignSheet!C16)) / ( COS(DesignSheet!C11*(A679+DesignSheet!C16)) + (DesignSheet!C11*DesignSheet!C13)/(DesignSheet!C7*(DesignSheet!C11+1)) ) )+(A679+DesignSheet!C16))</f>
        <v>-0.54901789448728899</v>
      </c>
      <c r="C679" s="6">
        <f>(DesignSheet!C11*DesignSheet!C13)*SIN((A679+DesignSheet!C16)) + (DesignSheet!C7)*SIN((DesignSheet!C11+1)*(A679+DesignSheet!C16)) - (DesignSheet!C6/2)*SIN(ATAN( SIN(DesignSheet!C11*(A679+DesignSheet!C16)) / ( COS(DesignSheet!C11*(A679+DesignSheet!C16)) + (DesignSheet!C11*DesignSheet!C13)/(DesignSheet!C7*(DesignSheet!C11+1)) ) )+(A679+DesignSheet!C16))</f>
        <v>-0.51095924644999235</v>
      </c>
    </row>
    <row r="680" spans="1:3" x14ac:dyDescent="0.3">
      <c r="A680" s="6">
        <f>2*PI()*678/(DesignSheet!C9-1)</f>
        <v>11.833332328521553</v>
      </c>
      <c r="B680" s="6">
        <f>(DesignSheet!C11*DesignSheet!C13)*COS((A680+DesignSheet!C16)) + (DesignSheet!C7)*COS((DesignSheet!C11+1)*(A680+DesignSheet!C16)) - (DesignSheet!C6/2)*COS(ATAN( SIN(DesignSheet!C11*(A680+DesignSheet!C16)) / ( COS(DesignSheet!C11*(A680+DesignSheet!C16)) + (DesignSheet!C11*DesignSheet!C13)/(DesignSheet!C7*(DesignSheet!C11+1)) ) )+(A680+DesignSheet!C16))</f>
        <v>-0.54001680796079787</v>
      </c>
      <c r="C680" s="6">
        <f>(DesignSheet!C11*DesignSheet!C13)*SIN((A680+DesignSheet!C16)) + (DesignSheet!C7)*SIN((DesignSheet!C11+1)*(A680+DesignSheet!C16)) - (DesignSheet!C6/2)*SIN(ATAN( SIN(DesignSheet!C11*(A680+DesignSheet!C16)) / ( COS(DesignSheet!C11*(A680+DesignSheet!C16)) + (DesignSheet!C11*DesignSheet!C13)/(DesignSheet!C7*(DesignSheet!C11+1)) ) )+(A680+DesignSheet!C16))</f>
        <v>-0.52046310831780462</v>
      </c>
    </row>
    <row r="681" spans="1:3" x14ac:dyDescent="0.3">
      <c r="A681" s="6">
        <f>2*PI()*679/(DesignSheet!C9-1)</f>
        <v>11.850785621041497</v>
      </c>
      <c r="B681" s="6">
        <f>(DesignSheet!C11*DesignSheet!C13)*COS((A681+DesignSheet!C16)) + (DesignSheet!C7)*COS((DesignSheet!C11+1)*(A681+DesignSheet!C16)) - (DesignSheet!C6/2)*COS(ATAN( SIN(DesignSheet!C11*(A681+DesignSheet!C16)) / ( COS(DesignSheet!C11*(A681+DesignSheet!C16)) + (DesignSheet!C11*DesignSheet!C13)/(DesignSheet!C7*(DesignSheet!C11+1)) ) )+(A681+DesignSheet!C16))</f>
        <v>-0.53085122708334065</v>
      </c>
      <c r="C681" s="6">
        <f>(DesignSheet!C11*DesignSheet!C13)*SIN((A681+DesignSheet!C16)) + (DesignSheet!C7)*SIN((DesignSheet!C11+1)*(A681+DesignSheet!C16)) - (DesignSheet!C6/2)*SIN(ATAN( SIN(DesignSheet!C11*(A681+DesignSheet!C16)) / ( COS(DesignSheet!C11*(A681+DesignSheet!C16)) + (DesignSheet!C11*DesignSheet!C13)/(DesignSheet!C7*(DesignSheet!C11+1)) ) )+(A681+DesignSheet!C16))</f>
        <v>-0.52980843208098483</v>
      </c>
    </row>
    <row r="682" spans="1:3" x14ac:dyDescent="0.3">
      <c r="A682" s="6">
        <f>2*PI()*680/(DesignSheet!C9-1)</f>
        <v>11.868238913561441</v>
      </c>
      <c r="B682" s="6">
        <f>(DesignSheet!C11*DesignSheet!C13)*COS((A682+DesignSheet!C16)) + (DesignSheet!C7)*COS((DesignSheet!C11+1)*(A682+DesignSheet!C16)) - (DesignSheet!C6/2)*COS(ATAN( SIN(DesignSheet!C11*(A682+DesignSheet!C16)) / ( COS(DesignSheet!C11*(A682+DesignSheet!C16)) + (DesignSheet!C11*DesignSheet!C13)/(DesignSheet!C7*(DesignSheet!C11+1)) ) )+(A682+DesignSheet!C16))</f>
        <v>-0.52152394377964262</v>
      </c>
      <c r="C682" s="6">
        <f>(DesignSheet!C11*DesignSheet!C13)*SIN((A682+DesignSheet!C16)) + (DesignSheet!C7)*SIN((DesignSheet!C11+1)*(A682+DesignSheet!C16)) - (DesignSheet!C6/2)*SIN(ATAN( SIN(DesignSheet!C11*(A682+DesignSheet!C16)) / ( COS(DesignSheet!C11*(A682+DesignSheet!C16)) + (DesignSheet!C11*DesignSheet!C13)/(DesignSheet!C7*(DesignSheet!C11+1)) ) )+(A682+DesignSheet!C16))</f>
        <v>-0.5389923710633836</v>
      </c>
    </row>
    <row r="683" spans="1:3" x14ac:dyDescent="0.3">
      <c r="A683" s="6">
        <f>2*PI()*681/(DesignSheet!C9-1)</f>
        <v>11.885692206081384</v>
      </c>
      <c r="B683" s="6">
        <f>(DesignSheet!C11*DesignSheet!C13)*COS((A683+DesignSheet!C16)) + (DesignSheet!C7)*COS((DesignSheet!C11+1)*(A683+DesignSheet!C16)) - (DesignSheet!C6/2)*COS(ATAN( SIN(DesignSheet!C11*(A683+DesignSheet!C16)) / ( COS(DesignSheet!C11*(A683+DesignSheet!C16)) + (DesignSheet!C11*DesignSheet!C13)/(DesignSheet!C7*(DesignSheet!C11+1)) ) )+(A683+DesignSheet!C16))</f>
        <v>-0.51203779923055426</v>
      </c>
      <c r="C683" s="6">
        <f>(DesignSheet!C11*DesignSheet!C13)*SIN((A683+DesignSheet!C16)) + (DesignSheet!C7)*SIN((DesignSheet!C11+1)*(A683+DesignSheet!C16)) - (DesignSheet!C6/2)*SIN(ATAN( SIN(DesignSheet!C11*(A683+DesignSheet!C16)) / ( COS(DesignSheet!C11*(A683+DesignSheet!C16)) + (DesignSheet!C11*DesignSheet!C13)/(DesignSheet!C7*(DesignSheet!C11+1)) ) )+(A683+DesignSheet!C16))</f>
        <v>-0.54801212774821917</v>
      </c>
    </row>
    <row r="684" spans="1:3" x14ac:dyDescent="0.3">
      <c r="A684" s="6">
        <f>2*PI()*682/(DesignSheet!C9-1)</f>
        <v>11.903145498601326</v>
      </c>
      <c r="B684" s="6">
        <f>(DesignSheet!C11*DesignSheet!C13)*COS((A684+DesignSheet!C16)) + (DesignSheet!C7)*COS((DesignSheet!C11+1)*(A684+DesignSheet!C16)) - (DesignSheet!C6/2)*COS(ATAN( SIN(DesignSheet!C11*(A684+DesignSheet!C16)) / ( COS(DesignSheet!C11*(A684+DesignSheet!C16)) + (DesignSheet!C11*DesignSheet!C13)/(DesignSheet!C7*(DesignSheet!C11+1)) ) )+(A684+DesignSheet!C16))</f>
        <v>-0.50239568300759885</v>
      </c>
      <c r="C684" s="6">
        <f>(DesignSheet!C11*DesignSheet!C13)*SIN((A684+DesignSheet!C16)) + (DesignSheet!C7)*SIN((DesignSheet!C11+1)*(A684+DesignSheet!C16)) - (DesignSheet!C6/2)*SIN(ATAN( SIN(DesignSheet!C11*(A684+DesignSheet!C16)) / ( COS(DesignSheet!C11*(A684+DesignSheet!C16)) + (DesignSheet!C11*DesignSheet!C13)/(DesignSheet!C7*(DesignSheet!C11+1)) ) )+(A684+DesignSheet!C16))</f>
        <v>-0.55686495463023011</v>
      </c>
    </row>
    <row r="685" spans="1:3" x14ac:dyDescent="0.3">
      <c r="A685" s="6">
        <f>2*PI()*683/(DesignSheet!C9-1)</f>
        <v>11.920598791121272</v>
      </c>
      <c r="B685" s="6">
        <f>(DesignSheet!C11*DesignSheet!C13)*COS((A685+DesignSheet!C16)) + (DesignSheet!C7)*COS((DesignSheet!C11+1)*(A685+DesignSheet!C16)) - (DesignSheet!C6/2)*COS(ATAN( SIN(DesignSheet!C11*(A685+DesignSheet!C16)) / ( COS(DesignSheet!C11*(A685+DesignSheet!C16)) + (DesignSheet!C11*DesignSheet!C13)/(DesignSheet!C7*(DesignSheet!C11+1)) ) )+(A685+DesignSheet!C16))</f>
        <v>-0.49260053219278105</v>
      </c>
      <c r="C685" s="6">
        <f>(DesignSheet!C11*DesignSheet!C13)*SIN((A685+DesignSheet!C16)) + (DesignSheet!C7)*SIN((DesignSheet!C11+1)*(A685+DesignSheet!C16)) - (DesignSheet!C6/2)*SIN(ATAN( SIN(DesignSheet!C11*(A685+DesignSheet!C16)) / ( COS(DesignSheet!C11*(A685+DesignSheet!C16)) + (DesignSheet!C11*DesignSheet!C13)/(DesignSheet!C7*(DesignSheet!C11+1)) ) )+(A685+DesignSheet!C16))</f>
        <v>-0.56554815505259037</v>
      </c>
    </row>
    <row r="686" spans="1:3" x14ac:dyDescent="0.3">
      <c r="A686" s="6">
        <f>2*PI()*684/(DesignSheet!C9-1)</f>
        <v>11.938052083641214</v>
      </c>
      <c r="B686" s="6">
        <f>(DesignSheet!C11*DesignSheet!C13)*COS((A686+DesignSheet!C16)) + (DesignSheet!C7)*COS((DesignSheet!C11+1)*(A686+DesignSheet!C16)) - (DesignSheet!C6/2)*COS(ATAN( SIN(DesignSheet!C11*(A686+DesignSheet!C16)) / ( COS(DesignSheet!C11*(A686+DesignSheet!C16)) + (DesignSheet!C11*DesignSheet!C13)/(DesignSheet!C7*(DesignSheet!C11+1)) ) )+(A686+DesignSheet!C16))</f>
        <v>-0.48265533048393083</v>
      </c>
      <c r="C686" s="6">
        <f>(DesignSheet!C11*DesignSheet!C13)*SIN((A686+DesignSheet!C16)) + (DesignSheet!C7)*SIN((DesignSheet!C11+1)*(A686+DesignSheet!C16)) - (DesignSheet!C6/2)*SIN(ATAN( SIN(DesignSheet!C11*(A686+DesignSheet!C16)) / ( COS(DesignSheet!C11*(A686+DesignSheet!C16)) + (DesignSheet!C11*DesignSheet!C13)/(DesignSheet!C7*(DesignSheet!C11+1)) ) )+(A686+DesignSheet!C16))</f>
        <v>-0.57405908402833195</v>
      </c>
    </row>
    <row r="687" spans="1:3" x14ac:dyDescent="0.3">
      <c r="A687" s="6">
        <f>2*PI()*685/(DesignSheet!C9-1)</f>
        <v>11.955505376161156</v>
      </c>
      <c r="B687" s="6">
        <f>(DesignSheet!C11*DesignSheet!C13)*COS((A687+DesignSheet!C16)) + (DesignSheet!C7)*COS((DesignSheet!C11+1)*(A687+DesignSheet!C16)) - (DesignSheet!C6/2)*COS(ATAN( SIN(DesignSheet!C11*(A687+DesignSheet!C16)) / ( COS(DesignSheet!C11*(A687+DesignSheet!C16)) + (DesignSheet!C11*DesignSheet!C13)/(DesignSheet!C7*(DesignSheet!C11+1)) ) )+(A687+DesignSheet!C16))</f>
        <v>-0.47256310728582807</v>
      </c>
      <c r="C687" s="6">
        <f>(DesignSheet!C11*DesignSheet!C13)*SIN((A687+DesignSheet!C16)) + (DesignSheet!C7)*SIN((DesignSheet!C11+1)*(A687+DesignSheet!C16)) - (DesignSheet!C6/2)*SIN(ATAN( SIN(DesignSheet!C11*(A687+DesignSheet!C16)) / ( COS(DesignSheet!C11*(A687+DesignSheet!C16)) + (DesignSheet!C11*DesignSheet!C13)/(DesignSheet!C7*(DesignSheet!C11+1)) ) )+(A687+DesignSheet!C16))</f>
        <v>-0.58239514904604328</v>
      </c>
    </row>
    <row r="688" spans="1:3" x14ac:dyDescent="0.3">
      <c r="A688" s="6">
        <f>2*PI()*686/(DesignSheet!C9-1)</f>
        <v>11.972958668681102</v>
      </c>
      <c r="B688" s="6">
        <f>(DesignSheet!C11*DesignSheet!C13)*COS((A688+DesignSheet!C16)) + (DesignSheet!C7)*COS((DesignSheet!C11+1)*(A688+DesignSheet!C16)) - (DesignSheet!C6/2)*COS(ATAN( SIN(DesignSheet!C11*(A688+DesignSheet!C16)) / ( COS(DesignSheet!C11*(A688+DesignSheet!C16)) + (DesignSheet!C11*DesignSheet!C13)/(DesignSheet!C7*(DesignSheet!C11+1)) ) )+(A688+DesignSheet!C16))</f>
        <v>-0.46232693678742232</v>
      </c>
      <c r="C688" s="6">
        <f>(DesignSheet!C11*DesignSheet!C13)*SIN((A688+DesignSheet!C16)) + (DesignSheet!C7)*SIN((DesignSheet!C11+1)*(A688+DesignSheet!C16)) - (DesignSheet!C6/2)*SIN(ATAN( SIN(DesignSheet!C11*(A688+DesignSheet!C16)) / ( COS(DesignSheet!C11*(A688+DesignSheet!C16)) + (DesignSheet!C11*DesignSheet!C13)/(DesignSheet!C7*(DesignSheet!C11+1)) ) )+(A688+DesignSheet!C16))</f>
        <v>-0.59055381085956826</v>
      </c>
    </row>
    <row r="689" spans="1:3" x14ac:dyDescent="0.3">
      <c r="A689" s="6">
        <f>2*PI()*687/(DesignSheet!C9-1)</f>
        <v>11.990411961201044</v>
      </c>
      <c r="B689" s="6">
        <f>(DesignSheet!C11*DesignSheet!C13)*COS((A689+DesignSheet!C16)) + (DesignSheet!C7)*COS((DesignSheet!C11+1)*(A689+DesignSheet!C16)) - (DesignSheet!C6/2)*COS(ATAN( SIN(DesignSheet!C11*(A689+DesignSheet!C16)) / ( COS(DesignSheet!C11*(A689+DesignSheet!C16)) + (DesignSheet!C11*DesignSheet!C13)/(DesignSheet!C7*(DesignSheet!C11+1)) ) )+(A689+DesignSheet!C16))</f>
        <v>-0.45194993702541153</v>
      </c>
      <c r="C689" s="6">
        <f>(DesignSheet!C11*DesignSheet!C13)*SIN((A689+DesignSheet!C16)) + (DesignSheet!C7)*SIN((DesignSheet!C11+1)*(A689+DesignSheet!C16)) - (DesignSheet!C6/2)*SIN(ATAN( SIN(DesignSheet!C11*(A689+DesignSheet!C16)) / ( COS(DesignSheet!C11*(A689+DesignSheet!C16)) + (DesignSheet!C11*DesignSheet!C13)/(DesignSheet!C7*(DesignSheet!C11+1)) ) )+(A689+DesignSheet!C16))</f>
        <v>-0.5985325842614807</v>
      </c>
    </row>
    <row r="690" spans="1:3" x14ac:dyDescent="0.3">
      <c r="A690" s="6">
        <f>2*PI()*688/(DesignSheet!C9-1)</f>
        <v>12.007865253720986</v>
      </c>
      <c r="B690" s="6">
        <f>(DesignSheet!C11*DesignSheet!C13)*COS((A690+DesignSheet!C16)) + (DesignSheet!C7)*COS((DesignSheet!C11+1)*(A690+DesignSheet!C16)) - (DesignSheet!C6/2)*COS(ATAN( SIN(DesignSheet!C11*(A690+DesignSheet!C16)) / ( COS(DesignSheet!C11*(A690+DesignSheet!C16)) + (DesignSheet!C11*DesignSheet!C13)/(DesignSheet!C7*(DesignSheet!C11+1)) ) )+(A690+DesignSheet!C16))</f>
        <v>-0.44143526893444562</v>
      </c>
      <c r="C690" s="6">
        <f>(DesignSheet!C11*DesignSheet!C13)*SIN((A690+DesignSheet!C16)) + (DesignSheet!C7)*SIN((DesignSheet!C11+1)*(A690+DesignSheet!C16)) - (DesignSheet!C6/2)*SIN(ATAN( SIN(DesignSheet!C11*(A690+DesignSheet!C16)) / ( COS(DesignSheet!C11*(A690+DesignSheet!C16)) + (DesignSheet!C11*DesignSheet!C13)/(DesignSheet!C7*(DesignSheet!C11+1)) ) )+(A690+DesignSheet!C16))</f>
        <v>-0.60632903884011169</v>
      </c>
    </row>
    <row r="691" spans="1:3" x14ac:dyDescent="0.3">
      <c r="A691" s="6">
        <f>2*PI()*689/(DesignSheet!C9-1)</f>
        <v>12.025318546240928</v>
      </c>
      <c r="B691" s="6">
        <f>(DesignSheet!C11*DesignSheet!C13)*COS((A691+DesignSheet!C16)) + (DesignSheet!C7)*COS((DesignSheet!C11+1)*(A691+DesignSheet!C16)) - (DesignSheet!C6/2)*COS(ATAN( SIN(DesignSheet!C11*(A691+DesignSheet!C16)) / ( COS(DesignSheet!C11*(A691+DesignSheet!C16)) + (DesignSheet!C11*DesignSheet!C13)/(DesignSheet!C7*(DesignSheet!C11+1)) ) )+(A691+DesignSheet!C16))</f>
        <v>-0.43078613538428268</v>
      </c>
      <c r="C691" s="6">
        <f>(DesignSheet!C11*DesignSheet!C13)*SIN((A691+DesignSheet!C16)) + (DesignSheet!C7)*SIN((DesignSheet!C11+1)*(A691+DesignSheet!C16)) - (DesignSheet!C6/2)*SIN(ATAN( SIN(DesignSheet!C11*(A691+DesignSheet!C16)) / ( COS(DesignSheet!C11*(A691+DesignSheet!C16)) + (DesignSheet!C11*DesignSheet!C13)/(DesignSheet!C7*(DesignSheet!C11+1)) ) )+(A691+DesignSheet!C16))</f>
        <v>-0.6139407997198707</v>
      </c>
    </row>
    <row r="692" spans="1:3" x14ac:dyDescent="0.3">
      <c r="A692" s="6">
        <f>2*PI()*690/(DesignSheet!C9-1)</f>
        <v>12.042771838760874</v>
      </c>
      <c r="B692" s="6">
        <f>(DesignSheet!C11*DesignSheet!C13)*COS((A692+DesignSheet!C16)) + (DesignSheet!C7)*COS((DesignSheet!C11+1)*(A692+DesignSheet!C16)) - (DesignSheet!C6/2)*COS(ATAN( SIN(DesignSheet!C11*(A692+DesignSheet!C16)) / ( COS(DesignSheet!C11*(A692+DesignSheet!C16)) + (DesignSheet!C11*DesignSheet!C13)/(DesignSheet!C7*(DesignSheet!C11+1)) ) )+(A692+DesignSheet!C16))</f>
        <v>-0.42000578020416057</v>
      </c>
      <c r="C692" s="6">
        <f>(DesignSheet!C11*DesignSheet!C13)*SIN((A692+DesignSheet!C16)) + (DesignSheet!C7)*SIN((DesignSheet!C11+1)*(A692+DesignSheet!C16)) - (DesignSheet!C6/2)*SIN(ATAN( SIN(DesignSheet!C11*(A692+DesignSheet!C16)) / ( COS(DesignSheet!C11*(A692+DesignSheet!C16)) + (DesignSheet!C11*DesignSheet!C13)/(DesignSheet!C7*(DesignSheet!C11+1)) ) )+(A692+DesignSheet!C16))</f>
        <v>-0.62136554828465851</v>
      </c>
    </row>
    <row r="693" spans="1:3" x14ac:dyDescent="0.3">
      <c r="A693" s="6">
        <f>2*PI()*691/(DesignSheet!C9-1)</f>
        <v>12.060225131280816</v>
      </c>
      <c r="B693" s="6">
        <f>(DesignSheet!C11*DesignSheet!C13)*COS((A693+DesignSheet!C16)) + (DesignSheet!C7)*COS((DesignSheet!C11+1)*(A693+DesignSheet!C16)) - (DesignSheet!C6/2)*COS(ATAN( SIN(DesignSheet!C11*(A693+DesignSheet!C16)) / ( COS(DesignSheet!C11*(A693+DesignSheet!C16)) + (DesignSheet!C11*DesignSheet!C13)/(DesignSheet!C7*(DesignSheet!C11+1)) ) )+(A693+DesignSheet!C16))</f>
        <v>-0.40909748719470318</v>
      </c>
      <c r="C693" s="6">
        <f>(DesignSheet!C11*DesignSheet!C13)*SIN((A693+DesignSheet!C16)) + (DesignSheet!C7)*SIN((DesignSheet!C11+1)*(A693+DesignSheet!C16)) - (DesignSheet!C6/2)*SIN(ATAN( SIN(DesignSheet!C11*(A693+DesignSheet!C16)) / ( COS(DesignSheet!C11*(A693+DesignSheet!C16)) + (DesignSheet!C11*DesignSheet!C13)/(DesignSheet!C7*(DesignSheet!C11+1)) ) )+(A693+DesignSheet!C16))</f>
        <v>-0.62860102288413411</v>
      </c>
    </row>
    <row r="694" spans="1:3" x14ac:dyDescent="0.3">
      <c r="A694" s="6">
        <f>2*PI()*692/(DesignSheet!C9-1)</f>
        <v>12.07767842380076</v>
      </c>
      <c r="B694" s="6">
        <f>(DesignSheet!C11*DesignSheet!C13)*COS((A694+DesignSheet!C16)) + (DesignSheet!C7)*COS((DesignSheet!C11+1)*(A694+DesignSheet!C16)) - (DesignSheet!C6/2)*COS(ATAN( SIN(DesignSheet!C11*(A694+DesignSheet!C16)) / ( COS(DesignSheet!C11*(A694+DesignSheet!C16)) + (DesignSheet!C11*DesignSheet!C13)/(DesignSheet!C7*(DesignSheet!C11+1)) ) )+(A694+DesignSheet!C16))</f>
        <v>-0.39806457912762871</v>
      </c>
      <c r="C694" s="6">
        <f>(DesignSheet!C11*DesignSheet!C13)*SIN((A694+DesignSheet!C16)) + (DesignSheet!C7)*SIN((DesignSheet!C11+1)*(A694+DesignSheet!C16)) - (DesignSheet!C6/2)*SIN(ATAN( SIN(DesignSheet!C11*(A694+DesignSheet!C16)) / ( COS(DesignSheet!C11*(A694+DesignSheet!C16)) + (DesignSheet!C11*DesignSheet!C13)/(DesignSheet!C7*(DesignSheet!C11+1)) ) )+(A694+DesignSheet!C16))</f>
        <v>-0.63564501952264507</v>
      </c>
    </row>
    <row r="695" spans="1:3" x14ac:dyDescent="0.3">
      <c r="A695" s="6">
        <f>2*PI()*693/(DesignSheet!C9-1)</f>
        <v>12.095131716320703</v>
      </c>
      <c r="B695" s="6">
        <f>(DesignSheet!C11*DesignSheet!C13)*COS((A695+DesignSheet!C16)) + (DesignSheet!C7)*COS((DesignSheet!C11+1)*(A695+DesignSheet!C16)) - (DesignSheet!C6/2)*COS(ATAN( SIN(DesignSheet!C11*(A695+DesignSheet!C16)) / ( COS(DesignSheet!C11*(A695+DesignSheet!C16)) + (DesignSheet!C11*DesignSheet!C13)/(DesignSheet!C7*(DesignSheet!C11+1)) ) )+(A695+DesignSheet!C16))</f>
        <v>-0.38691041673361493</v>
      </c>
      <c r="C695" s="6">
        <f>(DesignSheet!C11*DesignSheet!C13)*SIN((A695+DesignSheet!C16)) + (DesignSheet!C7)*SIN((DesignSheet!C11+1)*(A695+DesignSheet!C16)) - (DesignSheet!C6/2)*SIN(ATAN( SIN(DesignSheet!C11*(A695+DesignSheet!C16)) / ( COS(DesignSheet!C11*(A695+DesignSheet!C16)) + (DesignSheet!C11*DesignSheet!C13)/(DesignSheet!C7*(DesignSheet!C11+1)) ) )+(A695+DesignSheet!C16))</f>
        <v>-0.64249539253057708</v>
      </c>
    </row>
    <row r="696" spans="1:3" x14ac:dyDescent="0.3">
      <c r="A696" s="6">
        <f>2*PI()*694/(DesignSheet!C9-1)</f>
        <v>12.112585008840647</v>
      </c>
      <c r="B696" s="6">
        <f>(DesignSheet!C11*DesignSheet!C13)*COS((A696+DesignSheet!C16)) + (DesignSheet!C7)*COS((DesignSheet!C11+1)*(A696+DesignSheet!C16)) - (DesignSheet!C6/2)*COS(ATAN( SIN(DesignSheet!C11*(A696+DesignSheet!C16)) / ( COS(DesignSheet!C11*(A696+DesignSheet!C16)) + (DesignSheet!C11*DesignSheet!C13)/(DesignSheet!C7*(DesignSheet!C11+1)) ) )+(A696+DesignSheet!C16))</f>
        <v>-0.37563839767857765</v>
      </c>
      <c r="C696" s="6">
        <f>(DesignSheet!C11*DesignSheet!C13)*SIN((A696+DesignSheet!C16)) + (DesignSheet!C7)*SIN((DesignSheet!C11+1)*(A696+DesignSheet!C16)) - (DesignSheet!C6/2)*SIN(ATAN( SIN(DesignSheet!C11*(A696+DesignSheet!C16)) / ( COS(DesignSheet!C11*(A696+DesignSheet!C16)) + (DesignSheet!C11*DesignSheet!C13)/(DesignSheet!C7*(DesignSheet!C11+1)) ) )+(A696+DesignSheet!C16))</f>
        <v>-0.64915005521795255</v>
      </c>
    </row>
    <row r="697" spans="1:3" x14ac:dyDescent="0.3">
      <c r="A697" s="6">
        <f>2*PI()*695/(DesignSheet!C9-1)</f>
        <v>12.130038301360591</v>
      </c>
      <c r="B697" s="6">
        <f>(DesignSheet!C11*DesignSheet!C13)*COS((A697+DesignSheet!C16)) + (DesignSheet!C7)*COS((DesignSheet!C11+1)*(A697+DesignSheet!C16)) - (DesignSheet!C6/2)*COS(ATAN( SIN(DesignSheet!C11*(A697+DesignSheet!C16)) / ( COS(DesignSheet!C11*(A697+DesignSheet!C16)) + (DesignSheet!C11*DesignSheet!C13)/(DesignSheet!C7*(DesignSheet!C11+1)) ) )+(A697+DesignSheet!C16))</f>
        <v>-0.36425195552871659</v>
      </c>
      <c r="C697" s="6">
        <f>(DesignSheet!C11*DesignSheet!C13)*SIN((A697+DesignSheet!C16)) + (DesignSheet!C7)*SIN((DesignSheet!C11+1)*(A697+DesignSheet!C16)) - (DesignSheet!C6/2)*SIN(ATAN( SIN(DesignSheet!C11*(A697+DesignSheet!C16)) / ( COS(DesignSheet!C11*(A697+DesignSheet!C16)) + (DesignSheet!C11*DesignSheet!C13)/(DesignSheet!C7*(DesignSheet!C11+1)) ) )+(A697+DesignSheet!C16))</f>
        <v>-0.65560698051005062</v>
      </c>
    </row>
    <row r="698" spans="1:3" x14ac:dyDescent="0.3">
      <c r="A698" s="6">
        <f>2*PI()*696/(DesignSheet!C9-1)</f>
        <v>12.147491593880533</v>
      </c>
      <c r="B698" s="6">
        <f>(DesignSheet!C11*DesignSheet!C13)*COS((A698+DesignSheet!C16)) + (DesignSheet!C7)*COS((DesignSheet!C11+1)*(A698+DesignSheet!C16)) - (DesignSheet!C6/2)*COS(ATAN( SIN(DesignSheet!C11*(A698+DesignSheet!C16)) / ( COS(DesignSheet!C11*(A698+DesignSheet!C16)) + (DesignSheet!C11*DesignSheet!C13)/(DesignSheet!C7*(DesignSheet!C11+1)) ) )+(A698+DesignSheet!C16))</f>
        <v>-0.3527545587046147</v>
      </c>
      <c r="C698" s="6">
        <f>(DesignSheet!C11*DesignSheet!C13)*SIN((A698+DesignSheet!C16)) + (DesignSheet!C7)*SIN((DesignSheet!C11+1)*(A698+DesignSheet!C16)) - (DesignSheet!C6/2)*SIN(ATAN( SIN(DesignSheet!C11*(A698+DesignSheet!C16)) / ( COS(DesignSheet!C11*(A698+DesignSheet!C16)) + (DesignSheet!C11*DesignSheet!C13)/(DesignSheet!C7*(DesignSheet!C11+1)) ) )+(A698+DesignSheet!C16))</f>
        <v>-0.66186420156487724</v>
      </c>
    </row>
    <row r="699" spans="1:3" x14ac:dyDescent="0.3">
      <c r="A699" s="6">
        <f>2*PI()*697/(DesignSheet!C9-1)</f>
        <v>12.164944886400479</v>
      </c>
      <c r="B699" s="6">
        <f>(DesignSheet!C11*DesignSheet!C13)*COS((A699+DesignSheet!C16)) + (DesignSheet!C7)*COS((DesignSheet!C11+1)*(A699+DesignSheet!C16)) - (DesignSheet!C6/2)*COS(ATAN( SIN(DesignSheet!C11*(A699+DesignSheet!C16)) / ( COS(DesignSheet!C11*(A699+DesignSheet!C16)) + (DesignSheet!C11*DesignSheet!C13)/(DesignSheet!C7*(DesignSheet!C11+1)) ) )+(A699+DesignSheet!C16))</f>
        <v>-0.34114970942471889</v>
      </c>
      <c r="C699" s="6">
        <f>(DesignSheet!C11*DesignSheet!C13)*SIN((A699+DesignSheet!C16)) + (DesignSheet!C7)*SIN((DesignSheet!C11+1)*(A699+DesignSheet!C16)) - (DesignSheet!C6/2)*SIN(ATAN( SIN(DesignSheet!C11*(A699+DesignSheet!C16)) / ( COS(DesignSheet!C11*(A699+DesignSheet!C16)) + (DesignSheet!C11*DesignSheet!C13)/(DesignSheet!C7*(DesignSheet!C11+1)) ) )+(A699+DesignSheet!C16))</f>
        <v>-0.66791981237228604</v>
      </c>
    </row>
    <row r="700" spans="1:3" x14ac:dyDescent="0.3">
      <c r="A700" s="6">
        <f>2*PI()*698/(DesignSheet!C9-1)</f>
        <v>12.182398178920421</v>
      </c>
      <c r="B700" s="6">
        <f>(DesignSheet!C11*DesignSheet!C13)*COS((A700+DesignSheet!C16)) + (DesignSheet!C7)*COS((DesignSheet!C11+1)*(A700+DesignSheet!C16)) - (DesignSheet!C6/2)*COS(ATAN( SIN(DesignSheet!C11*(A700+DesignSheet!C16)) / ( COS(DesignSheet!C11*(A700+DesignSheet!C16)) + (DesignSheet!C11*DesignSheet!C13)/(DesignSheet!C7*(DesignSheet!C11+1)) ) )+(A700+DesignSheet!C16))</f>
        <v>-0.32944094263854329</v>
      </c>
      <c r="C700" s="6">
        <f>(DesignSheet!C11*DesignSheet!C13)*SIN((A700+DesignSheet!C16)) + (DesignSheet!C7)*SIN((DesignSheet!C11+1)*(A700+DesignSheet!C16)) - (DesignSheet!C6/2)*SIN(ATAN( SIN(DesignSheet!C11*(A700+DesignSheet!C16)) / ( COS(DesignSheet!C11*(A700+DesignSheet!C16)) + (DesignSheet!C11*DesignSheet!C13)/(DesignSheet!C7*(DesignSheet!C11+1)) ) )+(A700+DesignSheet!C16))</f>
        <v>-0.67377196833456054</v>
      </c>
    </row>
    <row r="701" spans="1:3" x14ac:dyDescent="0.3">
      <c r="A701" s="6">
        <f>2*PI()*699/(DesignSheet!C9-1)</f>
        <v>12.199851471440363</v>
      </c>
      <c r="B701" s="6">
        <f>(DesignSheet!C11*DesignSheet!C13)*COS((A701+DesignSheet!C16)) + (DesignSheet!C7)*COS((DesignSheet!C11+1)*(A701+DesignSheet!C16)) - (DesignSheet!C6/2)*COS(ATAN( SIN(DesignSheet!C11*(A701+DesignSheet!C16)) / ( COS(DesignSheet!C11*(A701+DesignSheet!C16)) + (DesignSheet!C11*DesignSheet!C13)/(DesignSheet!C7*(DesignSheet!C11+1)) ) )+(A701+DesignSheet!C16))</f>
        <v>-0.31763182494987385</v>
      </c>
      <c r="C701" s="6">
        <f>(DesignSheet!C11*DesignSheet!C13)*SIN((A701+DesignSheet!C16)) + (DesignSheet!C7)*SIN((DesignSheet!C11+1)*(A701+DesignSheet!C16)) - (DesignSheet!C6/2)*SIN(ATAN( SIN(DesignSheet!C11*(A701+DesignSheet!C16)) / ( COS(DesignSheet!C11*(A701+DesignSheet!C16)) + (DesignSheet!C11*DesignSheet!C13)/(DesignSheet!C7*(DesignSheet!C11+1)) ) )+(A701+DesignSheet!C16))</f>
        <v>-0.67941888682830465</v>
      </c>
    </row>
    <row r="702" spans="1:3" x14ac:dyDescent="0.3">
      <c r="A702" s="6">
        <f>2*PI()*700/(DesignSheet!C9-1)</f>
        <v>12.217304763960305</v>
      </c>
      <c r="B702" s="6">
        <f>(DesignSheet!C11*DesignSheet!C13)*COS((A702+DesignSheet!C16)) + (DesignSheet!C7)*COS((DesignSheet!C11+1)*(A702+DesignSheet!C16)) - (DesignSheet!C6/2)*COS(ATAN( SIN(DesignSheet!C11*(A702+DesignSheet!C16)) / ( COS(DesignSheet!C11*(A702+DesignSheet!C16)) + (DesignSheet!C11*DesignSheet!C13)/(DesignSheet!C7*(DesignSheet!C11+1)) ) )+(A702+DesignSheet!C16))</f>
        <v>-0.30572595353035609</v>
      </c>
      <c r="C702" s="6">
        <f>(DesignSheet!C11*DesignSheet!C13)*SIN((A702+DesignSheet!C16)) + (DesignSheet!C7)*SIN((DesignSheet!C11+1)*(A702+DesignSheet!C16)) - (DesignSheet!C6/2)*SIN(ATAN( SIN(DesignSheet!C11*(A702+DesignSheet!C16)) / ( COS(DesignSheet!C11*(A702+DesignSheet!C16)) + (DesignSheet!C11*DesignSheet!C13)/(DesignSheet!C7*(DesignSheet!C11+1)) ) )+(A702+DesignSheet!C16))</f>
        <v>-0.68485884774744243</v>
      </c>
    </row>
    <row r="703" spans="1:3" x14ac:dyDescent="0.3">
      <c r="A703" s="6">
        <f>2*PI()*701/(DesignSheet!C9-1)</f>
        <v>12.234758056480251</v>
      </c>
      <c r="B703" s="6">
        <f>(DesignSheet!C11*DesignSheet!C13)*COS((A703+DesignSheet!C16)) + (DesignSheet!C7)*COS((DesignSheet!C11+1)*(A703+DesignSheet!C16)) - (DesignSheet!C6/2)*COS(ATAN( SIN(DesignSheet!C11*(A703+DesignSheet!C16)) / ( COS(DesignSheet!C11*(A703+DesignSheet!C16)) + (DesignSheet!C11*DesignSheet!C13)/(DesignSheet!C7*(DesignSheet!C11+1)) ) )+(A703+DesignSheet!C16))</f>
        <v>-0.29372695502375679</v>
      </c>
      <c r="C703" s="6">
        <f>(DesignSheet!C11*DesignSheet!C13)*SIN((A703+DesignSheet!C16)) + (DesignSheet!C7)*SIN((DesignSheet!C11+1)*(A703+DesignSheet!C16)) - (DesignSheet!C6/2)*SIN(ATAN( SIN(DesignSheet!C11*(A703+DesignSheet!C16)) / ( COS(DesignSheet!C11*(A703+DesignSheet!C16)) + (DesignSheet!C11*DesignSheet!C13)/(DesignSheet!C7*(DesignSheet!C11+1)) ) )+(A703+DesignSheet!C16))</f>
        <v>-0.69009019402718075</v>
      </c>
    </row>
    <row r="704" spans="1:3" x14ac:dyDescent="0.3">
      <c r="A704" s="6">
        <f>2*PI()*702/(DesignSheet!C9-1)</f>
        <v>12.252211349000193</v>
      </c>
      <c r="B704" s="6">
        <f>(DesignSheet!C11*DesignSheet!C13)*COS((A704+DesignSheet!C16)) + (DesignSheet!C7)*COS((DesignSheet!C11+1)*(A704+DesignSheet!C16)) - (DesignSheet!C6/2)*COS(ATAN( SIN(DesignSheet!C11*(A704+DesignSheet!C16)) / ( COS(DesignSheet!C11*(A704+DesignSheet!C16)) + (DesignSheet!C11*DesignSheet!C13)/(DesignSheet!C7*(DesignSheet!C11+1)) ) )+(A704+DesignSheet!C16))</f>
        <v>-0.28163848444126283</v>
      </c>
      <c r="C704" s="6">
        <f>(DesignSheet!C11*DesignSheet!C13)*SIN((A704+DesignSheet!C16)) + (DesignSheet!C7)*SIN((DesignSheet!C11+1)*(A704+DesignSheet!C16)) - (DesignSheet!C6/2)*SIN(ATAN( SIN(DesignSheet!C11*(A704+DesignSheet!C16)) / ( COS(DesignSheet!C11*(A704+DesignSheet!C16)) + (DesignSheet!C11*DesignSheet!C13)/(DesignSheet!C7*(DesignSheet!C11+1)) ) )+(A704+DesignSheet!C16))</f>
        <v>-0.69511133214876353</v>
      </c>
    </row>
    <row r="705" spans="1:3" x14ac:dyDescent="0.3">
      <c r="A705" s="6">
        <f>2*PI()*703/(DesignSheet!C9-1)</f>
        <v>12.269664641520135</v>
      </c>
      <c r="B705" s="6">
        <f>(DesignSheet!C11*DesignSheet!C13)*COS((A705+DesignSheet!C16)) + (DesignSheet!C7)*COS((DesignSheet!C11+1)*(A705+DesignSheet!C16)) - (DesignSheet!C6/2)*COS(ATAN( SIN(DesignSheet!C11*(A705+DesignSheet!C16)) / ( COS(DesignSheet!C11*(A705+DesignSheet!C16)) + (DesignSheet!C11*DesignSheet!C13)/(DesignSheet!C7*(DesignSheet!C11+1)) ) )+(A705+DesignSheet!C16))</f>
        <v>-0.26946422404811471</v>
      </c>
      <c r="C705" s="6">
        <f>(DesignSheet!C11*DesignSheet!C13)*SIN((A705+DesignSheet!C16)) + (DesignSheet!C7)*SIN((DesignSheet!C11+1)*(A705+DesignSheet!C16)) - (DesignSheet!C6/2)*SIN(ATAN( SIN(DesignSheet!C11*(A705+DesignSheet!C16)) / ( COS(DesignSheet!C11*(A705+DesignSheet!C16)) + (DesignSheet!C11*DesignSheet!C13)/(DesignSheet!C7*(DesignSheet!C11+1)) ) )+(A705+DesignSheet!C16))</f>
        <v>-0.69992073262487908</v>
      </c>
    </row>
    <row r="706" spans="1:3" x14ac:dyDescent="0.3">
      <c r="A706" s="6">
        <f>2*PI()*704/(DesignSheet!C9-1)</f>
        <v>12.287117934040079</v>
      </c>
      <c r="B706" s="6">
        <f>(DesignSheet!C11*DesignSheet!C13)*COS((A706+DesignSheet!C16)) + (DesignSheet!C7)*COS((DesignSheet!C11+1)*(A706+DesignSheet!C16)) - (DesignSheet!C6/2)*COS(ATAN( SIN(DesignSheet!C11*(A706+DesignSheet!C16)) / ( COS(DesignSheet!C11*(A706+DesignSheet!C16)) + (DesignSheet!C11*DesignSheet!C13)/(DesignSheet!C7*(DesignSheet!C11+1)) ) )+(A706+DesignSheet!C16))</f>
        <v>-0.25720788224196178</v>
      </c>
      <c r="C706" s="6">
        <f>(DesignSheet!C11*DesignSheet!C13)*SIN((A706+DesignSheet!C16)) + (DesignSheet!C7)*SIN((DesignSheet!C11+1)*(A706+DesignSheet!C16)) - (DesignSheet!C6/2)*SIN(ATAN( SIN(DesignSheet!C11*(A706+DesignSheet!C16)) / ( COS(DesignSheet!C11*(A706+DesignSheet!C16)) + (DesignSheet!C11*DesignSheet!C13)/(DesignSheet!C7*(DesignSheet!C11+1)) ) )+(A706+DesignSheet!C16))</f>
        <v>-0.70451693046555319</v>
      </c>
    </row>
    <row r="707" spans="1:3" x14ac:dyDescent="0.3">
      <c r="A707" s="6">
        <f>2*PI()*705/(DesignSheet!C9-1)</f>
        <v>12.304571226560023</v>
      </c>
      <c r="B707" s="6">
        <f>(DesignSheet!C11*DesignSheet!C13)*COS((A707+DesignSheet!C16)) + (DesignSheet!C7)*COS((DesignSheet!C11+1)*(A707+DesignSheet!C16)) - (DesignSheet!C6/2)*COS(ATAN( SIN(DesignSheet!C11*(A707+DesignSheet!C16)) / ( COS(DesignSheet!C11*(A707+DesignSheet!C16)) + (DesignSheet!C11*DesignSheet!C13)/(DesignSheet!C7*(DesignSheet!C11+1)) ) )+(A707+DesignSheet!C16))</f>
        <v>-0.24487319242324929</v>
      </c>
      <c r="C707" s="6">
        <f>(DesignSheet!C11*DesignSheet!C13)*SIN((A707+DesignSheet!C16)) + (DesignSheet!C7)*SIN((DesignSheet!C11+1)*(A707+DesignSheet!C16)) - (DesignSheet!C6/2)*SIN(ATAN( SIN(DesignSheet!C11*(A707+DesignSheet!C16)) / ( COS(DesignSheet!C11*(A707+DesignSheet!C16)) + (DesignSheet!C11*DesignSheet!C13)/(DesignSheet!C7*(DesignSheet!C11+1)) ) )+(A707+DesignSheet!C16))</f>
        <v>-0.7088985256243987</v>
      </c>
    </row>
    <row r="708" spans="1:3" x14ac:dyDescent="0.3">
      <c r="A708" s="6">
        <f>2*PI()*706/(DesignSheet!C9-1)</f>
        <v>12.322024519079966</v>
      </c>
      <c r="B708" s="6">
        <f>(DesignSheet!C11*DesignSheet!C13)*COS((A708+DesignSheet!C16)) + (DesignSheet!C7)*COS((DesignSheet!C11+1)*(A708+DesignSheet!C16)) - (DesignSheet!C6/2)*COS(ATAN( SIN(DesignSheet!C11*(A708+DesignSheet!C16)) / ( COS(DesignSheet!C11*(A708+DesignSheet!C16)) + (DesignSheet!C11*DesignSheet!C13)/(DesignSheet!C7*(DesignSheet!C11+1)) ) )+(A708+DesignSheet!C16))</f>
        <v>-0.23246391185798598</v>
      </c>
      <c r="C708" s="6">
        <f>(DesignSheet!C11*DesignSheet!C13)*SIN((A708+DesignSheet!C16)) + (DesignSheet!C7)*SIN((DesignSheet!C11+1)*(A708+DesignSheet!C16)) - (DesignSheet!C6/2)*SIN(ATAN( SIN(DesignSheet!C11*(A708+DesignSheet!C16)) / ( COS(DesignSheet!C11*(A708+DesignSheet!C16)) + (DesignSheet!C11*DesignSheet!C13)/(DesignSheet!C7*(DesignSheet!C11+1)) ) )+(A708+DesignSheet!C16))</f>
        <v>-0.71306418342508449</v>
      </c>
    </row>
    <row r="709" spans="1:3" x14ac:dyDescent="0.3">
      <c r="A709" s="6">
        <f>2*PI()*707/(DesignSheet!C9-1)</f>
        <v>12.33947781159991</v>
      </c>
      <c r="B709" s="6">
        <f>(DesignSheet!C11*DesignSheet!C13)*COS((A709+DesignSheet!C16)) + (DesignSheet!C7)*COS((DesignSheet!C11+1)*(A709+DesignSheet!C16)) - (DesignSheet!C6/2)*COS(ATAN( SIN(DesignSheet!C11*(A709+DesignSheet!C16)) / ( COS(DesignSheet!C11*(A709+DesignSheet!C16)) + (DesignSheet!C11*DesignSheet!C13)/(DesignSheet!C7*(DesignSheet!C11+1)) ) )+(A709+DesignSheet!C16))</f>
        <v>-0.219983820533241</v>
      </c>
      <c r="C709" s="6">
        <f>(DesignSheet!C11*DesignSheet!C13)*SIN((A709+DesignSheet!C16)) + (DesignSheet!C7)*SIN((DesignSheet!C11+1)*(A709+DesignSheet!C16)) - (DesignSheet!C6/2)*SIN(ATAN( SIN(DesignSheet!C11*(A709+DesignSheet!C16)) / ( COS(DesignSheet!C11*(A709+DesignSheet!C16)) + (DesignSheet!C11*DesignSheet!C13)/(DesignSheet!C7*(DesignSheet!C11+1)) ) )+(A709+DesignSheet!C16))</f>
        <v>-0.71701263496789147</v>
      </c>
    </row>
    <row r="710" spans="1:3" x14ac:dyDescent="0.3">
      <c r="A710" s="6">
        <f>2*PI()*708/(DesignSheet!C9-1)</f>
        <v>12.356931104119854</v>
      </c>
      <c r="B710" s="6">
        <f>(DesignSheet!C11*DesignSheet!C13)*COS((A710+DesignSheet!C16)) + (DesignSheet!C7)*COS((DesignSheet!C11+1)*(A710+DesignSheet!C16)) - (DesignSheet!C6/2)*COS(ATAN( SIN(DesignSheet!C11*(A710+DesignSheet!C16)) / ( COS(DesignSheet!C11*(A710+DesignSheet!C16)) + (DesignSheet!C11*DesignSheet!C13)/(DesignSheet!C7*(DesignSheet!C11+1)) ) )+(A710+DesignSheet!C16))</f>
        <v>-0.20743672000573049</v>
      </c>
      <c r="C710" s="6">
        <f>(DesignSheet!C11*DesignSheet!C13)*SIN((A710+DesignSheet!C16)) + (DesignSheet!C7)*SIN((DesignSheet!C11+1)*(A710+DesignSheet!C16)) - (DesignSheet!C6/2)*SIN(ATAN( SIN(DesignSheet!C11*(A710+DesignSheet!C16)) / ( COS(DesignSheet!C11*(A710+DesignSheet!C16)) + (DesignSheet!C11*DesignSheet!C13)/(DesignSheet!C7*(DesignSheet!C11+1)) ) )+(A710+DesignSheet!C16))</f>
        <v>-0.72074267751622989</v>
      </c>
    </row>
    <row r="711" spans="1:3" x14ac:dyDescent="0.3">
      <c r="A711" s="6">
        <f>2*PI()*709/(DesignSheet!C9-1)</f>
        <v>12.374384396639796</v>
      </c>
      <c r="B711" s="6">
        <f>(DesignSheet!C11*DesignSheet!C13)*COS((A711+DesignSheet!C16)) + (DesignSheet!C7)*COS((DesignSheet!C11+1)*(A711+DesignSheet!C16)) - (DesignSheet!C6/2)*COS(ATAN( SIN(DesignSheet!C11*(A711+DesignSheet!C16)) / ( COS(DesignSheet!C11*(A711+DesignSheet!C16)) + (DesignSheet!C11*DesignSheet!C13)/(DesignSheet!C7*(DesignSheet!C11+1)) ) )+(A711+DesignSheet!C16))</f>
        <v>-0.1948264322438229</v>
      </c>
      <c r="C711" s="6">
        <f>(DesignSheet!C11*DesignSheet!C13)*SIN((A711+DesignSheet!C16)) + (DesignSheet!C7)*SIN((DesignSheet!C11+1)*(A711+DesignSheet!C16)) - (DesignSheet!C6/2)*SIN(ATAN( SIN(DesignSheet!C11*(A711+DesignSheet!C16)) / ( COS(DesignSheet!C11*(A711+DesignSheet!C16)) + (DesignSheet!C11*DesignSheet!C13)/(DesignSheet!C7*(DesignSheet!C11+1)) ) )+(A711+DesignSheet!C16))</f>
        <v>-0.72425317486300544</v>
      </c>
    </row>
    <row r="712" spans="1:3" x14ac:dyDescent="0.3">
      <c r="A712" s="6">
        <f>2*PI()*710/(DesignSheet!C9-1)</f>
        <v>12.39183768915974</v>
      </c>
      <c r="B712" s="6">
        <f>(DesignSheet!C11*DesignSheet!C13)*COS((A712+DesignSheet!C16)) + (DesignSheet!C7)*COS((DesignSheet!C11+1)*(A712+DesignSheet!C16)) - (DesignSheet!C6/2)*COS(ATAN( SIN(DesignSheet!C11*(A712+DesignSheet!C16)) / ( COS(DesignSheet!C11*(A712+DesignSheet!C16)) + (DesignSheet!C11*DesignSheet!C13)/(DesignSheet!C7*(DesignSheet!C11+1)) ) )+(A712+DesignSheet!C16))</f>
        <v>-0.1821567984633265</v>
      </c>
      <c r="C712" s="6">
        <f>(DesignSheet!C11*DesignSheet!C13)*SIN((A712+DesignSheet!C16)) + (DesignSheet!C7)*SIN((DesignSheet!C11+1)*(A712+DesignSheet!C16)) - (DesignSheet!C6/2)*SIN(ATAN( SIN(DesignSheet!C11*(A712+DesignSheet!C16)) / ( COS(DesignSheet!C11*(A712+DesignSheet!C16)) + (DesignSheet!C11*DesignSheet!C13)/(DesignSheet!C7*(DesignSheet!C11+1)) ) )+(A712+DesignSheet!C16))</f>
        <v>-0.72754305767672001</v>
      </c>
    </row>
    <row r="713" spans="1:3" x14ac:dyDescent="0.3">
      <c r="A713" s="6">
        <f>2*PI()*711/(DesignSheet!C9-1)</f>
        <v>12.409290981679682</v>
      </c>
      <c r="B713" s="6">
        <f>(DesignSheet!C11*DesignSheet!C13)*COS((A713+DesignSheet!C16)) + (DesignSheet!C7)*COS((DesignSheet!C11+1)*(A713+DesignSheet!C16)) - (DesignSheet!C6/2)*COS(ATAN( SIN(DesignSheet!C11*(A713+DesignSheet!C16)) / ( COS(DesignSheet!C11*(A713+DesignSheet!C16)) + (DesignSheet!C11*DesignSheet!C13)/(DesignSheet!C7*(DesignSheet!C11+1)) ) )+(A713+DesignSheet!C16))</f>
        <v>-0.16943167795742697</v>
      </c>
      <c r="C713" s="6">
        <f>(DesignSheet!C11*DesignSheet!C13)*SIN((A713+DesignSheet!C16)) + (DesignSheet!C7)*SIN((DesignSheet!C11+1)*(A713+DesignSheet!C16)) - (DesignSheet!C6/2)*SIN(ATAN( SIN(DesignSheet!C11*(A713+DesignSheet!C16)) / ( COS(DesignSheet!C11*(A713+DesignSheet!C16)) + (DesignSheet!C11*DesignSheet!C13)/(DesignSheet!C7*(DesignSheet!C11+1)) ) )+(A713+DesignSheet!C16))</f>
        <v>-0.73061132382719796</v>
      </c>
    </row>
    <row r="714" spans="1:3" x14ac:dyDescent="0.3">
      <c r="A714" s="6">
        <f>2*PI()*712/(DesignSheet!C9-1)</f>
        <v>12.426744274199628</v>
      </c>
      <c r="B714" s="6">
        <f>(DesignSheet!C11*DesignSheet!C13)*COS((A714+DesignSheet!C16)) + (DesignSheet!C7)*COS((DesignSheet!C11+1)*(A714+DesignSheet!C16)) - (DesignSheet!C6/2)*COS(ATAN( SIN(DesignSheet!C11*(A714+DesignSheet!C16)) / ( COS(DesignSheet!C11*(A714+DesignSheet!C16)) + (DesignSheet!C11*DesignSheet!C13)/(DesignSheet!C7*(DesignSheet!C11+1)) ) )+(A714+DesignSheet!C16))</f>
        <v>-0.15665494692109744</v>
      </c>
      <c r="C714" s="6">
        <f>(DesignSheet!C11*DesignSheet!C13)*SIN((A714+DesignSheet!C16)) + (DesignSheet!C7)*SIN((DesignSheet!C11+1)*(A714+DesignSheet!C16)) - (DesignSheet!C6/2)*SIN(ATAN( SIN(DesignSheet!C11*(A714+DesignSheet!C16)) / ( COS(DesignSheet!C11*(A714+DesignSheet!C16)) + (DesignSheet!C11*DesignSheet!C13)/(DesignSheet!C7*(DesignSheet!C11+1)) ) )+(A714+DesignSheet!C16))</f>
        <v>-0.733457038690848</v>
      </c>
    </row>
    <row r="715" spans="1:3" x14ac:dyDescent="0.3">
      <c r="A715" s="6">
        <f>2*PI()*713/(DesignSheet!C9-1)</f>
        <v>12.44419756671957</v>
      </c>
      <c r="B715" s="6">
        <f>(DesignSheet!C11*DesignSheet!C13)*COS((A715+DesignSheet!C16)) + (DesignSheet!C7)*COS((DesignSheet!C11+1)*(A715+DesignSheet!C16)) - (DesignSheet!C6/2)*COS(ATAN( SIN(DesignSheet!C11*(A715+DesignSheet!C16)) / ( COS(DesignSheet!C11*(A715+DesignSheet!C16)) + (DesignSheet!C11*DesignSheet!C13)/(DesignSheet!C7*(DesignSheet!C11+1)) ) )+(A715+DesignSheet!C16))</f>
        <v>-0.14383049727038782</v>
      </c>
      <c r="C715" s="6">
        <f>(DesignSheet!C11*DesignSheet!C13)*SIN((A715+DesignSheet!C16)) + (DesignSheet!C7)*SIN((DesignSheet!C11+1)*(A715+DesignSheet!C16)) - (DesignSheet!C6/2)*SIN(ATAN( SIN(DesignSheet!C11*(A715+DesignSheet!C16)) / ( COS(DesignSheet!C11*(A715+DesignSheet!C16)) + (DesignSheet!C11*DesignSheet!C13)/(DesignSheet!C7*(DesignSheet!C11+1)) ) )+(A715+DesignSheet!C16))</f>
        <v>-0.73607933543535442</v>
      </c>
    </row>
    <row r="716" spans="1:3" x14ac:dyDescent="0.3">
      <c r="A716" s="6">
        <f>2*PI()*714/(DesignSheet!C9-1)</f>
        <v>12.461650859239512</v>
      </c>
      <c r="B716" s="6">
        <f>(DesignSheet!C11*DesignSheet!C13)*COS((A716+DesignSheet!C16)) + (DesignSheet!C7)*COS((DesignSheet!C11+1)*(A716+DesignSheet!C16)) - (DesignSheet!C6/2)*COS(ATAN( SIN(DesignSheet!C11*(A716+DesignSheet!C16)) / ( COS(DesignSheet!C11*(A716+DesignSheet!C16)) + (DesignSheet!C11*DesignSheet!C13)/(DesignSheet!C7*(DesignSheet!C11+1)) ) )+(A716+DesignSheet!C16))</f>
        <v>-0.13096223545689234</v>
      </c>
      <c r="C716" s="6">
        <f>(DesignSheet!C11*DesignSheet!C13)*SIN((A716+DesignSheet!C16)) + (DesignSheet!C7)*SIN((DesignSheet!C11+1)*(A716+DesignSheet!C16)) - (DesignSheet!C6/2)*SIN(ATAN( SIN(DesignSheet!C11*(A716+DesignSheet!C16)) / ( COS(DesignSheet!C11*(A716+DesignSheet!C16)) + (DesignSheet!C11*DesignSheet!C13)/(DesignSheet!C7*(DesignSheet!C11+1)) ) )+(A716+DesignSheet!C16))</f>
        <v>-0.73847741528372657</v>
      </c>
    </row>
    <row r="717" spans="1:3" x14ac:dyDescent="0.3">
      <c r="A717" s="6">
        <f>2*PI()*715/(DesignSheet!C9-1)</f>
        <v>12.479104151759458</v>
      </c>
      <c r="B717" s="6">
        <f>(DesignSheet!C11*DesignSheet!C13)*COS((A717+DesignSheet!C16)) + (DesignSheet!C7)*COS((DesignSheet!C11+1)*(A717+DesignSheet!C16)) - (DesignSheet!C6/2)*COS(ATAN( SIN(DesignSheet!C11*(A717+DesignSheet!C16)) / ( COS(DesignSheet!C11*(A717+DesignSheet!C16)) + (DesignSheet!C11*DesignSheet!C13)/(DesignSheet!C7*(DesignSheet!C11+1)) ) )+(A717+DesignSheet!C16))</f>
        <v>-0.11805408127781442</v>
      </c>
      <c r="C717" s="6">
        <f>(DesignSheet!C11*DesignSheet!C13)*SIN((A717+DesignSheet!C16)) + (DesignSheet!C7)*SIN((DesignSheet!C11+1)*(A717+DesignSheet!C16)) - (DesignSheet!C6/2)*SIN(ATAN( SIN(DesignSheet!C11*(A717+DesignSheet!C16)) / ( COS(DesignSheet!C11*(A717+DesignSheet!C16)) + (DesignSheet!C11*DesignSheet!C13)/(DesignSheet!C7*(DesignSheet!C11+1)) ) )+(A717+DesignSheet!C16))</f>
        <v>-0.7406505477576123</v>
      </c>
    </row>
    <row r="718" spans="1:3" x14ac:dyDescent="0.3">
      <c r="A718" s="6">
        <f>2*PI()*716/(DesignSheet!C9-1)</f>
        <v>12.4965574442794</v>
      </c>
      <c r="B718" s="6">
        <f>(DesignSheet!C11*DesignSheet!C13)*COS((A718+DesignSheet!C16)) + (DesignSheet!C7)*COS((DesignSheet!C11+1)*(A718+DesignSheet!C16)) - (DesignSheet!C6/2)*COS(ATAN( SIN(DesignSheet!C11*(A718+DesignSheet!C16)) / ( COS(DesignSheet!C11*(A718+DesignSheet!C16)) + (DesignSheet!C11*DesignSheet!C13)/(DesignSheet!C7*(DesignSheet!C11+1)) ) )+(A718+DesignSheet!C16))</f>
        <v>-0.10510996668196632</v>
      </c>
      <c r="C718" s="6">
        <f>(DesignSheet!C11*DesignSheet!C13)*SIN((A718+DesignSheet!C16)) + (DesignSheet!C7)*SIN((DesignSheet!C11+1)*(A718+DesignSheet!C16)) - (DesignSheet!C6/2)*SIN(ATAN( SIN(DesignSheet!C11*(A718+DesignSheet!C16)) / ( COS(DesignSheet!C11*(A718+DesignSheet!C16)) + (DesignSheet!C11*DesignSheet!C13)/(DesignSheet!C7*(DesignSheet!C11+1)) ) )+(A718+DesignSheet!C16))</f>
        <v>-0.74259807089980778</v>
      </c>
    </row>
    <row r="719" spans="1:3" x14ac:dyDescent="0.3">
      <c r="A719" s="6">
        <f>2*PI()*717/(DesignSheet!C9-1)</f>
        <v>12.514010736799342</v>
      </c>
      <c r="B719" s="6">
        <f>(DesignSheet!C11*DesignSheet!C13)*COS((A719+DesignSheet!C16)) + (DesignSheet!C7)*COS((DesignSheet!C11+1)*(A719+DesignSheet!C16)) - (DesignSheet!C6/2)*COS(ATAN( SIN(DesignSheet!C11*(A719+DesignSheet!C16)) / ( COS(DesignSheet!C11*(A719+DesignSheet!C16)) + (DesignSheet!C11*DesignSheet!C13)/(DesignSheet!C7*(DesignSheet!C11+1)) ) )+(A719+DesignSheet!C16))</f>
        <v>-9.2133834572043785E-2</v>
      </c>
      <c r="C719" s="6">
        <f>(DesignSheet!C11*DesignSheet!C13)*SIN((A719+DesignSheet!C16)) + (DesignSheet!C7)*SIN((DesignSheet!C11+1)*(A719+DesignSheet!C16)) - (DesignSheet!C6/2)*SIN(ATAN( SIN(DesignSheet!C11*(A719+DesignSheet!C16)) / ( COS(DesignSheet!C11*(A719+DesignSheet!C16)) + (DesignSheet!C11*DesignSheet!C13)/(DesignSheet!C7*(DesignSheet!C11+1)) ) )+(A719+DesignSheet!C16))</f>
        <v>-0.7443193914758981</v>
      </c>
    </row>
    <row r="720" spans="1:3" x14ac:dyDescent="0.3">
      <c r="A720" s="6">
        <f>2*PI()*718/(DesignSheet!C9-1)</f>
        <v>12.531464029319284</v>
      </c>
      <c r="B720" s="6">
        <f>(DesignSheet!C11*DesignSheet!C13)*COS((A720+DesignSheet!C16)) + (DesignSheet!C7)*COS((DesignSheet!C11+1)*(A720+DesignSheet!C16)) - (DesignSheet!C6/2)*COS(ATAN( SIN(DesignSheet!C11*(A720+DesignSheet!C16)) / ( COS(DesignSheet!C11*(A720+DesignSheet!C16)) + (DesignSheet!C11*DesignSheet!C13)/(DesignSheet!C7*(DesignSheet!C11+1)) ) )+(A720+DesignSheet!C16))</f>
        <v>-7.9129637603590111E-2</v>
      </c>
      <c r="C720" s="6">
        <f>(DesignSheet!C11*DesignSheet!C13)*SIN((A720+DesignSheet!C16)) + (DesignSheet!C7)*SIN((DesignSheet!C11+1)*(A720+DesignSheet!C16)) - (DesignSheet!C6/2)*SIN(ATAN( SIN(DesignSheet!C11*(A720+DesignSheet!C16)) / ( COS(DesignSheet!C11*(A720+DesignSheet!C16)) + (DesignSheet!C11*DesignSheet!C13)/(DesignSheet!C7*(DesignSheet!C11+1)) ) )+(A720+DesignSheet!C16))</f>
        <v>-0.745813985154961</v>
      </c>
    </row>
    <row r="721" spans="1:3" x14ac:dyDescent="0.3">
      <c r="A721" s="6">
        <f>2*PI()*719/(DesignSheet!C9-1)</f>
        <v>12.54891732183923</v>
      </c>
      <c r="B721" s="6">
        <f>(DesignSheet!C11*DesignSheet!C13)*COS((A721+DesignSheet!C16)) + (DesignSheet!C7)*COS((DesignSheet!C11+1)*(A721+DesignSheet!C16)) - (DesignSheet!C6/2)*COS(ATAN( SIN(DesignSheet!C11*(A721+DesignSheet!C16)) / ( COS(DesignSheet!C11*(A721+DesignSheet!C16)) + (DesignSheet!C11*DesignSheet!C13)/(DesignSheet!C7*(DesignSheet!C11+1)) ) )+(A721+DesignSheet!C16))</f>
        <v>-6.6101336980973716E-2</v>
      </c>
      <c r="C721" s="6">
        <f>(DesignSheet!C11*DesignSheet!C13)*SIN((A721+DesignSheet!C16)) + (DesignSheet!C7)*SIN((DesignSheet!C11+1)*(A721+DesignSheet!C16)) - (DesignSheet!C6/2)*SIN(ATAN( SIN(DesignSheet!C11*(A721+DesignSheet!C16)) / ( COS(DesignSheet!C11*(A721+DesignSheet!C16)) + (DesignSheet!C11*DesignSheet!C13)/(DesignSheet!C7*(DesignSheet!C11+1)) ) )+(A721+DesignSheet!C16))</f>
        <v>-0.74708139666928386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DesignSheet</vt:lpstr>
      <vt:lpstr>PointTable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Chen</cp:lastModifiedBy>
  <dcterms:created xsi:type="dcterms:W3CDTF">2025-12-17T14:36:51Z</dcterms:created>
  <dcterms:modified xsi:type="dcterms:W3CDTF">2025-12-18T13:57:35Z</dcterms:modified>
</cp:coreProperties>
</file>